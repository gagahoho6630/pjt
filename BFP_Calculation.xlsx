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BMCR (TD-BFP)" sheetId="1" state="visible" r:id="rId1"/>
    <sheet xmlns:r="http://schemas.openxmlformats.org/officeDocument/2006/relationships" name="95% Load (Start-up)" sheetId="2" state="visible" r:id="rId2"/>
    <sheet xmlns:r="http://schemas.openxmlformats.org/officeDocument/2006/relationships" name="30% Load (Start-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00"/>
    <numFmt numFmtId="165" formatCode="0.000"/>
    <numFmt numFmtId="166" formatCode="0.0"/>
    <numFmt numFmtId="167" formatCode="0.00000"/>
    <numFmt numFmtId="168" formatCode="0.0000000"/>
  </numFmts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sz val="9"/>
    </font>
    <font>
      <name val="맑은 고딕"/>
      <b val="1"/>
      <sz val="10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8" fontId="3" fillId="0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38" customWidth="1" min="4" max="4"/>
    <col width="16" customWidth="1" min="5" max="5"/>
  </cols>
  <sheetData>
    <row r="1">
      <c r="A1" s="1" t="inlineStr">
        <is>
          <t>Turbine Driven Boiler Feed Water Pump</t>
        </is>
      </c>
      <c r="B1" s="2" t="n"/>
      <c r="C1" s="2" t="n"/>
      <c r="D1" s="3" t="inlineStr">
        <is>
          <t>100% BMCR 기준 (11/25 HBD.)</t>
        </is>
      </c>
      <c r="E1" s="4" t="inlineStr">
        <is>
          <t>2013.11.29</t>
        </is>
      </c>
    </row>
    <row r="2">
      <c r="A2" s="5" t="inlineStr">
        <is>
          <t>Basis / Input Parameters</t>
        </is>
      </c>
      <c r="B2" s="2" t="n"/>
      <c r="C2" s="2" t="n"/>
      <c r="D2" s="2" t="n"/>
      <c r="E2" s="2" t="n"/>
    </row>
    <row r="3">
      <c r="A3" s="6" t="inlineStr">
        <is>
          <t>Superheater outlet steam flow (BMCR)</t>
        </is>
      </c>
      <c r="B3" s="7" t="n"/>
      <c r="C3" s="8" t="n"/>
      <c r="D3" s="9" t="inlineStr">
        <is>
          <t>kg/s</t>
        </is>
      </c>
      <c r="E3" s="10" t="n">
        <v>875.141</v>
      </c>
    </row>
    <row r="4">
      <c r="A4" s="6" t="inlineStr">
        <is>
          <t>Seconds per hour</t>
        </is>
      </c>
      <c r="B4" s="7" t="n"/>
      <c r="C4" s="8" t="n"/>
      <c r="D4" s="9" t="inlineStr">
        <is>
          <t>s/h</t>
        </is>
      </c>
      <c r="E4" s="11" t="n">
        <v>3600</v>
      </c>
    </row>
    <row r="5">
      <c r="A5" s="6" t="inlineStr">
        <is>
          <t>BFP share ratio (2 x 60%)</t>
        </is>
      </c>
      <c r="B5" s="7" t="n"/>
      <c r="C5" s="8" t="n"/>
      <c r="D5" s="9" t="inlineStr">
        <is>
          <t>-</t>
        </is>
      </c>
      <c r="E5" s="12" t="n">
        <v>0.6</v>
      </c>
    </row>
    <row r="6">
      <c r="A6" s="6" t="inlineStr">
        <is>
          <t>Miscellaneous (Attemp. spray) ratio</t>
        </is>
      </c>
      <c r="B6" s="7" t="n"/>
      <c r="C6" s="8" t="n"/>
      <c r="D6" s="9" t="inlineStr">
        <is>
          <t>-</t>
        </is>
      </c>
      <c r="E6" s="13" t="n">
        <v>0.025</v>
      </c>
    </row>
    <row r="7">
      <c r="A7" s="6" t="inlineStr">
        <is>
          <t>Pump capacity margin (Surge5%+Wear6%)</t>
        </is>
      </c>
      <c r="B7" s="7" t="n"/>
      <c r="C7" s="8" t="n"/>
      <c r="D7" s="9" t="inlineStr">
        <is>
          <t>-</t>
        </is>
      </c>
      <c r="E7" s="12" t="n">
        <v>1.11</v>
      </c>
    </row>
    <row r="8">
      <c r="A8" s="6" t="inlineStr">
        <is>
          <t>Specific gravity @ design temp</t>
        </is>
      </c>
      <c r="B8" s="7" t="n"/>
      <c r="C8" s="8" t="n"/>
      <c r="D8" s="9" t="inlineStr">
        <is>
          <t>-</t>
        </is>
      </c>
      <c r="E8" s="10" t="n">
        <v>0.874178955</v>
      </c>
    </row>
    <row r="10">
      <c r="A10" s="5" t="inlineStr">
        <is>
          <t>Design Flow</t>
        </is>
      </c>
      <c r="B10" s="2" t="n"/>
      <c r="C10" s="2" t="n"/>
      <c r="D10" s="2" t="n"/>
      <c r="E10" s="2" t="n"/>
    </row>
    <row r="11">
      <c r="A11" s="14" t="inlineStr">
        <is>
          <t>Item</t>
        </is>
      </c>
      <c r="B11" s="14" t="inlineStr"/>
      <c r="C11" s="14" t="inlineStr">
        <is>
          <t>unit</t>
        </is>
      </c>
      <c r="D11" s="14" t="inlineStr">
        <is>
          <t>Source</t>
        </is>
      </c>
      <c r="E11" s="14" t="inlineStr">
        <is>
          <t>Value</t>
        </is>
      </c>
    </row>
    <row r="12">
      <c r="A12" s="9" t="inlineStr">
        <is>
          <t>1)</t>
        </is>
      </c>
      <c r="B12" s="6" t="inlineStr">
        <is>
          <t>Flow to boiler per BFP (2 x 60%)</t>
        </is>
      </c>
      <c r="C12" s="9" t="inlineStr">
        <is>
          <t>kg/h</t>
        </is>
      </c>
      <c r="D12" s="6" t="inlineStr">
        <is>
          <t>Superheater outlet 기준  (875.141*3600)*0.6</t>
        </is>
      </c>
      <c r="E12" s="10">
        <f>$E$3*$E$4*$E$5</f>
        <v/>
      </c>
    </row>
    <row r="13">
      <c r="A13" s="9" t="inlineStr">
        <is>
          <t>2)</t>
        </is>
      </c>
      <c r="B13" s="6" t="inlineStr">
        <is>
          <t>Miscellaneous Flow</t>
        </is>
      </c>
      <c r="C13" s="9" t="inlineStr">
        <is>
          <t>kg/h</t>
        </is>
      </c>
      <c r="D13" s="6" t="inlineStr">
        <is>
          <t>Attemperator spray water (2.5% of 1)</t>
        </is>
      </c>
      <c r="E13" s="10">
        <f>$E$12*$E$6</f>
        <v/>
      </c>
    </row>
    <row r="14">
      <c r="A14" s="9" t="inlineStr">
        <is>
          <t>3)</t>
        </is>
      </c>
      <c r="B14" s="6" t="inlineStr">
        <is>
          <t>Total flow</t>
        </is>
      </c>
      <c r="C14" s="9" t="inlineStr">
        <is>
          <t>kg/h</t>
        </is>
      </c>
      <c r="D14" s="6" t="inlineStr">
        <is>
          <t>1)+2)</t>
        </is>
      </c>
      <c r="E14" s="10">
        <f>$E$12+$E$13</f>
        <v/>
      </c>
    </row>
    <row r="15">
      <c r="A15" s="9" t="inlineStr">
        <is>
          <t>4)</t>
        </is>
      </c>
      <c r="B15" s="6" t="inlineStr">
        <is>
          <t>Pump capacity incl. margin</t>
        </is>
      </c>
      <c r="C15" s="9" t="inlineStr">
        <is>
          <t>kg/h</t>
        </is>
      </c>
      <c r="D15" s="6" t="inlineStr">
        <is>
          <t>111% of 3)</t>
        </is>
      </c>
      <c r="E15" s="15">
        <f>$E$14*$E$7</f>
        <v/>
      </c>
    </row>
    <row r="16">
      <c r="A16" s="9" t="inlineStr">
        <is>
          <t>5)</t>
        </is>
      </c>
      <c r="B16" s="6" t="inlineStr">
        <is>
          <t>Design temp</t>
        </is>
      </c>
      <c r="C16" s="9" t="inlineStr">
        <is>
          <t>'C</t>
        </is>
      </c>
      <c r="D16" s="6" t="inlineStr">
        <is>
          <t>BFP suction (HBD)</t>
        </is>
      </c>
      <c r="E16" s="16" t="n">
        <v>191.7</v>
      </c>
    </row>
    <row r="17">
      <c r="A17" s="9" t="inlineStr">
        <is>
          <t>6)</t>
        </is>
      </c>
      <c r="B17" s="6" t="inlineStr">
        <is>
          <t>Specific gravity</t>
        </is>
      </c>
      <c r="C17" s="9" t="inlineStr"/>
      <c r="D17" s="6" t="inlineStr"/>
      <c r="E17" s="10">
        <f>$E$8</f>
        <v/>
      </c>
    </row>
    <row r="18">
      <c r="A18" s="9" t="inlineStr">
        <is>
          <t>7)</t>
        </is>
      </c>
      <c r="B18" s="6" t="inlineStr">
        <is>
          <t>Pump Suction flow (Q1)</t>
        </is>
      </c>
      <c r="C18" s="9" t="inlineStr">
        <is>
          <t>m3/h</t>
        </is>
      </c>
      <c r="D18" s="6" t="inlineStr">
        <is>
          <t>4) divide 6)</t>
        </is>
      </c>
      <c r="E18" s="10">
        <f>$E$15/($E$17*1000)</f>
        <v/>
      </c>
    </row>
    <row r="19">
      <c r="A19" s="9" t="inlineStr">
        <is>
          <t>8)</t>
        </is>
      </c>
      <c r="B19" s="6" t="inlineStr">
        <is>
          <t>Pump Discharge flow (Q2)</t>
        </is>
      </c>
      <c r="C19" s="9" t="inlineStr">
        <is>
          <t>m3/h</t>
        </is>
      </c>
      <c r="D19" s="6" t="inlineStr">
        <is>
          <t>7)-9)</t>
        </is>
      </c>
      <c r="E19" s="15">
        <f>$E$18-$E$20</f>
        <v/>
      </c>
    </row>
    <row r="20">
      <c r="A20" s="9" t="inlineStr">
        <is>
          <t>9)</t>
        </is>
      </c>
      <c r="B20" s="6" t="inlineStr">
        <is>
          <t>Interstage Normal. flow</t>
        </is>
      </c>
      <c r="C20" s="9" t="inlineStr">
        <is>
          <t>m3/h</t>
        </is>
      </c>
      <c r="D20" s="6" t="inlineStr">
        <is>
          <t>2) x 1.11(margin 11%) divide 6)</t>
        </is>
      </c>
      <c r="E20" s="10">
        <f>$E$13*$E$7/($E$17*1000)</f>
        <v/>
      </c>
    </row>
    <row r="22">
      <c r="A22" s="5" t="inlineStr">
        <is>
          <t>Discharge Head</t>
        </is>
      </c>
      <c r="B22" s="2" t="n"/>
      <c r="C22" s="2" t="n"/>
      <c r="D22" s="2" t="n"/>
      <c r="E22" s="2" t="n"/>
    </row>
    <row r="23">
      <c r="A23" s="14" t="inlineStr">
        <is>
          <t>Item</t>
        </is>
      </c>
      <c r="B23" s="14" t="inlineStr"/>
      <c r="C23" s="14" t="inlineStr"/>
      <c r="D23" s="14" t="inlineStr">
        <is>
          <t>Source</t>
        </is>
      </c>
      <c r="E23" s="14" t="inlineStr">
        <is>
          <t>Value</t>
        </is>
      </c>
    </row>
    <row r="24">
      <c r="A24" s="9" t="inlineStr">
        <is>
          <t>1)</t>
        </is>
      </c>
      <c r="B24" s="6" t="inlineStr">
        <is>
          <t>Steam Turbine MSV inlet pressure</t>
        </is>
      </c>
      <c r="C24" s="9" t="inlineStr">
        <is>
          <t>bar.a</t>
        </is>
      </c>
      <c r="D24" s="6" t="inlineStr">
        <is>
          <t>HBD, BMCR 100%</t>
        </is>
      </c>
      <c r="E24" s="13" t="n">
        <v>250</v>
      </c>
    </row>
    <row r="25">
      <c r="A25" s="9" t="inlineStr">
        <is>
          <t>2)</t>
        </is>
      </c>
      <c r="B25" s="6" t="inlineStr">
        <is>
          <t>P.D economizer inlet htr → Boiler SH outlet hdr</t>
        </is>
      </c>
      <c r="C25" s="9" t="inlineStr">
        <is>
          <t>bar.a</t>
        </is>
      </c>
      <c r="D25" s="6" t="inlineStr">
        <is>
          <t>Boiler data 참조</t>
        </is>
      </c>
      <c r="E25" s="13" t="n">
        <v>55.125</v>
      </c>
    </row>
    <row r="26">
      <c r="A26" s="9" t="inlineStr">
        <is>
          <t>3)</t>
        </is>
      </c>
      <c r="B26" s="6" t="inlineStr">
        <is>
          <t>P.D Boiler SH outlet hdr → ST MSV inlet</t>
        </is>
      </c>
      <c r="C26" s="9" t="inlineStr">
        <is>
          <t>bar.a</t>
        </is>
      </c>
      <c r="D26" s="6" t="inlineStr">
        <is>
          <t>Assume</t>
        </is>
      </c>
      <c r="E26" s="17" t="n">
        <v>10.47375</v>
      </c>
    </row>
    <row r="27">
      <c r="A27" s="9" t="inlineStr">
        <is>
          <t>4)</t>
        </is>
      </c>
      <c r="B27" s="6" t="inlineStr">
        <is>
          <t>Superheater outlet Elevation</t>
        </is>
      </c>
      <c r="C27" s="9" t="inlineStr">
        <is>
          <t>M</t>
        </is>
      </c>
      <c r="D27" s="6" t="inlineStr">
        <is>
          <t>Boiler G.A 참조</t>
        </is>
      </c>
      <c r="E27" s="12" t="n">
        <v>81</v>
      </c>
    </row>
    <row r="28">
      <c r="A28" s="9" t="inlineStr">
        <is>
          <t>5)</t>
        </is>
      </c>
      <c r="B28" s="6" t="inlineStr">
        <is>
          <t>Pump Center Elevation</t>
        </is>
      </c>
      <c r="C28" s="9" t="inlineStr">
        <is>
          <t>M</t>
        </is>
      </c>
      <c r="D28" s="6" t="inlineStr">
        <is>
          <t>EBARA BFP 견적 참조</t>
        </is>
      </c>
      <c r="E28" s="12" t="n">
        <v>2.05</v>
      </c>
    </row>
    <row r="29">
      <c r="A29" s="9" t="inlineStr">
        <is>
          <t>6)</t>
        </is>
      </c>
      <c r="B29" s="6" t="inlineStr">
        <is>
          <t>Static head</t>
        </is>
      </c>
      <c r="C29" s="9" t="inlineStr">
        <is>
          <t>bar.a</t>
        </is>
      </c>
      <c r="D29" s="6" t="inlineStr">
        <is>
          <t>(4)-5))xs.g/10.2</t>
        </is>
      </c>
      <c r="E29" s="10">
        <f>($E$27-$E$28)*$E$17/10.2</f>
        <v/>
      </c>
    </row>
    <row r="30">
      <c r="A30" s="9" t="inlineStr">
        <is>
          <t>7)</t>
        </is>
      </c>
      <c r="B30" s="6" t="inlineStr">
        <is>
          <t>Pressure Drop flow nozzle</t>
        </is>
      </c>
      <c r="C30" s="9" t="inlineStr">
        <is>
          <t>bar.a</t>
        </is>
      </c>
      <c r="D30" s="6" t="inlineStr">
        <is>
          <t>KEPCO E&amp;C Comment</t>
        </is>
      </c>
      <c r="E30" s="12" t="n">
        <v>0.6</v>
      </c>
    </row>
    <row r="31">
      <c r="A31" s="9" t="inlineStr">
        <is>
          <t>8)</t>
        </is>
      </c>
      <c r="B31" s="6" t="inlineStr">
        <is>
          <t>Pressure Drop heater 6</t>
        </is>
      </c>
      <c r="C31" s="9" t="inlineStr">
        <is>
          <t>bar.a</t>
        </is>
      </c>
      <c r="D31" s="6" t="inlineStr">
        <is>
          <t>Heater 견적 참조 (less than 1.7)</t>
        </is>
      </c>
      <c r="E31" s="12" t="n">
        <v>1.7</v>
      </c>
    </row>
    <row r="32">
      <c r="A32" s="9" t="inlineStr">
        <is>
          <t>9)</t>
        </is>
      </c>
      <c r="B32" s="6" t="inlineStr">
        <is>
          <t>Pressure Drop heater 7</t>
        </is>
      </c>
      <c r="C32" s="9" t="inlineStr">
        <is>
          <t>bar.a</t>
        </is>
      </c>
      <c r="D32" s="6" t="inlineStr">
        <is>
          <t>Heater 견적 참조 (less than 1.7)</t>
        </is>
      </c>
      <c r="E32" s="12" t="n">
        <v>1.7</v>
      </c>
    </row>
    <row r="33">
      <c r="A33" s="9" t="inlineStr">
        <is>
          <t>10)</t>
        </is>
      </c>
      <c r="B33" s="6" t="inlineStr">
        <is>
          <t>Pressure Drop heater 8</t>
        </is>
      </c>
      <c r="C33" s="9" t="inlineStr">
        <is>
          <t>bar.a</t>
        </is>
      </c>
      <c r="D33" s="6" t="inlineStr">
        <is>
          <t>Heater 견적 참조 (less than 1.7)</t>
        </is>
      </c>
      <c r="E33" s="12" t="n">
        <v>1.7</v>
      </c>
    </row>
    <row r="34">
      <c r="A34" s="9" t="inlineStr">
        <is>
          <t>11)</t>
        </is>
      </c>
      <c r="B34" s="6" t="inlineStr">
        <is>
          <t>Pressure Drop Piping</t>
        </is>
      </c>
      <c r="C34" s="9" t="inlineStr">
        <is>
          <t>bar.a</t>
        </is>
      </c>
      <c r="D34" s="6" t="inlineStr">
        <is>
          <t>KEPCO E&amp;C Comment</t>
        </is>
      </c>
      <c r="E34" s="12" t="n">
        <v>10</v>
      </c>
    </row>
    <row r="35">
      <c r="A35" s="9" t="inlineStr">
        <is>
          <t>12)</t>
        </is>
      </c>
      <c r="B35" s="6" t="inlineStr">
        <is>
          <t>Calculated discharge P (PD)</t>
        </is>
      </c>
      <c r="C35" s="9" t="inlineStr">
        <is>
          <t>bar.a</t>
        </is>
      </c>
      <c r="D35" s="6" t="inlineStr">
        <is>
          <t>{1)+2)+3)+6)+7)+8)+9)+10)+11)}</t>
        </is>
      </c>
      <c r="E35" s="15">
        <f>$E$24+$E$25+$E$26+$E$29+$E$30+$E$31+$E$32+$E$33+$E$34</f>
        <v/>
      </c>
    </row>
    <row r="37">
      <c r="A37" s="5" t="inlineStr">
        <is>
          <t>Suction Head</t>
        </is>
      </c>
      <c r="B37" s="2" t="n"/>
      <c r="C37" s="2" t="n"/>
      <c r="D37" s="2" t="n"/>
      <c r="E37" s="2" t="n"/>
    </row>
    <row r="38">
      <c r="A38" s="14" t="inlineStr">
        <is>
          <t>Item</t>
        </is>
      </c>
      <c r="B38" s="14" t="inlineStr"/>
      <c r="C38" s="14" t="inlineStr"/>
      <c r="D38" s="14" t="inlineStr">
        <is>
          <t>Source</t>
        </is>
      </c>
      <c r="E38" s="14" t="inlineStr">
        <is>
          <t>Value</t>
        </is>
      </c>
    </row>
    <row r="39">
      <c r="A39" s="9" t="inlineStr">
        <is>
          <t>1)</t>
        </is>
      </c>
      <c r="B39" s="6" t="inlineStr">
        <is>
          <t>Deaerator pressure (P1)</t>
        </is>
      </c>
      <c r="C39" s="9" t="inlineStr">
        <is>
          <t>bar.a</t>
        </is>
      </c>
      <c r="D39" s="6" t="inlineStr">
        <is>
          <t>HBD at BMCR</t>
        </is>
      </c>
      <c r="E39" s="13" t="n">
        <v>13.03</v>
      </c>
    </row>
    <row r="40">
      <c r="A40" s="9" t="inlineStr">
        <is>
          <t>2)</t>
        </is>
      </c>
      <c r="B40" s="6" t="inlineStr">
        <is>
          <t>Deae. pres. fluct (PD1)</t>
        </is>
      </c>
      <c r="C40" s="9" t="inlineStr">
        <is>
          <t>bar.a</t>
        </is>
      </c>
      <c r="D40" s="6" t="inlineStr">
        <is>
          <t>P1 x 0.02</t>
        </is>
      </c>
      <c r="E40" s="10">
        <f>$E$39*0.02</f>
        <v/>
      </c>
    </row>
    <row r="41">
      <c r="A41" s="9" t="inlineStr">
        <is>
          <t>3)</t>
        </is>
      </c>
      <c r="B41" s="6" t="inlineStr">
        <is>
          <t>Piping &amp; valve PD incl. suction strainer (PD2)</t>
        </is>
      </c>
      <c r="C41" s="9" t="inlineStr">
        <is>
          <t>bar.a</t>
        </is>
      </c>
      <c r="D41" s="6" t="inlineStr">
        <is>
          <t>Assume</t>
        </is>
      </c>
      <c r="E41" s="13" t="n">
        <v>0.5</v>
      </c>
    </row>
    <row r="42">
      <c r="A42" s="9" t="inlineStr">
        <is>
          <t>4)</t>
        </is>
      </c>
      <c r="B42" s="6" t="inlineStr">
        <is>
          <t>Deaerator EL (E1)</t>
        </is>
      </c>
      <c r="C42" s="9" t="inlineStr">
        <is>
          <t>m</t>
        </is>
      </c>
      <c r="D42" s="6" t="inlineStr">
        <is>
          <t>G.A</t>
        </is>
      </c>
      <c r="E42" s="12" t="n">
        <v>23</v>
      </c>
    </row>
    <row r="43">
      <c r="A43" s="9" t="inlineStr">
        <is>
          <t>5)</t>
        </is>
      </c>
      <c r="B43" s="6" t="inlineStr">
        <is>
          <t>Pump center EL (E2)</t>
        </is>
      </c>
      <c r="C43" s="9" t="inlineStr">
        <is>
          <t>m</t>
        </is>
      </c>
      <c r="D43" s="6" t="inlineStr">
        <is>
          <t>EBARA BFP 견적 참조</t>
        </is>
      </c>
      <c r="E43" s="12" t="n">
        <v>2.05</v>
      </c>
    </row>
    <row r="44">
      <c r="A44" s="9" t="inlineStr">
        <is>
          <t>6)</t>
        </is>
      </c>
      <c r="B44" s="6" t="inlineStr">
        <is>
          <t>Static head (PH)</t>
        </is>
      </c>
      <c r="C44" s="9" t="inlineStr">
        <is>
          <t>bar.a</t>
        </is>
      </c>
      <c r="D44" s="6" t="inlineStr">
        <is>
          <t>(E1-E2)xS.G/10.2</t>
        </is>
      </c>
      <c r="E44" s="10">
        <f>($E$42-$E$43)*$E$17/10.2</f>
        <v/>
      </c>
    </row>
    <row r="45">
      <c r="A45" s="9" t="inlineStr">
        <is>
          <t>7)</t>
        </is>
      </c>
      <c r="B45" s="6" t="inlineStr">
        <is>
          <t>Suction Pressure (PS)</t>
        </is>
      </c>
      <c r="C45" s="9" t="inlineStr">
        <is>
          <t>bar.a</t>
        </is>
      </c>
      <c r="D45" s="6" t="inlineStr">
        <is>
          <t>P1-PD1-PD2+PH</t>
        </is>
      </c>
      <c r="E45" s="15">
        <f>$E$39-$E$40-$E$41+$E$44</f>
        <v/>
      </c>
    </row>
    <row r="46">
      <c r="A46" s="9" t="inlineStr"/>
      <c r="B46" s="6" t="inlineStr">
        <is>
          <t>포화증기압 (Sat. vapor pressure @191.7'C)</t>
        </is>
      </c>
      <c r="C46" s="9" t="inlineStr">
        <is>
          <t>bar.a</t>
        </is>
      </c>
      <c r="D46" s="6" t="inlineStr">
        <is>
          <t>Steam table</t>
        </is>
      </c>
      <c r="E46" s="18" t="n">
        <v>13.02468783</v>
      </c>
    </row>
    <row r="47">
      <c r="A47" s="9" t="inlineStr">
        <is>
          <t>8)</t>
        </is>
      </c>
      <c r="B47" s="6" t="inlineStr">
        <is>
          <t>NPSHa</t>
        </is>
      </c>
      <c r="C47" s="9" t="inlineStr">
        <is>
          <t>bar.a</t>
        </is>
      </c>
      <c r="D47" s="6" t="inlineStr">
        <is>
          <t>PS - 포화증기압</t>
        </is>
      </c>
      <c r="E47" s="10">
        <f>$E$45-$E$46</f>
        <v/>
      </c>
    </row>
    <row r="48">
      <c r="A48" s="9" t="inlineStr">
        <is>
          <t>9)</t>
        </is>
      </c>
      <c r="B48" s="6" t="inlineStr">
        <is>
          <t>NPSHa</t>
        </is>
      </c>
      <c r="C48" s="9" t="inlineStr">
        <is>
          <t>m</t>
        </is>
      </c>
      <c r="D48" s="6" t="inlineStr">
        <is>
          <t>bar.a to m</t>
        </is>
      </c>
      <c r="E48" s="10">
        <f>$E$47*10.2/$E$17</f>
        <v/>
      </c>
    </row>
    <row r="49">
      <c r="A49" s="9" t="inlineStr">
        <is>
          <t>10)</t>
        </is>
      </c>
      <c r="B49" s="6" t="inlineStr">
        <is>
          <t>selected NPSHa</t>
        </is>
      </c>
      <c r="C49" s="9" t="inlineStr">
        <is>
          <t>m</t>
        </is>
      </c>
      <c r="D49" s="6" t="inlineStr">
        <is>
          <t>round down</t>
        </is>
      </c>
      <c r="E49" s="19">
        <f>ROUNDDOWN($E$48,0)</f>
        <v/>
      </c>
    </row>
    <row r="51">
      <c r="A51" s="5" t="inlineStr">
        <is>
          <t>Pump Head and Power</t>
        </is>
      </c>
      <c r="B51" s="2" t="n"/>
      <c r="C51" s="2" t="n"/>
      <c r="D51" s="2" t="n"/>
      <c r="E51" s="2" t="n"/>
    </row>
    <row r="52">
      <c r="A52" s="14" t="inlineStr">
        <is>
          <t>Item</t>
        </is>
      </c>
      <c r="B52" s="14" t="inlineStr"/>
      <c r="C52" s="14" t="inlineStr"/>
      <c r="D52" s="14" t="inlineStr">
        <is>
          <t>Source</t>
        </is>
      </c>
      <c r="E52" s="14" t="inlineStr">
        <is>
          <t>Value</t>
        </is>
      </c>
    </row>
    <row r="53">
      <c r="A53" s="9" t="inlineStr">
        <is>
          <t>1)</t>
        </is>
      </c>
      <c r="B53" s="6" t="inlineStr">
        <is>
          <t>Total development head</t>
        </is>
      </c>
      <c r="C53" s="9" t="inlineStr">
        <is>
          <t>bar.a</t>
        </is>
      </c>
      <c r="D53" s="6" t="inlineStr">
        <is>
          <t>PD-PS</t>
        </is>
      </c>
      <c r="E53" s="15">
        <f>$E$35-$E$45</f>
        <v/>
      </c>
    </row>
    <row r="54">
      <c r="A54" s="9" t="inlineStr">
        <is>
          <t>2)</t>
        </is>
      </c>
      <c r="B54" s="6" t="inlineStr">
        <is>
          <t>Total development head</t>
        </is>
      </c>
      <c r="C54" s="9" t="inlineStr">
        <is>
          <t>m</t>
        </is>
      </c>
      <c r="D54" s="6" t="inlineStr">
        <is>
          <t>(1)x10.2/S.G)*1.05 (Head margin 5%, MSF)</t>
        </is>
      </c>
      <c r="E54" s="15">
        <f>($E$53*10.2/$E$17)*1.05</f>
        <v/>
      </c>
    </row>
  </sheetData>
  <mergeCells count="12">
    <mergeCell ref="A1:C1"/>
    <mergeCell ref="A2:E2"/>
    <mergeCell ref="A5:C5"/>
    <mergeCell ref="A10:E10"/>
    <mergeCell ref="A8:C8"/>
    <mergeCell ref="A6:C6"/>
    <mergeCell ref="A51:E51"/>
    <mergeCell ref="A3:C3"/>
    <mergeCell ref="A7:C7"/>
    <mergeCell ref="A37:E37"/>
    <mergeCell ref="A4:C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38" customWidth="1" min="4" max="4"/>
    <col width="16" customWidth="1" min="5" max="5"/>
  </cols>
  <sheetData>
    <row r="1">
      <c r="A1" s="1" t="inlineStr">
        <is>
          <t>Start-up Boiler Feed Water Pump Calculation</t>
        </is>
      </c>
      <c r="B1" s="2" t="n"/>
      <c r="C1" s="2" t="n"/>
      <c r="D1" s="3" t="inlineStr">
        <is>
          <t>95% Load, parallel operation</t>
        </is>
      </c>
      <c r="E1" s="4" t="inlineStr">
        <is>
          <t>2013.11.29</t>
        </is>
      </c>
    </row>
    <row r="2">
      <c r="A2" s="5" t="inlineStr">
        <is>
          <t>Basis / Input Parameters</t>
        </is>
      </c>
      <c r="B2" s="2" t="n"/>
      <c r="C2" s="2" t="n"/>
      <c r="D2" s="2" t="n"/>
      <c r="E2" s="2" t="n"/>
    </row>
    <row r="3">
      <c r="A3" s="6" t="inlineStr">
        <is>
          <t>Superheater outlet steam flow (BMCR)</t>
        </is>
      </c>
      <c r="B3" s="7" t="n"/>
      <c r="C3" s="8" t="n"/>
      <c r="D3" s="9" t="inlineStr">
        <is>
          <t>kg/s</t>
        </is>
      </c>
      <c r="E3" s="10" t="n">
        <v>875.141</v>
      </c>
    </row>
    <row r="4">
      <c r="A4" s="6" t="inlineStr">
        <is>
          <t>Seconds per hour</t>
        </is>
      </c>
      <c r="B4" s="7" t="n"/>
      <c r="C4" s="8" t="n"/>
      <c r="D4" s="9" t="inlineStr">
        <is>
          <t>s/h</t>
        </is>
      </c>
      <c r="E4" s="11" t="n">
        <v>3600</v>
      </c>
    </row>
    <row r="5">
      <c r="A5" s="6" t="inlineStr">
        <is>
          <t>Start-up load ratio (35% at BMCR)</t>
        </is>
      </c>
      <c r="B5" s="7" t="n"/>
      <c r="C5" s="8" t="n"/>
      <c r="D5" s="9" t="inlineStr">
        <is>
          <t>-</t>
        </is>
      </c>
      <c r="E5" s="12" t="n">
        <v>0.35</v>
      </c>
    </row>
    <row r="6">
      <c r="A6" s="6" t="inlineStr">
        <is>
          <t>Pump capacity margin (Surge5%+Wear6%)</t>
        </is>
      </c>
      <c r="B6" s="7" t="n"/>
      <c r="C6" s="8" t="n"/>
      <c r="D6" s="9" t="inlineStr">
        <is>
          <t>-</t>
        </is>
      </c>
      <c r="E6" s="12" t="n">
        <v>1.11</v>
      </c>
    </row>
    <row r="7">
      <c r="A7" s="6" t="inlineStr">
        <is>
          <t>Specific gravity @ design temp</t>
        </is>
      </c>
      <c r="B7" s="7" t="n"/>
      <c r="C7" s="8" t="n"/>
      <c r="D7" s="9" t="inlineStr">
        <is>
          <t>-</t>
        </is>
      </c>
      <c r="E7" s="10" t="n">
        <v>0.874178955</v>
      </c>
    </row>
    <row r="9">
      <c r="A9" s="5" t="inlineStr">
        <is>
          <t>Design Flow</t>
        </is>
      </c>
      <c r="B9" s="2" t="n"/>
      <c r="C9" s="2" t="n"/>
      <c r="D9" s="2" t="n"/>
      <c r="E9" s="2" t="n"/>
    </row>
    <row r="10">
      <c r="A10" s="14" t="inlineStr">
        <is>
          <t>Item</t>
        </is>
      </c>
      <c r="B10" s="14" t="inlineStr"/>
      <c r="C10" s="14" t="inlineStr">
        <is>
          <t>unit</t>
        </is>
      </c>
      <c r="D10" s="14" t="inlineStr">
        <is>
          <t>Source</t>
        </is>
      </c>
      <c r="E10" s="14" t="inlineStr">
        <is>
          <t>Value</t>
        </is>
      </c>
    </row>
    <row r="11">
      <c r="A11" s="9" t="inlineStr">
        <is>
          <t>1)</t>
        </is>
      </c>
      <c r="B11" s="6" t="inlineStr">
        <is>
          <t>Flow to boiler from one (1x100%) Start-up BFP</t>
        </is>
      </c>
      <c r="C11" s="9" t="inlineStr">
        <is>
          <t>kg/h</t>
        </is>
      </c>
      <c r="D11" s="6" t="inlineStr">
        <is>
          <t>Superheater outlet 기준(35%) at BMCR (875.141*3600*0.35)</t>
        </is>
      </c>
      <c r="E11" s="10">
        <f>$E$3*$E$4*$E$5</f>
        <v/>
      </c>
    </row>
    <row r="12">
      <c r="A12" s="9" t="inlineStr">
        <is>
          <t>2)</t>
        </is>
      </c>
      <c r="B12" s="6" t="inlineStr">
        <is>
          <t>Total flow</t>
        </is>
      </c>
      <c r="C12" s="9" t="inlineStr">
        <is>
          <t>kg/h</t>
        </is>
      </c>
      <c r="D12" s="6" t="inlineStr">
        <is>
          <t>1)</t>
        </is>
      </c>
      <c r="E12" s="10">
        <f>$E$11</f>
        <v/>
      </c>
    </row>
    <row r="13">
      <c r="A13" s="9" t="inlineStr">
        <is>
          <t>3)</t>
        </is>
      </c>
      <c r="B13" s="6" t="inlineStr">
        <is>
          <t>Pump capacity incl. margin (Surge5%+Wear6%)</t>
        </is>
      </c>
      <c r="C13" s="9" t="inlineStr">
        <is>
          <t>kg/h</t>
        </is>
      </c>
      <c r="D13" s="6" t="inlineStr">
        <is>
          <t>111% of 2)</t>
        </is>
      </c>
      <c r="E13" s="15">
        <f>$E$12*$E$6</f>
        <v/>
      </c>
    </row>
    <row r="14">
      <c r="A14" s="9" t="inlineStr">
        <is>
          <t>4)</t>
        </is>
      </c>
      <c r="B14" s="6" t="inlineStr">
        <is>
          <t>Design temp</t>
        </is>
      </c>
      <c r="C14" s="9" t="inlineStr">
        <is>
          <t>'C</t>
        </is>
      </c>
      <c r="D14" s="6" t="inlineStr">
        <is>
          <t>BFP suction (BMCR 100% 기준)</t>
        </is>
      </c>
      <c r="E14" s="16" t="n">
        <v>191.7</v>
      </c>
    </row>
    <row r="15">
      <c r="A15" s="9" t="inlineStr">
        <is>
          <t>5)</t>
        </is>
      </c>
      <c r="B15" s="6" t="inlineStr">
        <is>
          <t>Specific gravity</t>
        </is>
      </c>
      <c r="C15" s="9" t="inlineStr"/>
      <c r="D15" s="6" t="inlineStr"/>
      <c r="E15" s="10">
        <f>$E$7</f>
        <v/>
      </c>
    </row>
    <row r="16">
      <c r="A16" s="9" t="inlineStr">
        <is>
          <t>6)</t>
        </is>
      </c>
      <c r="B16" s="6" t="inlineStr">
        <is>
          <t>Pump Suction flow (Q1)</t>
        </is>
      </c>
      <c r="C16" s="9" t="inlineStr">
        <is>
          <t>m3/h</t>
        </is>
      </c>
      <c r="D16" s="6" t="inlineStr">
        <is>
          <t>3) divide 5)</t>
        </is>
      </c>
      <c r="E16" s="10">
        <f>$E$13/($E$15*1000)</f>
        <v/>
      </c>
    </row>
    <row r="17">
      <c r="A17" s="9" t="inlineStr">
        <is>
          <t>7)</t>
        </is>
      </c>
      <c r="B17" s="6" t="inlineStr">
        <is>
          <t>Pump Discharge flow (Q2)</t>
        </is>
      </c>
      <c r="C17" s="9" t="inlineStr">
        <is>
          <t>m3/h</t>
        </is>
      </c>
      <c r="D17" s="6" t="inlineStr">
        <is>
          <t>6)</t>
        </is>
      </c>
      <c r="E17" s="15">
        <f>$E$16</f>
        <v/>
      </c>
    </row>
    <row r="19">
      <c r="A19" s="5" t="inlineStr">
        <is>
          <t>Discharge Head</t>
        </is>
      </c>
      <c r="B19" s="2" t="n"/>
      <c r="C19" s="2" t="n"/>
      <c r="D19" s="2" t="n"/>
      <c r="E19" s="2" t="n"/>
    </row>
    <row r="20">
      <c r="A20" s="14" t="inlineStr">
        <is>
          <t>Item</t>
        </is>
      </c>
      <c r="B20" s="14" t="inlineStr"/>
      <c r="C20" s="14" t="inlineStr"/>
      <c r="D20" s="14" t="inlineStr">
        <is>
          <t>Source</t>
        </is>
      </c>
      <c r="E20" s="14" t="inlineStr">
        <is>
          <t>Value</t>
        </is>
      </c>
    </row>
    <row r="21">
      <c r="A21" s="9" t="inlineStr">
        <is>
          <t>1)</t>
        </is>
      </c>
      <c r="B21" s="6" t="inlineStr">
        <is>
          <t>Steam Turbine MSV inlet pressure</t>
        </is>
      </c>
      <c r="C21" s="9" t="inlineStr">
        <is>
          <t>bar.a</t>
        </is>
      </c>
      <c r="D21" s="6" t="inlineStr">
        <is>
          <t>HBD</t>
        </is>
      </c>
      <c r="E21" s="13" t="n">
        <v>250</v>
      </c>
    </row>
    <row r="22">
      <c r="A22" s="9" t="inlineStr">
        <is>
          <t>2)</t>
        </is>
      </c>
      <c r="B22" s="6" t="inlineStr">
        <is>
          <t>P.D economizer inlet htr → Boiler SH outlet hdr</t>
        </is>
      </c>
      <c r="C22" s="9" t="inlineStr">
        <is>
          <t>bar.a</t>
        </is>
      </c>
      <c r="D22" s="6" t="inlineStr">
        <is>
          <t>BMCR 100% P.D기준, 95%유량시 P.D</t>
        </is>
      </c>
      <c r="E22" s="13" t="n">
        <v>45.125</v>
      </c>
    </row>
    <row r="23">
      <c r="A23" s="9" t="inlineStr">
        <is>
          <t>3)</t>
        </is>
      </c>
      <c r="B23" s="6" t="inlineStr">
        <is>
          <t>P.D Boiler SH outlet hdr → ST MSV inlet</t>
        </is>
      </c>
      <c r="C23" s="9" t="inlineStr">
        <is>
          <t>bar.a</t>
        </is>
      </c>
      <c r="D23" s="6" t="inlineStr">
        <is>
          <t>BMCR 100% P.D기준, 95%유량시 P.D</t>
        </is>
      </c>
      <c r="E23" s="17" t="n">
        <v>8.57375</v>
      </c>
    </row>
    <row r="24">
      <c r="A24" s="9" t="inlineStr">
        <is>
          <t>4)</t>
        </is>
      </c>
      <c r="B24" s="6" t="inlineStr">
        <is>
          <t>Superheater outlet Elevation</t>
        </is>
      </c>
      <c r="C24" s="9" t="inlineStr">
        <is>
          <t>M</t>
        </is>
      </c>
      <c r="D24" s="6" t="inlineStr">
        <is>
          <t>Boiler G.A 참조</t>
        </is>
      </c>
      <c r="E24" s="12" t="n">
        <v>81</v>
      </c>
    </row>
    <row r="25">
      <c r="A25" s="9" t="inlineStr">
        <is>
          <t>5)</t>
        </is>
      </c>
      <c r="B25" s="6" t="inlineStr">
        <is>
          <t>Pump Center Elevation</t>
        </is>
      </c>
      <c r="C25" s="9" t="inlineStr">
        <is>
          <t>M</t>
        </is>
      </c>
      <c r="D25" s="6" t="inlineStr">
        <is>
          <t>EBARA BFP 견적 참조</t>
        </is>
      </c>
      <c r="E25" s="12" t="n">
        <v>2.05</v>
      </c>
    </row>
    <row r="26">
      <c r="A26" s="9" t="inlineStr">
        <is>
          <t>6)</t>
        </is>
      </c>
      <c r="B26" s="6" t="inlineStr">
        <is>
          <t>Static head</t>
        </is>
      </c>
      <c r="C26" s="9" t="inlineStr">
        <is>
          <t>bar.a</t>
        </is>
      </c>
      <c r="D26" s="6" t="inlineStr">
        <is>
          <t>(4)-5))xs.g/10.2</t>
        </is>
      </c>
      <c r="E26" s="10">
        <f>($E$24-$E$25)*$E$15/10.2</f>
        <v/>
      </c>
    </row>
    <row r="27">
      <c r="A27" s="9" t="inlineStr">
        <is>
          <t>7)</t>
        </is>
      </c>
      <c r="B27" s="6" t="inlineStr">
        <is>
          <t>Pressure Drop flow nozzle</t>
        </is>
      </c>
      <c r="C27" s="9" t="inlineStr">
        <is>
          <t>bar.a</t>
        </is>
      </c>
      <c r="D27" s="6" t="inlineStr">
        <is>
          <t>BMCR 100% P.D기준</t>
        </is>
      </c>
      <c r="E27" s="13" t="n">
        <v>0.6</v>
      </c>
    </row>
    <row r="28">
      <c r="A28" s="9" t="inlineStr">
        <is>
          <t>8)</t>
        </is>
      </c>
      <c r="B28" s="6" t="inlineStr">
        <is>
          <t>Pressure Drop heater 6</t>
        </is>
      </c>
      <c r="C28" s="9" t="inlineStr">
        <is>
          <t>bar.a</t>
        </is>
      </c>
      <c r="D28" s="6" t="inlineStr">
        <is>
          <t>Heater 견적 참조 (less than 1.7)</t>
        </is>
      </c>
      <c r="E28" s="13" t="n">
        <v>1.7</v>
      </c>
    </row>
    <row r="29">
      <c r="A29" s="9" t="inlineStr">
        <is>
          <t>9)</t>
        </is>
      </c>
      <c r="B29" s="6" t="inlineStr">
        <is>
          <t>Pressure Drop heater 7</t>
        </is>
      </c>
      <c r="C29" s="9" t="inlineStr">
        <is>
          <t>bar.a</t>
        </is>
      </c>
      <c r="D29" s="6" t="inlineStr">
        <is>
          <t>Heater 견적 참조 (less than 1.7)</t>
        </is>
      </c>
      <c r="E29" s="13" t="n">
        <v>1.7</v>
      </c>
    </row>
    <row r="30">
      <c r="A30" s="9" t="inlineStr">
        <is>
          <t>10)</t>
        </is>
      </c>
      <c r="B30" s="6" t="inlineStr">
        <is>
          <t>Pressure Drop heater 8</t>
        </is>
      </c>
      <c r="C30" s="9" t="inlineStr">
        <is>
          <t>bar.a</t>
        </is>
      </c>
      <c r="D30" s="6" t="inlineStr">
        <is>
          <t>Heater 견적 참조 (less than 1.7)</t>
        </is>
      </c>
      <c r="E30" s="13" t="n">
        <v>1.7</v>
      </c>
    </row>
    <row r="31">
      <c r="A31" s="9" t="inlineStr">
        <is>
          <t>11)</t>
        </is>
      </c>
      <c r="B31" s="6" t="inlineStr">
        <is>
          <t>Pressure Drop Piping</t>
        </is>
      </c>
      <c r="C31" s="9" t="inlineStr">
        <is>
          <t>bar.a</t>
        </is>
      </c>
      <c r="D31" s="6" t="inlineStr">
        <is>
          <t>BMCR 100% P.D기준, 95%유량시 P.D</t>
        </is>
      </c>
      <c r="E31" s="13" t="n">
        <v>9.025</v>
      </c>
    </row>
    <row r="32">
      <c r="A32" s="9" t="inlineStr">
        <is>
          <t>12)</t>
        </is>
      </c>
      <c r="B32" s="6" t="inlineStr">
        <is>
          <t>Calculated discharge P (PD)</t>
        </is>
      </c>
      <c r="C32" s="9" t="inlineStr">
        <is>
          <t>bar.a</t>
        </is>
      </c>
      <c r="D32" s="6" t="inlineStr">
        <is>
          <t>{1)+2)+3)+6)+7)+8)+9)+10)+11)}</t>
        </is>
      </c>
      <c r="E32" s="15">
        <f>$E$21+$E$22+$E$23+$E$26+$E$27+$E$28+$E$29+$E$30+$E$31</f>
        <v/>
      </c>
    </row>
    <row r="34">
      <c r="A34" s="5" t="inlineStr">
        <is>
          <t>Suction Head</t>
        </is>
      </c>
      <c r="B34" s="2" t="n"/>
      <c r="C34" s="2" t="n"/>
      <c r="D34" s="2" t="n"/>
      <c r="E34" s="2" t="n"/>
    </row>
    <row r="35">
      <c r="A35" s="14" t="inlineStr">
        <is>
          <t>Item</t>
        </is>
      </c>
      <c r="B35" s="14" t="inlineStr"/>
      <c r="C35" s="14" t="inlineStr"/>
      <c r="D35" s="14" t="inlineStr">
        <is>
          <t>Source</t>
        </is>
      </c>
      <c r="E35" s="14" t="inlineStr">
        <is>
          <t>Value</t>
        </is>
      </c>
    </row>
    <row r="36">
      <c r="A36" s="9" t="inlineStr">
        <is>
          <t>1)</t>
        </is>
      </c>
      <c r="B36" s="6" t="inlineStr">
        <is>
          <t>Deaerator pressure (P1)</t>
        </is>
      </c>
      <c r="C36" s="9" t="inlineStr">
        <is>
          <t>bar.a</t>
        </is>
      </c>
      <c r="D36" s="6" t="inlineStr">
        <is>
          <t>HBD</t>
        </is>
      </c>
      <c r="E36" s="13" t="n">
        <v>13.03</v>
      </c>
    </row>
    <row r="37">
      <c r="A37" s="9" t="inlineStr">
        <is>
          <t>2)</t>
        </is>
      </c>
      <c r="B37" s="6" t="inlineStr">
        <is>
          <t>Deae. pres. fluct (PD1)</t>
        </is>
      </c>
      <c r="C37" s="9" t="inlineStr">
        <is>
          <t>bar.a</t>
        </is>
      </c>
      <c r="D37" s="6" t="inlineStr">
        <is>
          <t>P1 x 0.02</t>
        </is>
      </c>
      <c r="E37" s="10">
        <f>$E$36*0.02</f>
        <v/>
      </c>
    </row>
    <row r="38">
      <c r="A38" s="9" t="inlineStr">
        <is>
          <t>3)</t>
        </is>
      </c>
      <c r="B38" s="6" t="inlineStr">
        <is>
          <t>Piping &amp; valve PD incl. suction strainer (PD2)</t>
        </is>
      </c>
      <c r="C38" s="9" t="inlineStr">
        <is>
          <t>bar.a</t>
        </is>
      </c>
      <c r="D38" s="6" t="inlineStr">
        <is>
          <t>Assume</t>
        </is>
      </c>
      <c r="E38" s="13" t="n">
        <v>0.5</v>
      </c>
    </row>
    <row r="39">
      <c r="A39" s="9" t="inlineStr">
        <is>
          <t>4)</t>
        </is>
      </c>
      <c r="B39" s="6" t="inlineStr">
        <is>
          <t>Deaerator EL (E1)</t>
        </is>
      </c>
      <c r="C39" s="9" t="inlineStr">
        <is>
          <t>m</t>
        </is>
      </c>
      <c r="D39" s="6" t="inlineStr">
        <is>
          <t>G.A</t>
        </is>
      </c>
      <c r="E39" s="12" t="n">
        <v>23</v>
      </c>
    </row>
    <row r="40">
      <c r="A40" s="9" t="inlineStr">
        <is>
          <t>5)</t>
        </is>
      </c>
      <c r="B40" s="6" t="inlineStr">
        <is>
          <t>Pump center EL (E2)</t>
        </is>
      </c>
      <c r="C40" s="9" t="inlineStr">
        <is>
          <t>m</t>
        </is>
      </c>
      <c r="D40" s="6" t="inlineStr">
        <is>
          <t>EBARA BFP 견적 참조</t>
        </is>
      </c>
      <c r="E40" s="12" t="n">
        <v>2.05</v>
      </c>
    </row>
    <row r="41">
      <c r="A41" s="9" t="inlineStr">
        <is>
          <t>6)</t>
        </is>
      </c>
      <c r="B41" s="6" t="inlineStr">
        <is>
          <t>Static head (PH)</t>
        </is>
      </c>
      <c r="C41" s="9" t="inlineStr">
        <is>
          <t>bar.a</t>
        </is>
      </c>
      <c r="D41" s="6" t="inlineStr">
        <is>
          <t>(E1-E2)xS.G/10.2</t>
        </is>
      </c>
      <c r="E41" s="10">
        <f>($E$39-$E$40)*$E$15/10.2</f>
        <v/>
      </c>
    </row>
    <row r="42">
      <c r="A42" s="9" t="inlineStr">
        <is>
          <t>7)</t>
        </is>
      </c>
      <c r="B42" s="6" t="inlineStr">
        <is>
          <t>Suction Pressure (PS)</t>
        </is>
      </c>
      <c r="C42" s="9" t="inlineStr">
        <is>
          <t>bar.a</t>
        </is>
      </c>
      <c r="D42" s="6" t="inlineStr">
        <is>
          <t>P1-PD1-PD2+PH</t>
        </is>
      </c>
      <c r="E42" s="15">
        <f>$E$36-$E$37-$E$38+$E$41</f>
        <v/>
      </c>
    </row>
    <row r="43">
      <c r="A43" s="9" t="inlineStr"/>
      <c r="B43" s="6" t="inlineStr">
        <is>
          <t>포화증기압 (Sat. vapor pressure)</t>
        </is>
      </c>
      <c r="C43" s="9" t="inlineStr">
        <is>
          <t>bar.a</t>
        </is>
      </c>
      <c r="D43" s="6" t="inlineStr">
        <is>
          <t>Steam table</t>
        </is>
      </c>
      <c r="E43" s="18" t="n">
        <v>13.02468783</v>
      </c>
    </row>
    <row r="44">
      <c r="A44" s="9" t="inlineStr">
        <is>
          <t>8)</t>
        </is>
      </c>
      <c r="B44" s="6" t="inlineStr">
        <is>
          <t>NPSHa</t>
        </is>
      </c>
      <c r="C44" s="9" t="inlineStr">
        <is>
          <t>bar.a</t>
        </is>
      </c>
      <c r="D44" s="6" t="inlineStr">
        <is>
          <t>PS - 포화증기압</t>
        </is>
      </c>
      <c r="E44" s="10">
        <f>$E$42-$E$43</f>
        <v/>
      </c>
    </row>
    <row r="45">
      <c r="A45" s="9" t="inlineStr">
        <is>
          <t>9)</t>
        </is>
      </c>
      <c r="B45" s="6" t="inlineStr">
        <is>
          <t>NPSHa</t>
        </is>
      </c>
      <c r="C45" s="9" t="inlineStr">
        <is>
          <t>m</t>
        </is>
      </c>
      <c r="D45" s="6" t="inlineStr">
        <is>
          <t>bar.a to m</t>
        </is>
      </c>
      <c r="E45" s="10">
        <f>$E$44*10.2/$E$15</f>
        <v/>
      </c>
    </row>
    <row r="46">
      <c r="A46" s="9" t="inlineStr">
        <is>
          <t>10)</t>
        </is>
      </c>
      <c r="B46" s="6" t="inlineStr">
        <is>
          <t>selected NPSHa</t>
        </is>
      </c>
      <c r="C46" s="9" t="inlineStr">
        <is>
          <t>m</t>
        </is>
      </c>
      <c r="D46" s="6" t="inlineStr">
        <is>
          <t>round down</t>
        </is>
      </c>
      <c r="E46" s="19">
        <f>ROUNDDOWN($E$45,0)</f>
        <v/>
      </c>
    </row>
    <row r="48">
      <c r="A48" s="5" t="inlineStr">
        <is>
          <t>Pump Head and Power</t>
        </is>
      </c>
      <c r="B48" s="2" t="n"/>
      <c r="C48" s="2" t="n"/>
      <c r="D48" s="2" t="n"/>
      <c r="E48" s="2" t="n"/>
    </row>
    <row r="49">
      <c r="A49" s="14" t="inlineStr">
        <is>
          <t>Item</t>
        </is>
      </c>
      <c r="B49" s="14" t="inlineStr"/>
      <c r="C49" s="14" t="inlineStr"/>
      <c r="D49" s="14" t="inlineStr">
        <is>
          <t>Source</t>
        </is>
      </c>
      <c r="E49" s="14" t="inlineStr">
        <is>
          <t>Value</t>
        </is>
      </c>
    </row>
    <row r="50">
      <c r="A50" s="9" t="inlineStr">
        <is>
          <t>1)</t>
        </is>
      </c>
      <c r="B50" s="6" t="inlineStr">
        <is>
          <t>Total development head</t>
        </is>
      </c>
      <c r="C50" s="9" t="inlineStr">
        <is>
          <t>bar.a</t>
        </is>
      </c>
      <c r="D50" s="6" t="inlineStr">
        <is>
          <t>PD-PS</t>
        </is>
      </c>
      <c r="E50" s="15">
        <f>$E$32-$E$42</f>
        <v/>
      </c>
    </row>
    <row r="51">
      <c r="A51" s="9" t="inlineStr">
        <is>
          <t>2)</t>
        </is>
      </c>
      <c r="B51" s="6" t="inlineStr">
        <is>
          <t>Total development head</t>
        </is>
      </c>
      <c r="C51" s="9" t="inlineStr">
        <is>
          <t>m</t>
        </is>
      </c>
      <c r="D51" s="6" t="inlineStr">
        <is>
          <t>(1)x10.2/S.G)x1.05 (Head margin 5%, MSF)</t>
        </is>
      </c>
      <c r="E51" s="15">
        <f>($E$50*10.2/$E$15)*1.05</f>
        <v/>
      </c>
    </row>
  </sheetData>
  <mergeCells count="11">
    <mergeCell ref="A34:E34"/>
    <mergeCell ref="A48:E48"/>
    <mergeCell ref="A1:C1"/>
    <mergeCell ref="A2:E2"/>
    <mergeCell ref="A5:C5"/>
    <mergeCell ref="A6:C6"/>
    <mergeCell ref="A19:E19"/>
    <mergeCell ref="A3:C3"/>
    <mergeCell ref="A7:C7"/>
    <mergeCell ref="A4:C4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38" customWidth="1" min="4" max="4"/>
    <col width="16" customWidth="1" min="5" max="5"/>
  </cols>
  <sheetData>
    <row r="1">
      <c r="A1" s="1" t="inlineStr">
        <is>
          <t>Start-up Boiler Feed Water Pump Calculation</t>
        </is>
      </c>
      <c r="B1" s="2" t="n"/>
      <c r="C1" s="2" t="n"/>
      <c r="D1" s="3" t="inlineStr">
        <is>
          <t>30% Load, single operation</t>
        </is>
      </c>
      <c r="E1" s="4" t="inlineStr">
        <is>
          <t>2013.11.29</t>
        </is>
      </c>
    </row>
    <row r="2">
      <c r="A2" s="5" t="inlineStr">
        <is>
          <t>Basis / Input Parameters</t>
        </is>
      </c>
      <c r="B2" s="2" t="n"/>
      <c r="C2" s="2" t="n"/>
      <c r="D2" s="2" t="n"/>
      <c r="E2" s="2" t="n"/>
    </row>
    <row r="3">
      <c r="A3" s="6" t="inlineStr">
        <is>
          <t>TMCR 30% steam flow</t>
        </is>
      </c>
      <c r="B3" s="7" t="n"/>
      <c r="C3" s="8" t="n"/>
      <c r="D3" s="9" t="inlineStr">
        <is>
          <t>kg/s</t>
        </is>
      </c>
      <c r="E3" s="10" t="n">
        <v>240.163</v>
      </c>
    </row>
    <row r="4">
      <c r="A4" s="6" t="inlineStr">
        <is>
          <t>Seconds per hour</t>
        </is>
      </c>
      <c r="B4" s="7" t="n"/>
      <c r="C4" s="8" t="n"/>
      <c r="D4" s="9" t="inlineStr">
        <is>
          <t>s/h</t>
        </is>
      </c>
      <c r="E4" s="11" t="n">
        <v>3600</v>
      </c>
    </row>
    <row r="5">
      <c r="A5" s="6" t="inlineStr">
        <is>
          <t>Pump capacity margin (Surge5%+Wear6%)</t>
        </is>
      </c>
      <c r="B5" s="7" t="n"/>
      <c r="C5" s="8" t="n"/>
      <c r="D5" s="9" t="inlineStr">
        <is>
          <t>-</t>
        </is>
      </c>
      <c r="E5" s="12" t="n">
        <v>1.11</v>
      </c>
    </row>
    <row r="6">
      <c r="A6" s="6" t="inlineStr">
        <is>
          <t>Specific gravity @ design temp</t>
        </is>
      </c>
      <c r="B6" s="7" t="n"/>
      <c r="C6" s="8" t="n"/>
      <c r="D6" s="9" t="inlineStr">
        <is>
          <t>-</t>
        </is>
      </c>
      <c r="E6" s="10" t="n">
        <v>0.917938395</v>
      </c>
    </row>
    <row r="8">
      <c r="A8" s="5" t="inlineStr">
        <is>
          <t>Design Flow</t>
        </is>
      </c>
      <c r="B8" s="2" t="n"/>
      <c r="C8" s="2" t="n"/>
      <c r="D8" s="2" t="n"/>
      <c r="E8" s="2" t="n"/>
    </row>
    <row r="9">
      <c r="A9" s="14" t="inlineStr">
        <is>
          <t>Item</t>
        </is>
      </c>
      <c r="B9" s="14" t="inlineStr"/>
      <c r="C9" s="14" t="inlineStr">
        <is>
          <t>unit</t>
        </is>
      </c>
      <c r="D9" s="14" t="inlineStr">
        <is>
          <t>Source</t>
        </is>
      </c>
      <c r="E9" s="14" t="inlineStr">
        <is>
          <t>Value</t>
        </is>
      </c>
    </row>
    <row r="10">
      <c r="A10" s="9" t="inlineStr">
        <is>
          <t>1)</t>
        </is>
      </c>
      <c r="B10" s="6" t="inlineStr">
        <is>
          <t>Flow to boiler from one (1x100%) Start-up BFP</t>
        </is>
      </c>
      <c r="C10" s="9" t="inlineStr">
        <is>
          <t>kg/h</t>
        </is>
      </c>
      <c r="D10" s="6" t="inlineStr">
        <is>
          <t>HBD TMCR 30% load 기준 (240.163*3600)</t>
        </is>
      </c>
      <c r="E10" s="10">
        <f>$E$3*$E$4</f>
        <v/>
      </c>
    </row>
    <row r="11">
      <c r="A11" s="9" t="inlineStr">
        <is>
          <t>2)</t>
        </is>
      </c>
      <c r="B11" s="6" t="inlineStr">
        <is>
          <t>Total flow</t>
        </is>
      </c>
      <c r="C11" s="9" t="inlineStr">
        <is>
          <t>kg/h</t>
        </is>
      </c>
      <c r="D11" s="6" t="inlineStr">
        <is>
          <t>1)</t>
        </is>
      </c>
      <c r="E11" s="10">
        <f>$E$10</f>
        <v/>
      </c>
    </row>
    <row r="12">
      <c r="A12" s="9" t="inlineStr">
        <is>
          <t>3)</t>
        </is>
      </c>
      <c r="B12" s="6" t="inlineStr">
        <is>
          <t>Pump capacity incl. margin (Surge5%+Wear6%)</t>
        </is>
      </c>
      <c r="C12" s="9" t="inlineStr">
        <is>
          <t>kg/h</t>
        </is>
      </c>
      <c r="D12" s="6" t="inlineStr">
        <is>
          <t>111% of 2)</t>
        </is>
      </c>
      <c r="E12" s="15">
        <f>$E$11*$E$5</f>
        <v/>
      </c>
    </row>
    <row r="13">
      <c r="A13" s="9" t="inlineStr">
        <is>
          <t>4)</t>
        </is>
      </c>
      <c r="B13" s="6" t="inlineStr">
        <is>
          <t>Design temp</t>
        </is>
      </c>
      <c r="C13" s="9" t="inlineStr">
        <is>
          <t>'C</t>
        </is>
      </c>
      <c r="D13" s="6" t="inlineStr">
        <is>
          <t>BFP suction (HBD MCR 30%)</t>
        </is>
      </c>
      <c r="E13" s="16" t="n">
        <v>149</v>
      </c>
    </row>
    <row r="14">
      <c r="A14" s="9" t="inlineStr">
        <is>
          <t>5)</t>
        </is>
      </c>
      <c r="B14" s="6" t="inlineStr">
        <is>
          <t>Specific gravity</t>
        </is>
      </c>
      <c r="C14" s="9" t="inlineStr"/>
      <c r="D14" s="6" t="inlineStr"/>
      <c r="E14" s="10">
        <f>$E$6</f>
        <v/>
      </c>
    </row>
    <row r="15">
      <c r="A15" s="9" t="inlineStr">
        <is>
          <t>6)</t>
        </is>
      </c>
      <c r="B15" s="6" t="inlineStr">
        <is>
          <t>Pump Suction flow (Q1)</t>
        </is>
      </c>
      <c r="C15" s="9" t="inlineStr">
        <is>
          <t>m3/h</t>
        </is>
      </c>
      <c r="D15" s="6" t="inlineStr">
        <is>
          <t>3) divide 5)</t>
        </is>
      </c>
      <c r="E15" s="10">
        <f>$E$12/($E$14*1000)</f>
        <v/>
      </c>
    </row>
    <row r="16">
      <c r="A16" s="9" t="inlineStr">
        <is>
          <t>7)</t>
        </is>
      </c>
      <c r="B16" s="6" t="inlineStr">
        <is>
          <t>Pump Discharge flow (Q2)</t>
        </is>
      </c>
      <c r="C16" s="9" t="inlineStr">
        <is>
          <t>m3/h</t>
        </is>
      </c>
      <c r="D16" s="6" t="inlineStr">
        <is>
          <t>6)</t>
        </is>
      </c>
      <c r="E16" s="15">
        <f>$E$15</f>
        <v/>
      </c>
    </row>
    <row r="18">
      <c r="A18" s="5" t="inlineStr">
        <is>
          <t>Discharge Head</t>
        </is>
      </c>
      <c r="B18" s="2" t="n"/>
      <c r="C18" s="2" t="n"/>
      <c r="D18" s="2" t="n"/>
      <c r="E18" s="2" t="n"/>
    </row>
    <row r="19">
      <c r="A19" s="14" t="inlineStr">
        <is>
          <t>Item</t>
        </is>
      </c>
      <c r="B19" s="14" t="inlineStr"/>
      <c r="C19" s="14" t="inlineStr"/>
      <c r="D19" s="14" t="inlineStr">
        <is>
          <t>Source</t>
        </is>
      </c>
      <c r="E19" s="14" t="inlineStr">
        <is>
          <t>Value</t>
        </is>
      </c>
    </row>
    <row r="20">
      <c r="A20" s="9" t="inlineStr">
        <is>
          <t>1)</t>
        </is>
      </c>
      <c r="B20" s="6" t="inlineStr">
        <is>
          <t>Steam Turbine MSV inlet pressure</t>
        </is>
      </c>
      <c r="C20" s="9" t="inlineStr">
        <is>
          <t>bar.a</t>
        </is>
      </c>
      <c r="D20" s="6" t="inlineStr">
        <is>
          <t>HBD 30%</t>
        </is>
      </c>
      <c r="E20" s="13" t="n">
        <v>100</v>
      </c>
    </row>
    <row r="21">
      <c r="A21" s="9" t="inlineStr">
        <is>
          <t>2)</t>
        </is>
      </c>
      <c r="B21" s="6" t="inlineStr">
        <is>
          <t>P.D economizer inlet htr → Boiler SH outlet hdr</t>
        </is>
      </c>
      <c r="C21" s="9" t="inlineStr">
        <is>
          <t>bar.a</t>
        </is>
      </c>
      <c r="D21" s="6" t="inlineStr">
        <is>
          <t>BMCR 100% P.D기준, 30%유량시 P.D</t>
        </is>
      </c>
      <c r="E21" s="13" t="n">
        <v>4.5</v>
      </c>
    </row>
    <row r="22">
      <c r="A22" s="9" t="inlineStr">
        <is>
          <t>3)</t>
        </is>
      </c>
      <c r="B22" s="6" t="inlineStr">
        <is>
          <t>P.D Boiler SH outlet hdr → ST MSV inlet</t>
        </is>
      </c>
      <c r="C22" s="9" t="inlineStr">
        <is>
          <t>bar.a</t>
        </is>
      </c>
      <c r="D22" s="6" t="inlineStr">
        <is>
          <t>BMCR 100% P.D기준, 30%유량시 P.D</t>
        </is>
      </c>
      <c r="E22" s="17" t="n">
        <v>0.855</v>
      </c>
    </row>
    <row r="23">
      <c r="A23" s="9" t="inlineStr">
        <is>
          <t>4)</t>
        </is>
      </c>
      <c r="B23" s="6" t="inlineStr">
        <is>
          <t>Superheater outlet Elevation</t>
        </is>
      </c>
      <c r="C23" s="9" t="inlineStr">
        <is>
          <t>M</t>
        </is>
      </c>
      <c r="D23" s="6" t="inlineStr">
        <is>
          <t>Boiler G.A 참조</t>
        </is>
      </c>
      <c r="E23" s="12" t="n">
        <v>81</v>
      </c>
    </row>
    <row r="24">
      <c r="A24" s="9" t="inlineStr">
        <is>
          <t>5)</t>
        </is>
      </c>
      <c r="B24" s="6" t="inlineStr">
        <is>
          <t>Pump Center Elevation</t>
        </is>
      </c>
      <c r="C24" s="9" t="inlineStr">
        <is>
          <t>M</t>
        </is>
      </c>
      <c r="D24" s="6" t="inlineStr">
        <is>
          <t>EBARA BFP 견적 참조</t>
        </is>
      </c>
      <c r="E24" s="12" t="n">
        <v>2.05</v>
      </c>
    </row>
    <row r="25">
      <c r="A25" s="9" t="inlineStr">
        <is>
          <t>6)</t>
        </is>
      </c>
      <c r="B25" s="6" t="inlineStr">
        <is>
          <t>Static head</t>
        </is>
      </c>
      <c r="C25" s="9" t="inlineStr">
        <is>
          <t>bar.a</t>
        </is>
      </c>
      <c r="D25" s="6" t="inlineStr">
        <is>
          <t>(4)-5))xs.g/10.2</t>
        </is>
      </c>
      <c r="E25" s="10">
        <f>($E$23-$E$24)*$E$14/10.2</f>
        <v/>
      </c>
    </row>
    <row r="26">
      <c r="A26" s="9" t="inlineStr">
        <is>
          <t>7)</t>
        </is>
      </c>
      <c r="B26" s="6" t="inlineStr">
        <is>
          <t>Pressure Drop flow nozzle</t>
        </is>
      </c>
      <c r="C26" s="9" t="inlineStr">
        <is>
          <t>bar.a</t>
        </is>
      </c>
      <c r="D26" s="6" t="inlineStr">
        <is>
          <t>BMCR 100% P.D기준</t>
        </is>
      </c>
      <c r="E26" s="13" t="n">
        <v>0.6</v>
      </c>
    </row>
    <row r="27">
      <c r="A27" s="9" t="inlineStr">
        <is>
          <t>8)</t>
        </is>
      </c>
      <c r="B27" s="6" t="inlineStr">
        <is>
          <t>Pressure Drop heater 6</t>
        </is>
      </c>
      <c r="C27" s="9" t="inlineStr">
        <is>
          <t>bar.a</t>
        </is>
      </c>
      <c r="D27" s="6" t="inlineStr">
        <is>
          <t>BMCR 100% P.D기준, 30%유량시 P.D</t>
        </is>
      </c>
      <c r="E27" s="13" t="n">
        <v>0.153</v>
      </c>
    </row>
    <row r="28">
      <c r="A28" s="9" t="inlineStr">
        <is>
          <t>9)</t>
        </is>
      </c>
      <c r="B28" s="6" t="inlineStr">
        <is>
          <t>Pressure Drop heater 7</t>
        </is>
      </c>
      <c r="C28" s="9" t="inlineStr">
        <is>
          <t>bar.a</t>
        </is>
      </c>
      <c r="D28" s="6" t="inlineStr">
        <is>
          <t>BMCR 100% P.D기준, 30%유량시 P.D</t>
        </is>
      </c>
      <c r="E28" s="13" t="n">
        <v>0.153</v>
      </c>
    </row>
    <row r="29">
      <c r="A29" s="9" t="inlineStr">
        <is>
          <t>10)</t>
        </is>
      </c>
      <c r="B29" s="6" t="inlineStr">
        <is>
          <t>Pressure Drop heater 8</t>
        </is>
      </c>
      <c r="C29" s="9" t="inlineStr">
        <is>
          <t>bar.a</t>
        </is>
      </c>
      <c r="D29" s="6" t="inlineStr">
        <is>
          <t>BMCR 100% P.D기준, 30%유량시 P.D</t>
        </is>
      </c>
      <c r="E29" s="13" t="n">
        <v>0.153</v>
      </c>
    </row>
    <row r="30">
      <c r="A30" s="9" t="inlineStr">
        <is>
          <t>11)</t>
        </is>
      </c>
      <c r="B30" s="6" t="inlineStr">
        <is>
          <t>Pressure Drop Piping</t>
        </is>
      </c>
      <c r="C30" s="9" t="inlineStr">
        <is>
          <t>bar.a</t>
        </is>
      </c>
      <c r="D30" s="6" t="inlineStr">
        <is>
          <t>BMCR 100% P.D기준, 30%유량시 P.D</t>
        </is>
      </c>
      <c r="E30" s="13" t="n">
        <v>0.9</v>
      </c>
    </row>
    <row r="31">
      <c r="A31" s="9" t="inlineStr">
        <is>
          <t>12)</t>
        </is>
      </c>
      <c r="B31" s="6" t="inlineStr">
        <is>
          <t>Calculated discharge P (PD)</t>
        </is>
      </c>
      <c r="C31" s="9" t="inlineStr">
        <is>
          <t>bar.a</t>
        </is>
      </c>
      <c r="D31" s="6" t="inlineStr">
        <is>
          <t>{1)+2)+3)+6)+7)+8)+9)+10)+11)}</t>
        </is>
      </c>
      <c r="E31" s="15">
        <f>$E$20+$E$21+$E$22+$E$25+$E$26+$E$27+$E$28+$E$29+$E$30</f>
        <v/>
      </c>
    </row>
    <row r="33">
      <c r="A33" s="5" t="inlineStr">
        <is>
          <t>Suction Head</t>
        </is>
      </c>
      <c r="B33" s="2" t="n"/>
      <c r="C33" s="2" t="n"/>
      <c r="D33" s="2" t="n"/>
      <c r="E33" s="2" t="n"/>
    </row>
    <row r="34">
      <c r="A34" s="14" t="inlineStr">
        <is>
          <t>Item</t>
        </is>
      </c>
      <c r="B34" s="14" t="inlineStr"/>
      <c r="C34" s="14" t="inlineStr"/>
      <c r="D34" s="14" t="inlineStr">
        <is>
          <t>Source</t>
        </is>
      </c>
      <c r="E34" s="14" t="inlineStr">
        <is>
          <t>Value</t>
        </is>
      </c>
    </row>
    <row r="35">
      <c r="A35" s="9" t="inlineStr">
        <is>
          <t>1)</t>
        </is>
      </c>
      <c r="B35" s="6" t="inlineStr">
        <is>
          <t>Deaerator pressure (P1)</t>
        </is>
      </c>
      <c r="C35" s="9" t="inlineStr">
        <is>
          <t>bar.a</t>
        </is>
      </c>
      <c r="D35" s="6" t="inlineStr">
        <is>
          <t>30% Load HBD</t>
        </is>
      </c>
      <c r="E35" s="13" t="n">
        <v>4.64</v>
      </c>
    </row>
    <row r="36">
      <c r="A36" s="9" t="inlineStr">
        <is>
          <t>2)</t>
        </is>
      </c>
      <c r="B36" s="6" t="inlineStr">
        <is>
          <t>Deae. pres. fluct (PD1)</t>
        </is>
      </c>
      <c r="C36" s="9" t="inlineStr">
        <is>
          <t>bar.a</t>
        </is>
      </c>
      <c r="D36" s="6" t="inlineStr">
        <is>
          <t>P1 x 0.02</t>
        </is>
      </c>
      <c r="E36" s="10">
        <f>$E$35*0.02</f>
        <v/>
      </c>
    </row>
    <row r="37">
      <c r="A37" s="9" t="inlineStr">
        <is>
          <t>3)</t>
        </is>
      </c>
      <c r="B37" s="6" t="inlineStr">
        <is>
          <t>Piping &amp; valve PD incl. suction strainer (PD2)</t>
        </is>
      </c>
      <c r="C37" s="9" t="inlineStr">
        <is>
          <t>bar.a</t>
        </is>
      </c>
      <c r="D37" s="6" t="inlineStr">
        <is>
          <t>Assume</t>
        </is>
      </c>
      <c r="E37" s="13" t="n">
        <v>0.5</v>
      </c>
    </row>
    <row r="38">
      <c r="A38" s="9" t="inlineStr">
        <is>
          <t>4)</t>
        </is>
      </c>
      <c r="B38" s="6" t="inlineStr">
        <is>
          <t>Deaerator EL (E1)</t>
        </is>
      </c>
      <c r="C38" s="9" t="inlineStr">
        <is>
          <t>m</t>
        </is>
      </c>
      <c r="D38" s="6" t="inlineStr">
        <is>
          <t>G.A</t>
        </is>
      </c>
      <c r="E38" s="12" t="n">
        <v>23</v>
      </c>
    </row>
    <row r="39">
      <c r="A39" s="9" t="inlineStr">
        <is>
          <t>5)</t>
        </is>
      </c>
      <c r="B39" s="6" t="inlineStr">
        <is>
          <t>Pump center EL (E2)</t>
        </is>
      </c>
      <c r="C39" s="9" t="inlineStr">
        <is>
          <t>m</t>
        </is>
      </c>
      <c r="D39" s="6" t="inlineStr">
        <is>
          <t>EBARA BFP 견적 참조</t>
        </is>
      </c>
      <c r="E39" s="12" t="n">
        <v>2.05</v>
      </c>
    </row>
    <row r="40">
      <c r="A40" s="9" t="inlineStr">
        <is>
          <t>6)</t>
        </is>
      </c>
      <c r="B40" s="6" t="inlineStr">
        <is>
          <t>Static head (PH)</t>
        </is>
      </c>
      <c r="C40" s="9" t="inlineStr">
        <is>
          <t>bar.a</t>
        </is>
      </c>
      <c r="D40" s="6" t="inlineStr">
        <is>
          <t>(E1-E2)xS.G/10.2</t>
        </is>
      </c>
      <c r="E40" s="10">
        <f>($E$38-$E$39)*$E$14/10.2</f>
        <v/>
      </c>
    </row>
    <row r="41">
      <c r="A41" s="9" t="inlineStr">
        <is>
          <t>7)</t>
        </is>
      </c>
      <c r="B41" s="6" t="inlineStr">
        <is>
          <t>Suction Pressure (PS)</t>
        </is>
      </c>
      <c r="C41" s="9" t="inlineStr">
        <is>
          <t>bar.a</t>
        </is>
      </c>
      <c r="D41" s="6" t="inlineStr">
        <is>
          <t>P1-PD1-PD2+PH</t>
        </is>
      </c>
      <c r="E41" s="15">
        <f>$E$35-$E$36-$E$37+$E$40</f>
        <v/>
      </c>
    </row>
    <row r="42">
      <c r="A42" s="9" t="inlineStr"/>
      <c r="B42" s="6" t="inlineStr">
        <is>
          <t>포화증기압 (Sat. vapor pressure)</t>
        </is>
      </c>
      <c r="C42" s="9" t="inlineStr">
        <is>
          <t>bar.a</t>
        </is>
      </c>
      <c r="D42" s="6" t="inlineStr">
        <is>
          <t>Steam table</t>
        </is>
      </c>
      <c r="E42" s="18" t="n">
        <v>4.634767973</v>
      </c>
    </row>
    <row r="43">
      <c r="A43" s="9" t="inlineStr">
        <is>
          <t>8)</t>
        </is>
      </c>
      <c r="B43" s="6" t="inlineStr">
        <is>
          <t>NPSHa</t>
        </is>
      </c>
      <c r="C43" s="9" t="inlineStr">
        <is>
          <t>bar.a</t>
        </is>
      </c>
      <c r="D43" s="6" t="inlineStr">
        <is>
          <t>PS - 포화증기압</t>
        </is>
      </c>
      <c r="E43" s="10">
        <f>$E$41-$E$42</f>
        <v/>
      </c>
    </row>
    <row r="44">
      <c r="A44" s="9" t="inlineStr">
        <is>
          <t>9)</t>
        </is>
      </c>
      <c r="B44" s="6" t="inlineStr">
        <is>
          <t>NPSHa</t>
        </is>
      </c>
      <c r="C44" s="9" t="inlineStr">
        <is>
          <t>m</t>
        </is>
      </c>
      <c r="D44" s="6" t="inlineStr">
        <is>
          <t>bar.a to m</t>
        </is>
      </c>
      <c r="E44" s="10">
        <f>$E$43*10.2/$E$14</f>
        <v/>
      </c>
    </row>
    <row r="45">
      <c r="A45" s="9" t="inlineStr">
        <is>
          <t>10)</t>
        </is>
      </c>
      <c r="B45" s="6" t="inlineStr">
        <is>
          <t>selected NPSHa</t>
        </is>
      </c>
      <c r="C45" s="9" t="inlineStr">
        <is>
          <t>m</t>
        </is>
      </c>
      <c r="D45" s="6" t="inlineStr">
        <is>
          <t>round down</t>
        </is>
      </c>
      <c r="E45" s="19">
        <f>ROUNDDOWN($E$44,0)</f>
        <v/>
      </c>
    </row>
    <row r="47">
      <c r="A47" s="5" t="inlineStr">
        <is>
          <t>Pump Head and Power</t>
        </is>
      </c>
      <c r="B47" s="2" t="n"/>
      <c r="C47" s="2" t="n"/>
      <c r="D47" s="2" t="n"/>
      <c r="E47" s="2" t="n"/>
    </row>
    <row r="48">
      <c r="A48" s="14" t="inlineStr">
        <is>
          <t>Item</t>
        </is>
      </c>
      <c r="B48" s="14" t="inlineStr"/>
      <c r="C48" s="14" t="inlineStr"/>
      <c r="D48" s="14" t="inlineStr">
        <is>
          <t>Source</t>
        </is>
      </c>
      <c r="E48" s="14" t="inlineStr">
        <is>
          <t>Value</t>
        </is>
      </c>
    </row>
    <row r="49">
      <c r="A49" s="9" t="inlineStr">
        <is>
          <t>1)</t>
        </is>
      </c>
      <c r="B49" s="6" t="inlineStr">
        <is>
          <t>Total development head</t>
        </is>
      </c>
      <c r="C49" s="9" t="inlineStr">
        <is>
          <t>bar.a</t>
        </is>
      </c>
      <c r="D49" s="6" t="inlineStr">
        <is>
          <t>PD-PS</t>
        </is>
      </c>
      <c r="E49" s="15">
        <f>$E$31-$E$41</f>
        <v/>
      </c>
    </row>
    <row r="50">
      <c r="A50" s="9" t="inlineStr">
        <is>
          <t>2)</t>
        </is>
      </c>
      <c r="B50" s="6" t="inlineStr">
        <is>
          <t>Total development head</t>
        </is>
      </c>
      <c r="C50" s="9" t="inlineStr">
        <is>
          <t>m</t>
        </is>
      </c>
      <c r="D50" s="6" t="inlineStr">
        <is>
          <t>(1)x10.2/S.G)x1.05 (Head margin 5%, MSF)</t>
        </is>
      </c>
      <c r="E50" s="15">
        <f>($E$49*10.2/$E$14)*1.05</f>
        <v/>
      </c>
    </row>
  </sheetData>
  <mergeCells count="10">
    <mergeCell ref="A1:C1"/>
    <mergeCell ref="A2:E2"/>
    <mergeCell ref="A5:C5"/>
    <mergeCell ref="A6:C6"/>
    <mergeCell ref="A33:E33"/>
    <mergeCell ref="A47:E47"/>
    <mergeCell ref="A3:C3"/>
    <mergeCell ref="A8:E8"/>
    <mergeCell ref="A4:C4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2026-06-05T02:21:51Z</dcterms:created>
  <dcterms:modified xmlns:dcterms="http://purl.org/dc/terms/" xmlns:xsi="http://www.w3.org/2001/XMLSchema-instance" xsi:type="dcterms:W3CDTF">2026-06-05T02:21:51Z</dcterms:modified>
</cp:coreProperties>
</file>