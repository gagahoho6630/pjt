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ensate" sheetId="2" state="visible" r:id="rId2"/>
    <sheet xmlns:r="http://schemas.openxmlformats.org/officeDocument/2006/relationships" name="Service&amp;Fire" sheetId="3" state="visible" r:id="rId3"/>
    <sheet xmlns:r="http://schemas.openxmlformats.org/officeDocument/2006/relationships" name="Demi" sheetId="4" state="visible" r:id="rId4"/>
    <sheet xmlns:r="http://schemas.openxmlformats.org/officeDocument/2006/relationships" name="FuelOil" sheetId="5" state="visible" r:id="rId5"/>
    <sheet xmlns:r="http://schemas.openxmlformats.org/officeDocument/2006/relationships" name="Seawa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D9E1F2"/>
      </patternFill>
    </fill>
    <fill>
      <patternFill patternType="solid">
        <fgColor rgb="00FF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Storage Tank Sizing Summary</t>
        </is>
      </c>
    </row>
    <row r="3">
      <c r="A3" s="2" t="inlineStr">
        <is>
          <t>No</t>
        </is>
      </c>
      <c r="B3" s="2" t="inlineStr">
        <is>
          <t>Tank</t>
        </is>
      </c>
      <c r="C3" s="2" t="inlineStr">
        <is>
          <t>Required Vw (m³)</t>
        </is>
      </c>
      <c r="D3" s="2" t="inlineStr">
        <is>
          <t>Sel. D (m)</t>
        </is>
      </c>
      <c r="E3" s="2" t="inlineStr">
        <is>
          <t>Sel. H (m)</t>
        </is>
      </c>
      <c r="F3" s="2" t="inlineStr">
        <is>
          <t>H/D</t>
        </is>
      </c>
      <c r="G3" s="2" t="inlineStr">
        <is>
          <t>Sel. Volume (m³)</t>
        </is>
      </c>
      <c r="H3" s="2" t="inlineStr">
        <is>
          <t>Net Capacity (m³)</t>
        </is>
      </c>
      <c r="I3" s="2" t="inlineStr">
        <is>
          <t>Result</t>
        </is>
      </c>
    </row>
    <row r="4">
      <c r="A4" s="3" t="n">
        <v>1</v>
      </c>
      <c r="B4" s="4" t="inlineStr">
        <is>
          <t>Condensate Storage Tank</t>
        </is>
      </c>
      <c r="C4" s="5">
        <f>'Condensate'!E8</f>
        <v/>
      </c>
      <c r="D4" s="6">
        <f>'Condensate'!E41</f>
        <v/>
      </c>
      <c r="E4" s="6">
        <f>'Condensate'!E40</f>
        <v/>
      </c>
      <c r="F4" s="7">
        <f>'Condensate'!G39</f>
        <v/>
      </c>
      <c r="G4" s="6">
        <f>'Condensate'!E42</f>
        <v/>
      </c>
      <c r="H4" s="8">
        <f>'Condensate'!D47</f>
        <v/>
      </c>
      <c r="I4" s="9">
        <f>'Condensate'!E49</f>
        <v/>
      </c>
    </row>
    <row r="5">
      <c r="A5" s="3" t="n">
        <v>2</v>
      </c>
      <c r="B5" s="4" t="inlineStr">
        <is>
          <t>Service &amp; Fire water Storage Tank</t>
        </is>
      </c>
      <c r="C5" s="5">
        <f>'Service&amp;Fire'!E8</f>
        <v/>
      </c>
      <c r="D5" s="6">
        <f>'Service&amp;Fire'!E41</f>
        <v/>
      </c>
      <c r="E5" s="6">
        <f>'Service&amp;Fire'!E40</f>
        <v/>
      </c>
      <c r="F5" s="7">
        <f>'Service&amp;Fire'!G39</f>
        <v/>
      </c>
      <c r="G5" s="6">
        <f>'Service&amp;Fire'!E42</f>
        <v/>
      </c>
      <c r="H5" s="8">
        <f>'Service&amp;Fire'!D47</f>
        <v/>
      </c>
      <c r="I5" s="9">
        <f>'Service&amp;Fire'!E49</f>
        <v/>
      </c>
    </row>
    <row r="6">
      <c r="A6" s="3" t="n">
        <v>3</v>
      </c>
      <c r="B6" s="4" t="inlineStr">
        <is>
          <t>Demi. water Storage Tank</t>
        </is>
      </c>
      <c r="C6" s="5">
        <f>'Demi'!E8</f>
        <v/>
      </c>
      <c r="D6" s="6">
        <f>'Demi'!E41</f>
        <v/>
      </c>
      <c r="E6" s="6">
        <f>'Demi'!E40</f>
        <v/>
      </c>
      <c r="F6" s="7">
        <f>'Demi'!G39</f>
        <v/>
      </c>
      <c r="G6" s="6">
        <f>'Demi'!E42</f>
        <v/>
      </c>
      <c r="H6" s="8">
        <f>'Demi'!D47</f>
        <v/>
      </c>
      <c r="I6" s="9">
        <f>'Demi'!E49</f>
        <v/>
      </c>
    </row>
    <row r="7">
      <c r="A7" s="3" t="n">
        <v>4</v>
      </c>
      <c r="B7" s="4" t="inlineStr">
        <is>
          <t>Fuel Oil Storage Tank</t>
        </is>
      </c>
      <c r="C7" s="5">
        <f>'FuelOil'!E8</f>
        <v/>
      </c>
      <c r="D7" s="6">
        <f>'FuelOil'!E41</f>
        <v/>
      </c>
      <c r="E7" s="6">
        <f>'FuelOil'!E40</f>
        <v/>
      </c>
      <c r="F7" s="7">
        <f>'FuelOil'!G39</f>
        <v/>
      </c>
      <c r="G7" s="6">
        <f>'FuelOil'!E42</f>
        <v/>
      </c>
      <c r="H7" s="8">
        <f>'FuelOil'!D47</f>
        <v/>
      </c>
      <c r="I7" s="9">
        <f>'FuelOil'!E49</f>
        <v/>
      </c>
    </row>
    <row r="8">
      <c r="A8" s="3" t="n">
        <v>5</v>
      </c>
      <c r="B8" s="4" t="inlineStr">
        <is>
          <t>Filtered Seawater Storage Tank</t>
        </is>
      </c>
      <c r="C8" s="5">
        <f>'Seawater'!E8</f>
        <v/>
      </c>
      <c r="D8" s="6">
        <f>'Seawater'!E41</f>
        <v/>
      </c>
      <c r="E8" s="6">
        <f>'Seawater'!E40</f>
        <v/>
      </c>
      <c r="F8" s="7">
        <f>'Seawater'!G39</f>
        <v/>
      </c>
      <c r="G8" s="6">
        <f>'Seawater'!E42</f>
        <v/>
      </c>
      <c r="H8" s="8">
        <f>'Seawater'!D47</f>
        <v/>
      </c>
      <c r="I8" s="9">
        <f>'Seawater'!E49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1" customWidth="1" min="4" max="4"/>
    <col width="12" customWidth="1" min="5" max="5"/>
    <col width="14" customWidth="1" min="6" max="6"/>
    <col width="12" customWidth="1" min="7" max="7"/>
    <col width="9" customWidth="1" min="8" max="8"/>
    <col width="6" customWidth="1" min="9" max="9"/>
  </cols>
  <sheetData>
    <row r="1">
      <c r="A1" s="1" t="inlineStr">
        <is>
          <t>Calculation for Condensate Storage Tank</t>
        </is>
      </c>
    </row>
    <row r="3">
      <c r="A3" s="10" t="inlineStr">
        <is>
          <t>1. Design Condition</t>
        </is>
      </c>
    </row>
    <row r="4">
      <c r="B4" s="11" t="inlineStr">
        <is>
          <t>1) Tank type : Cone Roof</t>
        </is>
      </c>
    </row>
    <row r="5">
      <c r="B5" s="11" t="inlineStr">
        <is>
          <t>3) Tank ID</t>
        </is>
      </c>
      <c r="E5" s="12" t="n">
        <v>11.6</v>
      </c>
      <c r="F5" s="11" t="inlineStr">
        <is>
          <t>m</t>
        </is>
      </c>
    </row>
    <row r="7">
      <c r="A7" s="10" t="inlineStr">
        <is>
          <t>2. Calculation</t>
        </is>
      </c>
    </row>
    <row r="8">
      <c r="B8" s="10" t="inlineStr">
        <is>
          <t>∴ Working Capacity (Vw) =</t>
        </is>
      </c>
      <c r="E8" s="12" t="n">
        <v>568</v>
      </c>
      <c r="F8" s="11" t="inlineStr">
        <is>
          <t>m³</t>
        </is>
      </c>
      <c r="G8" s="13" t="inlineStr">
        <is>
          <t>대당 =</t>
        </is>
      </c>
      <c r="H8" s="14">
        <f>E8</f>
        <v/>
      </c>
    </row>
    <row r="10">
      <c r="B10" s="11" t="inlineStr">
        <is>
          <t>HH = Top level - High level</t>
        </is>
      </c>
    </row>
    <row r="11">
      <c r="B11" s="11" t="inlineStr">
        <is>
          <t>Hw = High level - Low level (Working Volume)</t>
        </is>
      </c>
    </row>
    <row r="12">
      <c r="B12" s="11" t="inlineStr">
        <is>
          <t>HL = Low level - Bottom level</t>
        </is>
      </c>
    </row>
    <row r="14">
      <c r="B14" s="10" t="inlineStr">
        <is>
          <t>2) Normal Capacity (Vn)</t>
        </is>
      </c>
    </row>
    <row r="15">
      <c r="C15" s="11" t="inlineStr">
        <is>
          <t>→ Working capacity + Dead capacity</t>
        </is>
      </c>
    </row>
    <row r="16">
      <c r="C16" s="11" t="inlineStr">
        <is>
          <t>Dead capacity (V0) = (HL + HH) x D²/4</t>
        </is>
      </c>
    </row>
    <row r="18">
      <c r="A18" s="10" t="inlineStr">
        <is>
          <t>- HW</t>
        </is>
      </c>
    </row>
    <row r="19">
      <c r="B19" s="11" t="inlineStr">
        <is>
          <t>→ Seismic Zone</t>
        </is>
      </c>
      <c r="E19" s="13" t="inlineStr">
        <is>
          <t>HW</t>
        </is>
      </c>
      <c r="F19" s="15" t="inlineStr">
        <is>
          <t>=</t>
        </is>
      </c>
      <c r="G19" s="16" t="n">
        <v>0.46</v>
      </c>
      <c r="H19" s="11" t="inlineStr">
        <is>
          <t>x D</t>
        </is>
      </c>
    </row>
    <row r="20">
      <c r="E20" s="13" t="inlineStr">
        <is>
          <t>D</t>
        </is>
      </c>
      <c r="F20" s="15" t="inlineStr">
        <is>
          <t>=</t>
        </is>
      </c>
      <c r="G20" s="17">
        <f>E5</f>
        <v/>
      </c>
      <c r="H20" s="11" t="inlineStr">
        <is>
          <t>m</t>
        </is>
      </c>
    </row>
    <row r="21">
      <c r="E21" s="13" t="inlineStr">
        <is>
          <t>HW</t>
        </is>
      </c>
      <c r="F21" s="15" t="inlineStr">
        <is>
          <t>=</t>
        </is>
      </c>
      <c r="G21" s="14">
        <f>G19*E5</f>
        <v/>
      </c>
      <c r="H21" s="11" t="inlineStr">
        <is>
          <t>m</t>
        </is>
      </c>
    </row>
    <row r="22">
      <c r="E22" s="13" t="inlineStr">
        <is>
          <t>Q</t>
        </is>
      </c>
      <c r="F22" s="15" t="inlineStr">
        <is>
          <t>=</t>
        </is>
      </c>
      <c r="G22" s="17">
        <f>E8</f>
        <v/>
      </c>
      <c r="H22" s="11" t="inlineStr">
        <is>
          <t>m³</t>
        </is>
      </c>
    </row>
    <row r="24">
      <c r="A24" s="10" t="inlineStr">
        <is>
          <t>- HL</t>
        </is>
      </c>
    </row>
    <row r="25">
      <c r="B25" s="11" t="inlineStr">
        <is>
          <t>1) Tank Bottom to Outlet Nozzle Center Line dim. (Regular Type)</t>
        </is>
      </c>
      <c r="E25" s="18" t="n">
        <v>12</v>
      </c>
      <c r="F25" s="15" t="inlineStr">
        <is>
          <t>"</t>
        </is>
      </c>
      <c r="G25" s="15" t="inlineStr">
        <is>
          <t>=</t>
        </is>
      </c>
      <c r="H25" s="19">
        <f>E25*25.4</f>
        <v/>
      </c>
      <c r="I25" s="11" t="inlineStr">
        <is>
          <t>mm</t>
        </is>
      </c>
    </row>
    <row r="26">
      <c r="B26" s="11" t="inlineStr">
        <is>
          <t>2) Top outlet nozzle over</t>
        </is>
      </c>
      <c r="G26" s="15" t="inlineStr">
        <is>
          <t>=</t>
        </is>
      </c>
      <c r="H26" s="20" t="n">
        <v>150</v>
      </c>
      <c r="I26" s="11" t="inlineStr">
        <is>
          <t>mm</t>
        </is>
      </c>
    </row>
    <row r="27">
      <c r="B27" s="11" t="inlineStr">
        <is>
          <t>3) Outlet nozzle radius</t>
        </is>
      </c>
      <c r="G27" s="15" t="inlineStr">
        <is>
          <t>=</t>
        </is>
      </c>
      <c r="H27" s="20" t="n">
        <v>1000</v>
      </c>
      <c r="I27" s="11" t="inlineStr">
        <is>
          <t>mm</t>
        </is>
      </c>
    </row>
    <row r="28">
      <c r="C28" s="21" t="inlineStr">
        <is>
          <t>HL</t>
        </is>
      </c>
      <c r="D28" s="15" t="inlineStr">
        <is>
          <t>=</t>
        </is>
      </c>
      <c r="E28" s="22">
        <f>H25+H26+H27</f>
        <v/>
      </c>
      <c r="F28" s="11" t="inlineStr">
        <is>
          <t>mm</t>
        </is>
      </c>
      <c r="G28" s="13" t="inlineStr">
        <is>
          <t>Application =</t>
        </is>
      </c>
      <c r="H28" s="22">
        <f>ROUNDUP(E28/1000,1)</f>
        <v/>
      </c>
      <c r="I28" s="11" t="inlineStr">
        <is>
          <t>m</t>
        </is>
      </c>
    </row>
    <row r="30">
      <c r="A30" s="10" t="inlineStr">
        <is>
          <t>- HH</t>
        </is>
      </c>
    </row>
    <row r="31">
      <c r="B31" s="11" t="inlineStr">
        <is>
          <t>Cone roof case tank top to extinguishing agent discharge outlet</t>
        </is>
      </c>
      <c r="H31" s="20" t="n">
        <v>300</v>
      </c>
      <c r="I31" s="11" t="inlineStr">
        <is>
          <t>mm</t>
        </is>
      </c>
    </row>
    <row r="32">
      <c r="B32" s="11" t="inlineStr">
        <is>
          <t>HH level to extinguishing agent discharge</t>
        </is>
      </c>
      <c r="H32" s="20" t="n">
        <v>600</v>
      </c>
      <c r="I32" s="11" t="inlineStr">
        <is>
          <t>mm</t>
        </is>
      </c>
    </row>
    <row r="33">
      <c r="C33" s="21" t="inlineStr">
        <is>
          <t>HH</t>
        </is>
      </c>
      <c r="D33" s="15" t="inlineStr">
        <is>
          <t>=</t>
        </is>
      </c>
      <c r="E33" s="22">
        <f>(H31+H32)/1000</f>
        <v/>
      </c>
      <c r="F33" s="11" t="inlineStr">
        <is>
          <t>m</t>
        </is>
      </c>
    </row>
    <row r="35">
      <c r="C35" s="13" t="inlineStr">
        <is>
          <t>Dead Capacity =</t>
        </is>
      </c>
      <c r="E35" s="23">
        <f>D46+F46</f>
        <v/>
      </c>
      <c r="F35" s="11" t="inlineStr">
        <is>
          <t>m³</t>
        </is>
      </c>
    </row>
    <row r="36">
      <c r="C36" s="13" t="inlineStr">
        <is>
          <t>So, Nominal capacity =</t>
        </is>
      </c>
      <c r="E36" s="23">
        <f>E8+E35</f>
        <v/>
      </c>
      <c r="F36" s="11" t="inlineStr">
        <is>
          <t>m³</t>
        </is>
      </c>
    </row>
    <row r="37">
      <c r="C37" s="13" t="inlineStr">
        <is>
          <t>HT =</t>
        </is>
      </c>
      <c r="E37" s="23">
        <f>E40</f>
        <v/>
      </c>
      <c r="F37" s="11" t="inlineStr">
        <is>
          <t>m</t>
        </is>
      </c>
    </row>
    <row r="39">
      <c r="B39" s="10" t="inlineStr">
        <is>
          <t>H = selected (attach#1)</t>
        </is>
      </c>
      <c r="F39" s="21" t="inlineStr">
        <is>
          <t>H/D :</t>
        </is>
      </c>
      <c r="G39" s="24">
        <f>E40/E41</f>
        <v/>
      </c>
    </row>
    <row r="40">
      <c r="C40" s="25" t="inlineStr">
        <is>
          <t>H</t>
        </is>
      </c>
      <c r="D40" s="15" t="inlineStr">
        <is>
          <t>=</t>
        </is>
      </c>
      <c r="E40" s="26" t="n">
        <v>7.75</v>
      </c>
      <c r="F40" s="11" t="inlineStr">
        <is>
          <t>m</t>
        </is>
      </c>
    </row>
    <row r="41">
      <c r="C41" s="25" t="inlineStr">
        <is>
          <t>D</t>
        </is>
      </c>
      <c r="D41" s="15" t="inlineStr">
        <is>
          <t>=</t>
        </is>
      </c>
      <c r="E41" s="26" t="n">
        <v>11.63</v>
      </c>
      <c r="F41" s="11" t="inlineStr">
        <is>
          <t>m</t>
        </is>
      </c>
    </row>
    <row r="42">
      <c r="C42" s="25" t="inlineStr">
        <is>
          <t>Volume</t>
        </is>
      </c>
      <c r="D42" s="15" t="inlineStr">
        <is>
          <t>=</t>
        </is>
      </c>
      <c r="E42" s="27" t="n">
        <v>822.8200000000001</v>
      </c>
      <c r="F42" s="11" t="inlineStr">
        <is>
          <t>m³</t>
        </is>
      </c>
    </row>
    <row r="44">
      <c r="D44" s="25" t="inlineStr">
        <is>
          <t>HH</t>
        </is>
      </c>
      <c r="F44" s="25" t="inlineStr">
        <is>
          <t>HL</t>
        </is>
      </c>
    </row>
    <row r="45">
      <c r="D45" s="28">
        <f>E33</f>
        <v/>
      </c>
      <c r="E45" s="11" t="inlineStr">
        <is>
          <t>m</t>
        </is>
      </c>
      <c r="F45" s="28">
        <f>H28</f>
        <v/>
      </c>
      <c r="G45" s="11" t="inlineStr">
        <is>
          <t>m</t>
        </is>
      </c>
    </row>
    <row r="46">
      <c r="B46" s="25" t="inlineStr">
        <is>
          <t>Dead Capacity :</t>
        </is>
      </c>
      <c r="D46" s="23">
        <f>E42*E33/E40</f>
        <v/>
      </c>
      <c r="E46" s="11" t="inlineStr">
        <is>
          <t>m³</t>
        </is>
      </c>
      <c r="F46" s="23">
        <f>E42*H28/E40</f>
        <v/>
      </c>
      <c r="G46" s="11" t="inlineStr">
        <is>
          <t>m³</t>
        </is>
      </c>
    </row>
    <row r="47">
      <c r="B47" s="25" t="inlineStr">
        <is>
          <t>Design Capacity (Net Capacity) :</t>
        </is>
      </c>
      <c r="D47" s="29">
        <f>E42-D46-F46</f>
        <v/>
      </c>
      <c r="E47" s="30" t="n"/>
      <c r="F47" s="30" t="n"/>
      <c r="G47" s="11" t="inlineStr">
        <is>
          <t>m³</t>
        </is>
      </c>
    </row>
    <row r="49">
      <c r="B49" s="13" t="inlineStr">
        <is>
          <t>Check (Net ≥ Required Vw) :</t>
        </is>
      </c>
      <c r="E49" s="31">
        <f>IF(D47&gt;=E8,"OK","NG")</f>
        <v/>
      </c>
    </row>
  </sheetData>
  <mergeCells count="2">
    <mergeCell ref="A1:I1"/>
    <mergeCell ref="D47:F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1" customWidth="1" min="4" max="4"/>
    <col width="12" customWidth="1" min="5" max="5"/>
    <col width="14" customWidth="1" min="6" max="6"/>
    <col width="12" customWidth="1" min="7" max="7"/>
    <col width="9" customWidth="1" min="8" max="8"/>
    <col width="6" customWidth="1" min="9" max="9"/>
  </cols>
  <sheetData>
    <row r="1">
      <c r="A1" s="1" t="inlineStr">
        <is>
          <t>Calculation for Service &amp; Fire water Storage Tank</t>
        </is>
      </c>
    </row>
    <row r="3">
      <c r="A3" s="10" t="inlineStr">
        <is>
          <t>1. Design Condition</t>
        </is>
      </c>
    </row>
    <row r="4">
      <c r="B4" s="11" t="inlineStr">
        <is>
          <t>1) Tank type : Cone Roof</t>
        </is>
      </c>
    </row>
    <row r="5">
      <c r="B5" s="11" t="inlineStr">
        <is>
          <t>3) Tank ID</t>
        </is>
      </c>
      <c r="E5" s="12" t="n">
        <v>24.3</v>
      </c>
      <c r="F5" s="11" t="inlineStr">
        <is>
          <t>m</t>
        </is>
      </c>
    </row>
    <row r="7">
      <c r="A7" s="10" t="inlineStr">
        <is>
          <t>2. Calculation</t>
        </is>
      </c>
    </row>
    <row r="8">
      <c r="B8" s="10" t="inlineStr">
        <is>
          <t>∴ Working Capacity (Vw) =</t>
        </is>
      </c>
      <c r="E8" s="12" t="n">
        <v>6400</v>
      </c>
      <c r="F8" s="11" t="inlineStr">
        <is>
          <t>m³</t>
        </is>
      </c>
      <c r="G8" s="13" t="inlineStr">
        <is>
          <t>대당 =</t>
        </is>
      </c>
      <c r="H8" s="14">
        <f>E8</f>
        <v/>
      </c>
    </row>
    <row r="10">
      <c r="B10" s="11" t="inlineStr">
        <is>
          <t>HH = Top level - High level</t>
        </is>
      </c>
    </row>
    <row r="11">
      <c r="B11" s="11" t="inlineStr">
        <is>
          <t>Hw = High level - Low level (Working Volume)</t>
        </is>
      </c>
    </row>
    <row r="12">
      <c r="B12" s="11" t="inlineStr">
        <is>
          <t>HL = Low level - Bottom level</t>
        </is>
      </c>
    </row>
    <row r="14">
      <c r="B14" s="10" t="inlineStr">
        <is>
          <t>2) Normal Capacity (Vn)</t>
        </is>
      </c>
    </row>
    <row r="15">
      <c r="C15" s="11" t="inlineStr">
        <is>
          <t>→ Working capacity + Dead capacity</t>
        </is>
      </c>
    </row>
    <row r="16">
      <c r="C16" s="11" t="inlineStr">
        <is>
          <t>Dead capacity (V0) = (HL + HH) x D²/4</t>
        </is>
      </c>
    </row>
    <row r="18">
      <c r="A18" s="10" t="inlineStr">
        <is>
          <t>- HW</t>
        </is>
      </c>
    </row>
    <row r="19">
      <c r="B19" s="11" t="inlineStr">
        <is>
          <t>→ Seismic Zone</t>
        </is>
      </c>
      <c r="E19" s="13" t="inlineStr">
        <is>
          <t>HW</t>
        </is>
      </c>
      <c r="F19" s="15" t="inlineStr">
        <is>
          <t>=</t>
        </is>
      </c>
      <c r="G19" s="16" t="n">
        <v>0.57</v>
      </c>
      <c r="H19" s="11" t="inlineStr">
        <is>
          <t>x D</t>
        </is>
      </c>
    </row>
    <row r="20">
      <c r="E20" s="13" t="inlineStr">
        <is>
          <t>D</t>
        </is>
      </c>
      <c r="F20" s="15" t="inlineStr">
        <is>
          <t>=</t>
        </is>
      </c>
      <c r="G20" s="17">
        <f>E5</f>
        <v/>
      </c>
      <c r="H20" s="11" t="inlineStr">
        <is>
          <t>m</t>
        </is>
      </c>
    </row>
    <row r="21">
      <c r="E21" s="13" t="inlineStr">
        <is>
          <t>HW</t>
        </is>
      </c>
      <c r="F21" s="15" t="inlineStr">
        <is>
          <t>=</t>
        </is>
      </c>
      <c r="G21" s="14">
        <f>G19*E5</f>
        <v/>
      </c>
      <c r="H21" s="11" t="inlineStr">
        <is>
          <t>m</t>
        </is>
      </c>
    </row>
    <row r="22">
      <c r="E22" s="13" t="inlineStr">
        <is>
          <t>Q</t>
        </is>
      </c>
      <c r="F22" s="15" t="inlineStr">
        <is>
          <t>=</t>
        </is>
      </c>
      <c r="G22" s="17">
        <f>E8</f>
        <v/>
      </c>
      <c r="H22" s="11" t="inlineStr">
        <is>
          <t>m³</t>
        </is>
      </c>
    </row>
    <row r="24">
      <c r="A24" s="10" t="inlineStr">
        <is>
          <t>- HL</t>
        </is>
      </c>
    </row>
    <row r="25">
      <c r="B25" s="11" t="inlineStr">
        <is>
          <t>1) Tank Bottom to Outlet Nozzle Center Line dim. (Regular Type)</t>
        </is>
      </c>
      <c r="E25" s="18" t="n">
        <v>15</v>
      </c>
      <c r="F25" s="15" t="inlineStr">
        <is>
          <t>"</t>
        </is>
      </c>
      <c r="G25" s="15" t="inlineStr">
        <is>
          <t>=</t>
        </is>
      </c>
      <c r="H25" s="19">
        <f>E25*25.4</f>
        <v/>
      </c>
      <c r="I25" s="11" t="inlineStr">
        <is>
          <t>mm</t>
        </is>
      </c>
    </row>
    <row r="26">
      <c r="B26" s="11" t="inlineStr">
        <is>
          <t>2) Top outlet nozzle over</t>
        </is>
      </c>
      <c r="G26" s="15" t="inlineStr">
        <is>
          <t>=</t>
        </is>
      </c>
      <c r="H26" s="20" t="n">
        <v>150</v>
      </c>
      <c r="I26" s="11" t="inlineStr">
        <is>
          <t>mm</t>
        </is>
      </c>
    </row>
    <row r="27">
      <c r="B27" s="11" t="inlineStr">
        <is>
          <t>3) Outlet nozzle radius</t>
        </is>
      </c>
      <c r="G27" s="15" t="inlineStr">
        <is>
          <t>=</t>
        </is>
      </c>
      <c r="H27" s="20" t="n">
        <v>1000</v>
      </c>
      <c r="I27" s="11" t="inlineStr">
        <is>
          <t>mm</t>
        </is>
      </c>
    </row>
    <row r="28">
      <c r="C28" s="21" t="inlineStr">
        <is>
          <t>HL</t>
        </is>
      </c>
      <c r="D28" s="15" t="inlineStr">
        <is>
          <t>=</t>
        </is>
      </c>
      <c r="E28" s="22">
        <f>H25+H26+H27</f>
        <v/>
      </c>
      <c r="F28" s="11" t="inlineStr">
        <is>
          <t>mm</t>
        </is>
      </c>
      <c r="G28" s="13" t="inlineStr">
        <is>
          <t>Application =</t>
        </is>
      </c>
      <c r="H28" s="22">
        <f>ROUNDUP(E28/1000,1)</f>
        <v/>
      </c>
      <c r="I28" s="11" t="inlineStr">
        <is>
          <t>m</t>
        </is>
      </c>
    </row>
    <row r="30">
      <c r="A30" s="10" t="inlineStr">
        <is>
          <t>- HH</t>
        </is>
      </c>
    </row>
    <row r="31">
      <c r="B31" s="11" t="inlineStr">
        <is>
          <t>Cone roof case tank top to extinguishing agent discharge outlet</t>
        </is>
      </c>
      <c r="H31" s="20" t="n">
        <v>300</v>
      </c>
      <c r="I31" s="11" t="inlineStr">
        <is>
          <t>mm</t>
        </is>
      </c>
    </row>
    <row r="32">
      <c r="B32" s="11" t="inlineStr">
        <is>
          <t>HH level to extinguishing agent discharge</t>
        </is>
      </c>
      <c r="H32" s="20" t="n">
        <v>600</v>
      </c>
      <c r="I32" s="11" t="inlineStr">
        <is>
          <t>mm</t>
        </is>
      </c>
    </row>
    <row r="33">
      <c r="C33" s="21" t="inlineStr">
        <is>
          <t>HH</t>
        </is>
      </c>
      <c r="D33" s="15" t="inlineStr">
        <is>
          <t>=</t>
        </is>
      </c>
      <c r="E33" s="22">
        <f>(H31+H32)/1000</f>
        <v/>
      </c>
      <c r="F33" s="11" t="inlineStr">
        <is>
          <t>m</t>
        </is>
      </c>
    </row>
    <row r="35">
      <c r="C35" s="13" t="inlineStr">
        <is>
          <t>Dead Capacity =</t>
        </is>
      </c>
      <c r="E35" s="23">
        <f>D46+F46</f>
        <v/>
      </c>
      <c r="F35" s="11" t="inlineStr">
        <is>
          <t>m³</t>
        </is>
      </c>
    </row>
    <row r="36">
      <c r="C36" s="13" t="inlineStr">
        <is>
          <t>So, Nominal capacity =</t>
        </is>
      </c>
      <c r="E36" s="23">
        <f>E8+E35</f>
        <v/>
      </c>
      <c r="F36" s="11" t="inlineStr">
        <is>
          <t>m³</t>
        </is>
      </c>
    </row>
    <row r="37">
      <c r="C37" s="13" t="inlineStr">
        <is>
          <t>HT =</t>
        </is>
      </c>
      <c r="E37" s="23">
        <f>E40</f>
        <v/>
      </c>
      <c r="F37" s="11" t="inlineStr">
        <is>
          <t>m</t>
        </is>
      </c>
    </row>
    <row r="39">
      <c r="B39" s="10" t="inlineStr">
        <is>
          <t>H = selected (attach#1)</t>
        </is>
      </c>
      <c r="F39" s="21" t="inlineStr">
        <is>
          <t>H/D :</t>
        </is>
      </c>
      <c r="G39" s="24">
        <f>E40/E41</f>
        <v/>
      </c>
    </row>
    <row r="40">
      <c r="C40" s="25" t="inlineStr">
        <is>
          <t>H</t>
        </is>
      </c>
      <c r="D40" s="15" t="inlineStr">
        <is>
          <t>=</t>
        </is>
      </c>
      <c r="E40" s="26" t="n">
        <v>16.34</v>
      </c>
      <c r="F40" s="11" t="inlineStr">
        <is>
          <t>m</t>
        </is>
      </c>
    </row>
    <row r="41">
      <c r="C41" s="25" t="inlineStr">
        <is>
          <t>D</t>
        </is>
      </c>
      <c r="D41" s="15" t="inlineStr">
        <is>
          <t>=</t>
        </is>
      </c>
      <c r="E41" s="26" t="n">
        <v>24.27</v>
      </c>
      <c r="F41" s="11" t="inlineStr">
        <is>
          <t>m</t>
        </is>
      </c>
    </row>
    <row r="42">
      <c r="C42" s="25" t="inlineStr">
        <is>
          <t>Volume</t>
        </is>
      </c>
      <c r="D42" s="15" t="inlineStr">
        <is>
          <t>=</t>
        </is>
      </c>
      <c r="E42" s="27" t="n">
        <v>7556.38</v>
      </c>
      <c r="F42" s="11" t="inlineStr">
        <is>
          <t>m³</t>
        </is>
      </c>
    </row>
    <row r="44">
      <c r="D44" s="25" t="inlineStr">
        <is>
          <t>HH</t>
        </is>
      </c>
      <c r="F44" s="25" t="inlineStr">
        <is>
          <t>HL</t>
        </is>
      </c>
    </row>
    <row r="45">
      <c r="D45" s="28">
        <f>E33</f>
        <v/>
      </c>
      <c r="E45" s="11" t="inlineStr">
        <is>
          <t>m</t>
        </is>
      </c>
      <c r="F45" s="28">
        <f>H28</f>
        <v/>
      </c>
      <c r="G45" s="11" t="inlineStr">
        <is>
          <t>m</t>
        </is>
      </c>
    </row>
    <row r="46">
      <c r="B46" s="25" t="inlineStr">
        <is>
          <t>Dead Capacity :</t>
        </is>
      </c>
      <c r="D46" s="23">
        <f>E42*E33/E40</f>
        <v/>
      </c>
      <c r="E46" s="11" t="inlineStr">
        <is>
          <t>m³</t>
        </is>
      </c>
      <c r="F46" s="23">
        <f>E42*H28/E40</f>
        <v/>
      </c>
      <c r="G46" s="11" t="inlineStr">
        <is>
          <t>m³</t>
        </is>
      </c>
    </row>
    <row r="47">
      <c r="B47" s="25" t="inlineStr">
        <is>
          <t>Design Capacity (Net Capacity) :</t>
        </is>
      </c>
      <c r="D47" s="29">
        <f>E42-D46-F46</f>
        <v/>
      </c>
      <c r="E47" s="30" t="n"/>
      <c r="F47" s="30" t="n"/>
      <c r="G47" s="11" t="inlineStr">
        <is>
          <t>m³</t>
        </is>
      </c>
    </row>
    <row r="49">
      <c r="B49" s="13" t="inlineStr">
        <is>
          <t>Check (Net ≥ Required Vw) :</t>
        </is>
      </c>
      <c r="E49" s="31">
        <f>IF(D47&gt;=E8,"OK","NG")</f>
        <v/>
      </c>
    </row>
  </sheetData>
  <mergeCells count="2">
    <mergeCell ref="A1:I1"/>
    <mergeCell ref="D47:F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1" customWidth="1" min="4" max="4"/>
    <col width="12" customWidth="1" min="5" max="5"/>
    <col width="14" customWidth="1" min="6" max="6"/>
    <col width="12" customWidth="1" min="7" max="7"/>
    <col width="9" customWidth="1" min="8" max="8"/>
    <col width="6" customWidth="1" min="9" max="9"/>
  </cols>
  <sheetData>
    <row r="1">
      <c r="A1" s="1" t="inlineStr">
        <is>
          <t>Calculation for Demi. water Storage Tank</t>
        </is>
      </c>
    </row>
    <row r="3">
      <c r="A3" s="10" t="inlineStr">
        <is>
          <t>1. Design Condition</t>
        </is>
      </c>
    </row>
    <row r="4">
      <c r="B4" s="11" t="inlineStr">
        <is>
          <t>1) Tank type : Cone Roof</t>
        </is>
      </c>
    </row>
    <row r="5">
      <c r="B5" s="11" t="inlineStr">
        <is>
          <t>3) Tank ID</t>
        </is>
      </c>
      <c r="E5" s="12" t="n">
        <v>17.7</v>
      </c>
      <c r="F5" s="11" t="inlineStr">
        <is>
          <t>m</t>
        </is>
      </c>
    </row>
    <row r="7">
      <c r="A7" s="10" t="inlineStr">
        <is>
          <t>2. Calculation</t>
        </is>
      </c>
    </row>
    <row r="8">
      <c r="B8" s="10" t="inlineStr">
        <is>
          <t>∴ Working Capacity (Vw) =</t>
        </is>
      </c>
      <c r="E8" s="12" t="n">
        <v>2300</v>
      </c>
      <c r="F8" s="11" t="inlineStr">
        <is>
          <t>m³</t>
        </is>
      </c>
      <c r="G8" s="13" t="inlineStr">
        <is>
          <t>대당 =</t>
        </is>
      </c>
      <c r="H8" s="14">
        <f>E8</f>
        <v/>
      </c>
    </row>
    <row r="10">
      <c r="B10" s="11" t="inlineStr">
        <is>
          <t>HH = Top level - High level</t>
        </is>
      </c>
    </row>
    <row r="11">
      <c r="B11" s="11" t="inlineStr">
        <is>
          <t>Hw = High level - Low level (Working Volume)</t>
        </is>
      </c>
    </row>
    <row r="12">
      <c r="B12" s="11" t="inlineStr">
        <is>
          <t>HL = Low level - Bottom level</t>
        </is>
      </c>
    </row>
    <row r="14">
      <c r="B14" s="10" t="inlineStr">
        <is>
          <t>2) Normal Capacity (Vn)</t>
        </is>
      </c>
    </row>
    <row r="15">
      <c r="C15" s="11" t="inlineStr">
        <is>
          <t>→ Working capacity + Dead capacity</t>
        </is>
      </c>
    </row>
    <row r="16">
      <c r="C16" s="11" t="inlineStr">
        <is>
          <t>Dead capacity (V0) = (HL + HH) x D²/4</t>
        </is>
      </c>
    </row>
    <row r="18">
      <c r="A18" s="10" t="inlineStr">
        <is>
          <t>- HW</t>
        </is>
      </c>
    </row>
    <row r="19">
      <c r="B19" s="11" t="inlineStr">
        <is>
          <t>→ Seismic Zone</t>
        </is>
      </c>
      <c r="E19" s="13" t="inlineStr">
        <is>
          <t>HW</t>
        </is>
      </c>
      <c r="F19" s="15" t="inlineStr">
        <is>
          <t>=</t>
        </is>
      </c>
      <c r="G19" s="16" t="n">
        <v>0.53</v>
      </c>
      <c r="H19" s="11" t="inlineStr">
        <is>
          <t>x D</t>
        </is>
      </c>
    </row>
    <row r="20">
      <c r="E20" s="13" t="inlineStr">
        <is>
          <t>D</t>
        </is>
      </c>
      <c r="F20" s="15" t="inlineStr">
        <is>
          <t>=</t>
        </is>
      </c>
      <c r="G20" s="17">
        <f>E5</f>
        <v/>
      </c>
      <c r="H20" s="11" t="inlineStr">
        <is>
          <t>m</t>
        </is>
      </c>
    </row>
    <row r="21">
      <c r="E21" s="13" t="inlineStr">
        <is>
          <t>HW</t>
        </is>
      </c>
      <c r="F21" s="15" t="inlineStr">
        <is>
          <t>=</t>
        </is>
      </c>
      <c r="G21" s="14">
        <f>G19*E5</f>
        <v/>
      </c>
      <c r="H21" s="11" t="inlineStr">
        <is>
          <t>m</t>
        </is>
      </c>
    </row>
    <row r="22">
      <c r="E22" s="13" t="inlineStr">
        <is>
          <t>Q</t>
        </is>
      </c>
      <c r="F22" s="15" t="inlineStr">
        <is>
          <t>=</t>
        </is>
      </c>
      <c r="G22" s="17">
        <f>E8</f>
        <v/>
      </c>
      <c r="H22" s="11" t="inlineStr">
        <is>
          <t>m³</t>
        </is>
      </c>
    </row>
    <row r="24">
      <c r="A24" s="10" t="inlineStr">
        <is>
          <t>- HL</t>
        </is>
      </c>
    </row>
    <row r="25">
      <c r="B25" s="11" t="inlineStr">
        <is>
          <t>1) Tank Bottom to Outlet Nozzle Center Line dim. (Regular Type)</t>
        </is>
      </c>
      <c r="E25" s="18" t="n">
        <v>17</v>
      </c>
      <c r="F25" s="15" t="inlineStr">
        <is>
          <t>"</t>
        </is>
      </c>
      <c r="G25" s="15" t="inlineStr">
        <is>
          <t>=</t>
        </is>
      </c>
      <c r="H25" s="19">
        <f>E25*25.4</f>
        <v/>
      </c>
      <c r="I25" s="11" t="inlineStr">
        <is>
          <t>mm</t>
        </is>
      </c>
    </row>
    <row r="26">
      <c r="B26" s="11" t="inlineStr">
        <is>
          <t>2) Top outlet nozzle over</t>
        </is>
      </c>
      <c r="G26" s="15" t="inlineStr">
        <is>
          <t>=</t>
        </is>
      </c>
      <c r="H26" s="20" t="n">
        <v>150</v>
      </c>
      <c r="I26" s="11" t="inlineStr">
        <is>
          <t>mm</t>
        </is>
      </c>
    </row>
    <row r="27">
      <c r="B27" s="11" t="inlineStr">
        <is>
          <t>3) Outlet nozzle radius</t>
        </is>
      </c>
      <c r="G27" s="15" t="inlineStr">
        <is>
          <t>=</t>
        </is>
      </c>
      <c r="H27" s="20" t="n">
        <v>1000</v>
      </c>
      <c r="I27" s="11" t="inlineStr">
        <is>
          <t>mm</t>
        </is>
      </c>
    </row>
    <row r="28">
      <c r="C28" s="21" t="inlineStr">
        <is>
          <t>HL</t>
        </is>
      </c>
      <c r="D28" s="15" t="inlineStr">
        <is>
          <t>=</t>
        </is>
      </c>
      <c r="E28" s="22">
        <f>H25+H26+H27</f>
        <v/>
      </c>
      <c r="F28" s="11" t="inlineStr">
        <is>
          <t>mm</t>
        </is>
      </c>
      <c r="G28" s="13" t="inlineStr">
        <is>
          <t>Application =</t>
        </is>
      </c>
      <c r="H28" s="22">
        <f>ROUNDUP(E28/1000,1)</f>
        <v/>
      </c>
      <c r="I28" s="11" t="inlineStr">
        <is>
          <t>m</t>
        </is>
      </c>
    </row>
    <row r="30">
      <c r="A30" s="10" t="inlineStr">
        <is>
          <t>- HH</t>
        </is>
      </c>
    </row>
    <row r="31">
      <c r="B31" s="11" t="inlineStr">
        <is>
          <t>Cone roof case tank top to extinguishing agent discharge outlet</t>
        </is>
      </c>
      <c r="H31" s="20" t="n">
        <v>300</v>
      </c>
      <c r="I31" s="11" t="inlineStr">
        <is>
          <t>mm</t>
        </is>
      </c>
    </row>
    <row r="32">
      <c r="B32" s="11" t="inlineStr">
        <is>
          <t>HH level to extinguishing agent discharge</t>
        </is>
      </c>
      <c r="H32" s="20" t="n">
        <v>600</v>
      </c>
      <c r="I32" s="11" t="inlineStr">
        <is>
          <t>mm</t>
        </is>
      </c>
    </row>
    <row r="33">
      <c r="C33" s="21" t="inlineStr">
        <is>
          <t>HH</t>
        </is>
      </c>
      <c r="D33" s="15" t="inlineStr">
        <is>
          <t>=</t>
        </is>
      </c>
      <c r="E33" s="22">
        <f>(H31+H32)/1000</f>
        <v/>
      </c>
      <c r="F33" s="11" t="inlineStr">
        <is>
          <t>m</t>
        </is>
      </c>
    </row>
    <row r="35">
      <c r="C35" s="13" t="inlineStr">
        <is>
          <t>Dead Capacity =</t>
        </is>
      </c>
      <c r="E35" s="23">
        <f>D46+F46</f>
        <v/>
      </c>
      <c r="F35" s="11" t="inlineStr">
        <is>
          <t>m³</t>
        </is>
      </c>
    </row>
    <row r="36">
      <c r="C36" s="13" t="inlineStr">
        <is>
          <t>So, Nominal capacity =</t>
        </is>
      </c>
      <c r="E36" s="23">
        <f>E8+E35</f>
        <v/>
      </c>
      <c r="F36" s="11" t="inlineStr">
        <is>
          <t>m³</t>
        </is>
      </c>
    </row>
    <row r="37">
      <c r="C37" s="13" t="inlineStr">
        <is>
          <t>HT =</t>
        </is>
      </c>
      <c r="E37" s="23">
        <f>E40</f>
        <v/>
      </c>
      <c r="F37" s="11" t="inlineStr">
        <is>
          <t>m</t>
        </is>
      </c>
    </row>
    <row r="39">
      <c r="B39" s="10" t="inlineStr">
        <is>
          <t>H = selected (attach#1)</t>
        </is>
      </c>
      <c r="F39" s="21" t="inlineStr">
        <is>
          <t>H/D :</t>
        </is>
      </c>
      <c r="G39" s="24">
        <f>E40/E41</f>
        <v/>
      </c>
    </row>
    <row r="40">
      <c r="C40" s="25" t="inlineStr">
        <is>
          <t>H</t>
        </is>
      </c>
      <c r="D40" s="15" t="inlineStr">
        <is>
          <t>=</t>
        </is>
      </c>
      <c r="E40" s="26" t="n">
        <v>11.87</v>
      </c>
      <c r="F40" s="11" t="inlineStr">
        <is>
          <t>m</t>
        </is>
      </c>
    </row>
    <row r="41">
      <c r="C41" s="25" t="inlineStr">
        <is>
          <t>D</t>
        </is>
      </c>
      <c r="D41" s="15" t="inlineStr">
        <is>
          <t>=</t>
        </is>
      </c>
      <c r="E41" s="26" t="n">
        <v>17.68</v>
      </c>
      <c r="F41" s="11" t="inlineStr">
        <is>
          <t>m</t>
        </is>
      </c>
    </row>
    <row r="42">
      <c r="C42" s="25" t="inlineStr">
        <is>
          <t>Volume</t>
        </is>
      </c>
      <c r="D42" s="15" t="inlineStr">
        <is>
          <t>=</t>
        </is>
      </c>
      <c r="E42" s="27" t="n">
        <v>2913.57</v>
      </c>
      <c r="F42" s="11" t="inlineStr">
        <is>
          <t>m³</t>
        </is>
      </c>
    </row>
    <row r="44">
      <c r="D44" s="25" t="inlineStr">
        <is>
          <t>HH</t>
        </is>
      </c>
      <c r="F44" s="25" t="inlineStr">
        <is>
          <t>HL</t>
        </is>
      </c>
    </row>
    <row r="45">
      <c r="D45" s="28">
        <f>E33</f>
        <v/>
      </c>
      <c r="E45" s="11" t="inlineStr">
        <is>
          <t>m</t>
        </is>
      </c>
      <c r="F45" s="28">
        <f>H28</f>
        <v/>
      </c>
      <c r="G45" s="11" t="inlineStr">
        <is>
          <t>m</t>
        </is>
      </c>
    </row>
    <row r="46">
      <c r="B46" s="25" t="inlineStr">
        <is>
          <t>Dead Capacity :</t>
        </is>
      </c>
      <c r="D46" s="23">
        <f>E42*E33/E40</f>
        <v/>
      </c>
      <c r="E46" s="11" t="inlineStr">
        <is>
          <t>m³</t>
        </is>
      </c>
      <c r="F46" s="23">
        <f>E42*H28/E40</f>
        <v/>
      </c>
      <c r="G46" s="11" t="inlineStr">
        <is>
          <t>m³</t>
        </is>
      </c>
    </row>
    <row r="47">
      <c r="B47" s="25" t="inlineStr">
        <is>
          <t>Design Capacity (Net Capacity) :</t>
        </is>
      </c>
      <c r="D47" s="29">
        <f>E42-D46-F46</f>
        <v/>
      </c>
      <c r="E47" s="30" t="n"/>
      <c r="F47" s="30" t="n"/>
      <c r="G47" s="11" t="inlineStr">
        <is>
          <t>m³</t>
        </is>
      </c>
    </row>
    <row r="49">
      <c r="B49" s="13" t="inlineStr">
        <is>
          <t>Check (Net ≥ Required Vw) :</t>
        </is>
      </c>
      <c r="E49" s="31">
        <f>IF(D47&gt;=E8,"OK","NG")</f>
        <v/>
      </c>
    </row>
  </sheetData>
  <mergeCells count="2">
    <mergeCell ref="A1:I1"/>
    <mergeCell ref="D47:F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1" customWidth="1" min="4" max="4"/>
    <col width="12" customWidth="1" min="5" max="5"/>
    <col width="14" customWidth="1" min="6" max="6"/>
    <col width="12" customWidth="1" min="7" max="7"/>
    <col width="9" customWidth="1" min="8" max="8"/>
    <col width="6" customWidth="1" min="9" max="9"/>
  </cols>
  <sheetData>
    <row r="1">
      <c r="A1" s="1" t="inlineStr">
        <is>
          <t>Calculation for Fuel Oil Storage Tank</t>
        </is>
      </c>
    </row>
    <row r="3">
      <c r="A3" s="10" t="inlineStr">
        <is>
          <t>1. Design Condition</t>
        </is>
      </c>
    </row>
    <row r="4">
      <c r="B4" s="11" t="inlineStr">
        <is>
          <t>1) Tank type : Cone Roof</t>
        </is>
      </c>
    </row>
    <row r="5">
      <c r="B5" s="11" t="inlineStr">
        <is>
          <t>3) Tank ID</t>
        </is>
      </c>
      <c r="E5" s="12" t="n">
        <v>19.3</v>
      </c>
      <c r="F5" s="11" t="inlineStr">
        <is>
          <t>m</t>
        </is>
      </c>
    </row>
    <row r="7">
      <c r="A7" s="10" t="inlineStr">
        <is>
          <t>2. Calculation</t>
        </is>
      </c>
    </row>
    <row r="8">
      <c r="B8" s="10" t="inlineStr">
        <is>
          <t>∴ Working Capacity (Vw) =</t>
        </is>
      </c>
      <c r="E8" s="12" t="n">
        <v>3000</v>
      </c>
      <c r="F8" s="11" t="inlineStr">
        <is>
          <t>m³</t>
        </is>
      </c>
      <c r="G8" s="13" t="inlineStr">
        <is>
          <t>대당 =</t>
        </is>
      </c>
      <c r="H8" s="14">
        <f>E8</f>
        <v/>
      </c>
    </row>
    <row r="10">
      <c r="B10" s="11" t="inlineStr">
        <is>
          <t>HH = Top level - High level</t>
        </is>
      </c>
    </row>
    <row r="11">
      <c r="B11" s="11" t="inlineStr">
        <is>
          <t>Hw = High level - Low level (Working Volume)</t>
        </is>
      </c>
    </row>
    <row r="12">
      <c r="B12" s="11" t="inlineStr">
        <is>
          <t>HL = Low level - Bottom level</t>
        </is>
      </c>
    </row>
    <row r="14">
      <c r="B14" s="10" t="inlineStr">
        <is>
          <t>2) Normal Capacity (Vn)</t>
        </is>
      </c>
    </row>
    <row r="15">
      <c r="C15" s="11" t="inlineStr">
        <is>
          <t>→ Working capacity + Dead capacity</t>
        </is>
      </c>
    </row>
    <row r="16">
      <c r="C16" s="11" t="inlineStr">
        <is>
          <t>Dead capacity (V0) = (HL + HH) x D²/4</t>
        </is>
      </c>
    </row>
    <row r="18">
      <c r="A18" s="10" t="inlineStr">
        <is>
          <t>- HW</t>
        </is>
      </c>
    </row>
    <row r="19">
      <c r="B19" s="11" t="inlineStr">
        <is>
          <t>→ Seismic Zone</t>
        </is>
      </c>
      <c r="E19" s="13" t="inlineStr">
        <is>
          <t>HW</t>
        </is>
      </c>
      <c r="F19" s="15" t="inlineStr">
        <is>
          <t>=</t>
        </is>
      </c>
      <c r="G19" s="16" t="n">
        <v>0.53</v>
      </c>
      <c r="H19" s="11" t="inlineStr">
        <is>
          <t>x D</t>
        </is>
      </c>
    </row>
    <row r="20">
      <c r="E20" s="13" t="inlineStr">
        <is>
          <t>D</t>
        </is>
      </c>
      <c r="F20" s="15" t="inlineStr">
        <is>
          <t>=</t>
        </is>
      </c>
      <c r="G20" s="17">
        <f>E5</f>
        <v/>
      </c>
      <c r="H20" s="11" t="inlineStr">
        <is>
          <t>m</t>
        </is>
      </c>
    </row>
    <row r="21">
      <c r="E21" s="13" t="inlineStr">
        <is>
          <t>HW</t>
        </is>
      </c>
      <c r="F21" s="15" t="inlineStr">
        <is>
          <t>=</t>
        </is>
      </c>
      <c r="G21" s="14">
        <f>G19*E5</f>
        <v/>
      </c>
      <c r="H21" s="11" t="inlineStr">
        <is>
          <t>m</t>
        </is>
      </c>
    </row>
    <row r="22">
      <c r="E22" s="13" t="inlineStr">
        <is>
          <t>Q</t>
        </is>
      </c>
      <c r="F22" s="15" t="inlineStr">
        <is>
          <t>=</t>
        </is>
      </c>
      <c r="G22" s="17">
        <f>E8</f>
        <v/>
      </c>
      <c r="H22" s="11" t="inlineStr">
        <is>
          <t>m³</t>
        </is>
      </c>
    </row>
    <row r="24">
      <c r="A24" s="10" t="inlineStr">
        <is>
          <t>- HL</t>
        </is>
      </c>
    </row>
    <row r="25">
      <c r="B25" s="11" t="inlineStr">
        <is>
          <t>1) Tank Bottom to Outlet Nozzle Center Line dim. (Regular Type)</t>
        </is>
      </c>
      <c r="E25" s="18" t="n">
        <v>20</v>
      </c>
      <c r="F25" s="15" t="inlineStr">
        <is>
          <t>"</t>
        </is>
      </c>
      <c r="G25" s="15" t="inlineStr">
        <is>
          <t>=</t>
        </is>
      </c>
      <c r="H25" s="19">
        <f>E25*25.4</f>
        <v/>
      </c>
      <c r="I25" s="11" t="inlineStr">
        <is>
          <t>mm</t>
        </is>
      </c>
    </row>
    <row r="26">
      <c r="B26" s="11" t="inlineStr">
        <is>
          <t>2) Top outlet nozzle over</t>
        </is>
      </c>
      <c r="G26" s="15" t="inlineStr">
        <is>
          <t>=</t>
        </is>
      </c>
      <c r="H26" s="20" t="n">
        <v>150</v>
      </c>
      <c r="I26" s="11" t="inlineStr">
        <is>
          <t>mm</t>
        </is>
      </c>
    </row>
    <row r="27">
      <c r="B27" s="11" t="inlineStr">
        <is>
          <t>3) Outlet nozzle radius</t>
        </is>
      </c>
      <c r="G27" s="15" t="inlineStr">
        <is>
          <t>=</t>
        </is>
      </c>
      <c r="H27" s="20" t="n">
        <v>1000</v>
      </c>
      <c r="I27" s="11" t="inlineStr">
        <is>
          <t>mm</t>
        </is>
      </c>
    </row>
    <row r="28">
      <c r="C28" s="21" t="inlineStr">
        <is>
          <t>HL</t>
        </is>
      </c>
      <c r="D28" s="15" t="inlineStr">
        <is>
          <t>=</t>
        </is>
      </c>
      <c r="E28" s="22">
        <f>H25+H26+H27</f>
        <v/>
      </c>
      <c r="F28" s="11" t="inlineStr">
        <is>
          <t>mm</t>
        </is>
      </c>
      <c r="G28" s="13" t="inlineStr">
        <is>
          <t>Application =</t>
        </is>
      </c>
      <c r="H28" s="22">
        <f>ROUNDUP(E28/1000,1)</f>
        <v/>
      </c>
      <c r="I28" s="11" t="inlineStr">
        <is>
          <t>m</t>
        </is>
      </c>
    </row>
    <row r="30">
      <c r="A30" s="10" t="inlineStr">
        <is>
          <t>- HH</t>
        </is>
      </c>
    </row>
    <row r="31">
      <c r="B31" s="11" t="inlineStr">
        <is>
          <t>Cone roof case tank top to extinguishing agent discharge outlet</t>
        </is>
      </c>
      <c r="H31" s="20" t="n">
        <v>300</v>
      </c>
      <c r="I31" s="11" t="inlineStr">
        <is>
          <t>mm</t>
        </is>
      </c>
    </row>
    <row r="32">
      <c r="B32" s="11" t="inlineStr">
        <is>
          <t>HH level to extinguishing agent discharge</t>
        </is>
      </c>
      <c r="H32" s="20" t="n">
        <v>600</v>
      </c>
      <c r="I32" s="11" t="inlineStr">
        <is>
          <t>mm</t>
        </is>
      </c>
    </row>
    <row r="33">
      <c r="C33" s="21" t="inlineStr">
        <is>
          <t>HH</t>
        </is>
      </c>
      <c r="D33" s="15" t="inlineStr">
        <is>
          <t>=</t>
        </is>
      </c>
      <c r="E33" s="22">
        <f>(H31+H32)/1000</f>
        <v/>
      </c>
      <c r="F33" s="11" t="inlineStr">
        <is>
          <t>m</t>
        </is>
      </c>
    </row>
    <row r="35">
      <c r="C35" s="13" t="inlineStr">
        <is>
          <t>Dead Capacity =</t>
        </is>
      </c>
      <c r="E35" s="23">
        <f>D46+F46</f>
        <v/>
      </c>
      <c r="F35" s="11" t="inlineStr">
        <is>
          <t>m³</t>
        </is>
      </c>
    </row>
    <row r="36">
      <c r="C36" s="13" t="inlineStr">
        <is>
          <t>So, Nominal capacity =</t>
        </is>
      </c>
      <c r="E36" s="23">
        <f>E8+E35</f>
        <v/>
      </c>
      <c r="F36" s="11" t="inlineStr">
        <is>
          <t>m³</t>
        </is>
      </c>
    </row>
    <row r="37">
      <c r="C37" s="13" t="inlineStr">
        <is>
          <t>HT =</t>
        </is>
      </c>
      <c r="E37" s="23">
        <f>E40</f>
        <v/>
      </c>
      <c r="F37" s="11" t="inlineStr">
        <is>
          <t>m</t>
        </is>
      </c>
    </row>
    <row r="39">
      <c r="B39" s="10" t="inlineStr">
        <is>
          <t>H = selected (attach#1)</t>
        </is>
      </c>
      <c r="F39" s="21" t="inlineStr">
        <is>
          <t>H/D :</t>
        </is>
      </c>
      <c r="G39" s="24">
        <f>E40/E41</f>
        <v/>
      </c>
    </row>
    <row r="40">
      <c r="C40" s="25" t="inlineStr">
        <is>
          <t>H</t>
        </is>
      </c>
      <c r="D40" s="15" t="inlineStr">
        <is>
          <t>=</t>
        </is>
      </c>
      <c r="E40" s="26" t="n">
        <v>12.84</v>
      </c>
      <c r="F40" s="11" t="inlineStr">
        <is>
          <t>m</t>
        </is>
      </c>
    </row>
    <row r="41">
      <c r="C41" s="25" t="inlineStr">
        <is>
          <t>D</t>
        </is>
      </c>
      <c r="D41" s="15" t="inlineStr">
        <is>
          <t>=</t>
        </is>
      </c>
      <c r="E41" s="26" t="n">
        <v>19.32</v>
      </c>
      <c r="F41" s="11" t="inlineStr">
        <is>
          <t>m</t>
        </is>
      </c>
    </row>
    <row r="42">
      <c r="C42" s="25" t="inlineStr">
        <is>
          <t>Volume</t>
        </is>
      </c>
      <c r="D42" s="15" t="inlineStr">
        <is>
          <t>=</t>
        </is>
      </c>
      <c r="E42" s="27" t="n">
        <v>3761.78</v>
      </c>
      <c r="F42" s="11" t="inlineStr">
        <is>
          <t>m³</t>
        </is>
      </c>
    </row>
    <row r="44">
      <c r="D44" s="25" t="inlineStr">
        <is>
          <t>HH</t>
        </is>
      </c>
      <c r="F44" s="25" t="inlineStr">
        <is>
          <t>HL</t>
        </is>
      </c>
    </row>
    <row r="45">
      <c r="D45" s="28">
        <f>E33</f>
        <v/>
      </c>
      <c r="E45" s="11" t="inlineStr">
        <is>
          <t>m</t>
        </is>
      </c>
      <c r="F45" s="28">
        <f>H28</f>
        <v/>
      </c>
      <c r="G45" s="11" t="inlineStr">
        <is>
          <t>m</t>
        </is>
      </c>
    </row>
    <row r="46">
      <c r="B46" s="25" t="inlineStr">
        <is>
          <t>Dead Capacity :</t>
        </is>
      </c>
      <c r="D46" s="23">
        <f>E42*E33/E40</f>
        <v/>
      </c>
      <c r="E46" s="11" t="inlineStr">
        <is>
          <t>m³</t>
        </is>
      </c>
      <c r="F46" s="23">
        <f>E42*H28/E40</f>
        <v/>
      </c>
      <c r="G46" s="11" t="inlineStr">
        <is>
          <t>m³</t>
        </is>
      </c>
    </row>
    <row r="47">
      <c r="B47" s="25" t="inlineStr">
        <is>
          <t>Design Capacity (Net Capacity) :</t>
        </is>
      </c>
      <c r="D47" s="29">
        <f>E42-D46-F46</f>
        <v/>
      </c>
      <c r="E47" s="30" t="n"/>
      <c r="F47" s="30" t="n"/>
      <c r="G47" s="11" t="inlineStr">
        <is>
          <t>m³</t>
        </is>
      </c>
    </row>
    <row r="49">
      <c r="B49" s="13" t="inlineStr">
        <is>
          <t>Check (Net ≥ Required Vw) :</t>
        </is>
      </c>
      <c r="E49" s="31">
        <f>IF(D47&gt;=E8,"OK","NG")</f>
        <v/>
      </c>
    </row>
  </sheetData>
  <mergeCells count="2">
    <mergeCell ref="A1:I1"/>
    <mergeCell ref="D47:F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7" customWidth="1" min="3" max="3"/>
    <col width="11" customWidth="1" min="4" max="4"/>
    <col width="12" customWidth="1" min="5" max="5"/>
    <col width="14" customWidth="1" min="6" max="6"/>
    <col width="12" customWidth="1" min="7" max="7"/>
    <col width="9" customWidth="1" min="8" max="8"/>
    <col width="6" customWidth="1" min="9" max="9"/>
  </cols>
  <sheetData>
    <row r="1">
      <c r="A1" s="1" t="inlineStr">
        <is>
          <t>Calculation for Filtered Seawater Storage Tank</t>
        </is>
      </c>
    </row>
    <row r="3">
      <c r="A3" s="10" t="inlineStr">
        <is>
          <t>1. Design Condition</t>
        </is>
      </c>
    </row>
    <row r="4">
      <c r="B4" s="11" t="inlineStr">
        <is>
          <t>1) Tank type : Cone Roof</t>
        </is>
      </c>
    </row>
    <row r="5">
      <c r="B5" s="11" t="inlineStr">
        <is>
          <t>3) Tank ID</t>
        </is>
      </c>
      <c r="E5" s="12" t="n">
        <v>11.2</v>
      </c>
      <c r="F5" s="11" t="inlineStr">
        <is>
          <t>m</t>
        </is>
      </c>
    </row>
    <row r="7">
      <c r="A7" s="10" t="inlineStr">
        <is>
          <t>2. Calculation</t>
        </is>
      </c>
    </row>
    <row r="8">
      <c r="B8" s="10" t="inlineStr">
        <is>
          <t>∴ Working Capacity (Vw) =</t>
        </is>
      </c>
      <c r="E8" s="12" t="n">
        <v>500</v>
      </c>
      <c r="F8" s="11" t="inlineStr">
        <is>
          <t>m³</t>
        </is>
      </c>
      <c r="G8" s="13" t="inlineStr">
        <is>
          <t>대당 =</t>
        </is>
      </c>
      <c r="H8" s="14">
        <f>E8</f>
        <v/>
      </c>
    </row>
    <row r="10">
      <c r="B10" s="11" t="inlineStr">
        <is>
          <t>HH = Top level - High level</t>
        </is>
      </c>
    </row>
    <row r="11">
      <c r="B11" s="11" t="inlineStr">
        <is>
          <t>Hw = High level - Low level (Working Volume)</t>
        </is>
      </c>
    </row>
    <row r="12">
      <c r="B12" s="11" t="inlineStr">
        <is>
          <t>HL = Low level - Bottom level</t>
        </is>
      </c>
    </row>
    <row r="14">
      <c r="B14" s="10" t="inlineStr">
        <is>
          <t>2) Normal Capacity (Vn)</t>
        </is>
      </c>
    </row>
    <row r="15">
      <c r="C15" s="11" t="inlineStr">
        <is>
          <t>→ Working capacity + Dead capacity</t>
        </is>
      </c>
    </row>
    <row r="16">
      <c r="C16" s="11" t="inlineStr">
        <is>
          <t>Dead capacity (V0) = (HL + HH) x D²/4</t>
        </is>
      </c>
    </row>
    <row r="18">
      <c r="A18" s="10" t="inlineStr">
        <is>
          <t>- HW</t>
        </is>
      </c>
    </row>
    <row r="19">
      <c r="B19" s="11" t="inlineStr">
        <is>
          <t>→ Seismic Zone</t>
        </is>
      </c>
      <c r="E19" s="13" t="inlineStr">
        <is>
          <t>HW</t>
        </is>
      </c>
      <c r="F19" s="15" t="inlineStr">
        <is>
          <t>=</t>
        </is>
      </c>
      <c r="G19" s="16" t="n">
        <v>0.45</v>
      </c>
      <c r="H19" s="11" t="inlineStr">
        <is>
          <t>x D</t>
        </is>
      </c>
    </row>
    <row r="20">
      <c r="E20" s="13" t="inlineStr">
        <is>
          <t>D</t>
        </is>
      </c>
      <c r="F20" s="15" t="inlineStr">
        <is>
          <t>=</t>
        </is>
      </c>
      <c r="G20" s="17">
        <f>E5</f>
        <v/>
      </c>
      <c r="H20" s="11" t="inlineStr">
        <is>
          <t>m</t>
        </is>
      </c>
    </row>
    <row r="21">
      <c r="E21" s="13" t="inlineStr">
        <is>
          <t>HW</t>
        </is>
      </c>
      <c r="F21" s="15" t="inlineStr">
        <is>
          <t>=</t>
        </is>
      </c>
      <c r="G21" s="14">
        <f>G19*E5</f>
        <v/>
      </c>
      <c r="H21" s="11" t="inlineStr">
        <is>
          <t>m</t>
        </is>
      </c>
    </row>
    <row r="22">
      <c r="E22" s="13" t="inlineStr">
        <is>
          <t>Q</t>
        </is>
      </c>
      <c r="F22" s="15" t="inlineStr">
        <is>
          <t>=</t>
        </is>
      </c>
      <c r="G22" s="17">
        <f>E8</f>
        <v/>
      </c>
      <c r="H22" s="11" t="inlineStr">
        <is>
          <t>m³</t>
        </is>
      </c>
    </row>
    <row r="24">
      <c r="A24" s="10" t="inlineStr">
        <is>
          <t>- HL</t>
        </is>
      </c>
    </row>
    <row r="25">
      <c r="B25" s="11" t="inlineStr">
        <is>
          <t>1) Tank Bottom to Outlet Nozzle Center Line dim. (Regular Type)</t>
        </is>
      </c>
      <c r="E25" s="18" t="n">
        <v>10</v>
      </c>
      <c r="F25" s="15" t="inlineStr">
        <is>
          <t>"</t>
        </is>
      </c>
      <c r="G25" s="15" t="inlineStr">
        <is>
          <t>=</t>
        </is>
      </c>
      <c r="H25" s="19">
        <f>E25*25.4</f>
        <v/>
      </c>
      <c r="I25" s="11" t="inlineStr">
        <is>
          <t>mm</t>
        </is>
      </c>
    </row>
    <row r="26">
      <c r="B26" s="11" t="inlineStr">
        <is>
          <t>2) Top outlet nozzle over</t>
        </is>
      </c>
      <c r="G26" s="15" t="inlineStr">
        <is>
          <t>=</t>
        </is>
      </c>
      <c r="H26" s="20" t="n">
        <v>150</v>
      </c>
      <c r="I26" s="11" t="inlineStr">
        <is>
          <t>mm</t>
        </is>
      </c>
    </row>
    <row r="27">
      <c r="B27" s="11" t="inlineStr">
        <is>
          <t>3) Outlet nozzle radius</t>
        </is>
      </c>
      <c r="G27" s="15" t="inlineStr">
        <is>
          <t>=</t>
        </is>
      </c>
      <c r="H27" s="20" t="n">
        <v>1000</v>
      </c>
      <c r="I27" s="11" t="inlineStr">
        <is>
          <t>mm</t>
        </is>
      </c>
    </row>
    <row r="28">
      <c r="C28" s="21" t="inlineStr">
        <is>
          <t>HL</t>
        </is>
      </c>
      <c r="D28" s="15" t="inlineStr">
        <is>
          <t>=</t>
        </is>
      </c>
      <c r="E28" s="22">
        <f>H25+H26+H27</f>
        <v/>
      </c>
      <c r="F28" s="11" t="inlineStr">
        <is>
          <t>mm</t>
        </is>
      </c>
      <c r="G28" s="13" t="inlineStr">
        <is>
          <t>Application =</t>
        </is>
      </c>
      <c r="H28" s="22">
        <f>ROUNDUP(E28/1000,1)</f>
        <v/>
      </c>
      <c r="I28" s="11" t="inlineStr">
        <is>
          <t>m</t>
        </is>
      </c>
    </row>
    <row r="30">
      <c r="A30" s="10" t="inlineStr">
        <is>
          <t>- HH</t>
        </is>
      </c>
    </row>
    <row r="31">
      <c r="B31" s="11" t="inlineStr">
        <is>
          <t>Cone roof case tank top to extinguishing agent discharge outlet</t>
        </is>
      </c>
      <c r="H31" s="20" t="n">
        <v>300</v>
      </c>
      <c r="I31" s="11" t="inlineStr">
        <is>
          <t>mm</t>
        </is>
      </c>
    </row>
    <row r="32">
      <c r="B32" s="11" t="inlineStr">
        <is>
          <t>HH level to extinguishing agent discharge</t>
        </is>
      </c>
      <c r="H32" s="20" t="n">
        <v>600</v>
      </c>
      <c r="I32" s="11" t="inlineStr">
        <is>
          <t>mm</t>
        </is>
      </c>
    </row>
    <row r="33">
      <c r="C33" s="21" t="inlineStr">
        <is>
          <t>HH</t>
        </is>
      </c>
      <c r="D33" s="15" t="inlineStr">
        <is>
          <t>=</t>
        </is>
      </c>
      <c r="E33" s="22">
        <f>(H31+H32)/1000</f>
        <v/>
      </c>
      <c r="F33" s="11" t="inlineStr">
        <is>
          <t>m</t>
        </is>
      </c>
    </row>
    <row r="35">
      <c r="C35" s="13" t="inlineStr">
        <is>
          <t>Dead Capacity =</t>
        </is>
      </c>
      <c r="E35" s="23">
        <f>D46+F46</f>
        <v/>
      </c>
      <c r="F35" s="11" t="inlineStr">
        <is>
          <t>m³</t>
        </is>
      </c>
    </row>
    <row r="36">
      <c r="C36" s="13" t="inlineStr">
        <is>
          <t>So, Nominal capacity =</t>
        </is>
      </c>
      <c r="E36" s="23">
        <f>E8+E35</f>
        <v/>
      </c>
      <c r="F36" s="11" t="inlineStr">
        <is>
          <t>m³</t>
        </is>
      </c>
    </row>
    <row r="37">
      <c r="C37" s="13" t="inlineStr">
        <is>
          <t>HT =</t>
        </is>
      </c>
      <c r="E37" s="23">
        <f>E40</f>
        <v/>
      </c>
      <c r="F37" s="11" t="inlineStr">
        <is>
          <t>m</t>
        </is>
      </c>
    </row>
    <row r="39">
      <c r="B39" s="10" t="inlineStr">
        <is>
          <t>H = selected (attach#1)</t>
        </is>
      </c>
      <c r="F39" s="21" t="inlineStr">
        <is>
          <t>H/D :</t>
        </is>
      </c>
      <c r="G39" s="24">
        <f>E40/E41</f>
        <v/>
      </c>
    </row>
    <row r="40">
      <c r="C40" s="25" t="inlineStr">
        <is>
          <t>H</t>
        </is>
      </c>
      <c r="D40" s="15" t="inlineStr">
        <is>
          <t>=</t>
        </is>
      </c>
      <c r="E40" s="26" t="n">
        <v>7.45</v>
      </c>
      <c r="F40" s="11" t="inlineStr">
        <is>
          <t>m</t>
        </is>
      </c>
    </row>
    <row r="41">
      <c r="C41" s="25" t="inlineStr">
        <is>
          <t>D</t>
        </is>
      </c>
      <c r="D41" s="15" t="inlineStr">
        <is>
          <t>=</t>
        </is>
      </c>
      <c r="E41" s="26" t="n">
        <v>11.23</v>
      </c>
      <c r="F41" s="11" t="inlineStr">
        <is>
          <t>m</t>
        </is>
      </c>
    </row>
    <row r="42">
      <c r="C42" s="25" t="inlineStr">
        <is>
          <t>Volume</t>
        </is>
      </c>
      <c r="D42" s="15" t="inlineStr">
        <is>
          <t>=</t>
        </is>
      </c>
      <c r="E42" s="27" t="n">
        <v>737.51</v>
      </c>
      <c r="F42" s="11" t="inlineStr">
        <is>
          <t>m³</t>
        </is>
      </c>
    </row>
    <row r="44">
      <c r="D44" s="25" t="inlineStr">
        <is>
          <t>HH</t>
        </is>
      </c>
      <c r="F44" s="25" t="inlineStr">
        <is>
          <t>HL</t>
        </is>
      </c>
    </row>
    <row r="45">
      <c r="D45" s="28">
        <f>E33</f>
        <v/>
      </c>
      <c r="E45" s="11" t="inlineStr">
        <is>
          <t>m</t>
        </is>
      </c>
      <c r="F45" s="28">
        <f>H28</f>
        <v/>
      </c>
      <c r="G45" s="11" t="inlineStr">
        <is>
          <t>m</t>
        </is>
      </c>
    </row>
    <row r="46">
      <c r="B46" s="25" t="inlineStr">
        <is>
          <t>Dead Capacity :</t>
        </is>
      </c>
      <c r="D46" s="23">
        <f>E42*E33/E40</f>
        <v/>
      </c>
      <c r="E46" s="11" t="inlineStr">
        <is>
          <t>m³</t>
        </is>
      </c>
      <c r="F46" s="23">
        <f>E42*H28/E40</f>
        <v/>
      </c>
      <c r="G46" s="11" t="inlineStr">
        <is>
          <t>m³</t>
        </is>
      </c>
    </row>
    <row r="47">
      <c r="B47" s="25" t="inlineStr">
        <is>
          <t>Design Capacity (Net Capacity) :</t>
        </is>
      </c>
      <c r="D47" s="29">
        <f>E42-D46-F46</f>
        <v/>
      </c>
      <c r="E47" s="30" t="n"/>
      <c r="F47" s="30" t="n"/>
      <c r="G47" s="11" t="inlineStr">
        <is>
          <t>m³</t>
        </is>
      </c>
    </row>
    <row r="49">
      <c r="B49" s="13" t="inlineStr">
        <is>
          <t>Check (Net ≥ Required Vw) :</t>
        </is>
      </c>
      <c r="E49" s="31">
        <f>IF(D47&gt;=E8,"OK","NG")</f>
        <v/>
      </c>
    </row>
  </sheetData>
  <mergeCells count="2">
    <mergeCell ref="A1:I1"/>
    <mergeCell ref="D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2026-06-08T05:13:21Z</dcterms:created>
  <dcterms:modified xmlns:dcterms="http://purl.org/dc/terms/" xmlns:xsi="http://www.w3.org/2001/XMLSchema-instance" xsi:type="dcterms:W3CDTF">2026-06-08T05:13:21Z</dcterms:modified>
</cp:coreProperties>
</file>