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사물량총량" sheetId="1" state="visible" r:id="rId3"/>
    <sheet name="기본물량산출" sheetId="2" state="visible" r:id="rId4"/>
    <sheet name="집계" sheetId="3" state="visible" r:id="rId5"/>
    <sheet name="제작물량산출" sheetId="4" state="visible" r:id="rId6"/>
    <sheet name="555 입력SHEET" sheetId="5" state="visible" r:id="rId7"/>
    <sheet name="제작기준" sheetId="6" state="visible" r:id="rId8"/>
    <sheet name="배관기본물량" sheetId="7" state="visible" r:id="rId9"/>
    <sheet name="배관소재집계" sheetId="8" state="visible" r:id="rId10"/>
    <sheet name="배관집계" sheetId="9" state="visible" r:id="rId11"/>
    <sheet name="배관부가물량" sheetId="10" state="visible" r:id="rId12"/>
    <sheet name="배관ARGON" sheetId="11" state="visible" r:id="rId13"/>
    <sheet name="도장면적집계" sheetId="12" state="visible" r:id="rId14"/>
    <sheet name="부대용접산소장비" sheetId="13" state="visible" r:id="rId15"/>
    <sheet name="부대운반SCRAP" sheetId="14" state="visible" r:id="rId16"/>
    <sheet name="부대가설공사" sheetId="15" state="visible" r:id="rId17"/>
    <sheet name="부대기준" sheetId="16" state="visible" r:id="rId18"/>
    <sheet name="보온물량" sheetId="17" state="visible" r:id="rId19"/>
    <sheet name="보온기준" sheetId="18" state="visible" r:id="rId20"/>
    <sheet name="배관기준" sheetId="19" state="visible" r:id="rId21"/>
    <sheet name="배관단중표" sheetId="20" state="visible" r:id="rId22"/>
    <sheet name="공통할증" sheetId="21" state="visible" r:id="rId23"/>
    <sheet name="기준표" sheetId="22" state="visible" r:id="rId24"/>
    <sheet name="검토사항" sheetId="23" state="visible" r:id="rId25"/>
  </sheets>
  <definedNames>
    <definedName function="false" hidden="true" localSheetId="4" name="_xlnm._FilterDatabase" vbProcedure="false">'555 입력SHEET'!$A$1:$V$69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<sst xmlns="http://schemas.openxmlformats.org/spreadsheetml/2006/main" count="3788" uniqueCount="1781">
  <si>
    <t xml:space="preserve">산# 1. 공사물량 총량 집계</t>
  </si>
  <si>
    <t xml:space="preserve">각 산출 시트(기본물량·제작·배관·도장·부대·가설)의 결과를 자동 집계합니다. 범례: 검정=자동 연동, 파란 글씨/노란 배경=입력(7-9 기타공사, 장비 매핑).</t>
  </si>
  <si>
    <t xml:space="preserve">구  분</t>
  </si>
  <si>
    <t xml:space="preserve">내  용</t>
  </si>
  <si>
    <t xml:space="preserve">수  량</t>
  </si>
  <si>
    <t xml:space="preserve">단위</t>
  </si>
  <si>
    <t xml:space="preserve">집계 근거</t>
  </si>
  <si>
    <t xml:space="preserve">집계 장비명
(매핑)</t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</si>
  <si>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Noto Sans CJK SC"/>
        <family val="2"/>
        <charset val="1"/>
      </rPr>
      <t xml:space="preserve">설치 공사</t>
    </r>
  </si>
  <si>
    <t xml:space="preserve">-</t>
  </si>
  <si>
    <t xml:space="preserve">강재류</t>
  </si>
  <si>
    <t xml:space="preserve">TON</t>
  </si>
  <si>
    <t xml:space="preserve">기본물량산출</t>
  </si>
  <si>
    <t xml:space="preserve">강재 STAND</t>
  </si>
  <si>
    <t xml:space="preserve">배관류</t>
  </si>
  <si>
    <t xml:space="preserve">배관집계(설치 T)</t>
  </si>
  <si>
    <t xml:space="preserve">소    계</t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</si>
  <si>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Noto Sans CJK SC"/>
        <family val="2"/>
        <charset val="1"/>
      </rPr>
      <t xml:space="preserve">이설 공사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</si>
  <si>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Noto Sans CJK SC"/>
        <family val="2"/>
        <charset val="1"/>
      </rPr>
      <t xml:space="preserve">철거 공사</t>
    </r>
  </si>
  <si>
    <t xml:space="preserve">기기강재류 철거</t>
  </si>
  <si>
    <t xml:space="preserve">배관집계(철거 T)</t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</si>
  <si>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Noto Sans CJK SC"/>
        <family val="2"/>
        <charset val="1"/>
      </rPr>
      <t xml:space="preserve">부대 공사</t>
    </r>
  </si>
  <si>
    <r>
      <rPr>
        <b val="true"/>
        <sz val="10"/>
        <rFont val="맑은 고딕"/>
        <family val="0"/>
        <charset val="1"/>
      </rPr>
      <t xml:space="preserve">1) </t>
    </r>
    <r>
      <rPr>
        <b val="true"/>
        <sz val="10"/>
        <rFont val="Noto Sans CJK SC"/>
        <family val="2"/>
        <charset val="1"/>
      </rPr>
      <t xml:space="preserve">도 장</t>
    </r>
  </si>
  <si>
    <t xml:space="preserve">바탕처리 1급</t>
  </si>
  <si>
    <t xml:space="preserve">M2</t>
  </si>
  <si>
    <t xml:space="preserve">도장면적집계</t>
  </si>
  <si>
    <t xml:space="preserve">바탕처리 2급</t>
  </si>
  <si>
    <r>
      <rPr>
        <sz val="10"/>
        <rFont val="맑은 고딕"/>
        <family val="0"/>
        <charset val="1"/>
      </rPr>
      <t xml:space="preserve">EPOXY PRIMER </t>
    </r>
    <r>
      <rPr>
        <sz val="10"/>
        <rFont val="Noto Sans CJK SC"/>
        <family val="2"/>
        <charset val="1"/>
      </rPr>
      <t xml:space="preserve">붓칠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</si>
  <si>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r>
      <rPr>
        <sz val="10"/>
        <rFont val="맑은 고딕"/>
        <family val="0"/>
        <charset val="1"/>
      </rPr>
      <t xml:space="preserve">H.B SELF PRIMING EPOXY MASTIC </t>
    </r>
    <r>
      <rPr>
        <sz val="10"/>
        <rFont val="Noto Sans CJK SC"/>
        <family val="2"/>
        <charset val="1"/>
      </rPr>
      <t xml:space="preserve">붓칠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</si>
  <si>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r>
      <rPr>
        <sz val="10"/>
        <rFont val="맑은 고딕"/>
        <family val="0"/>
        <charset val="1"/>
      </rPr>
      <t xml:space="preserve">H.B EPOXY MASTIC </t>
    </r>
    <r>
      <rPr>
        <sz val="10"/>
        <rFont val="Noto Sans CJK SC"/>
        <family val="2"/>
        <charset val="1"/>
      </rPr>
      <t xml:space="preserve">붓칠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</si>
  <si>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r>
      <rPr>
        <sz val="10"/>
        <rFont val="맑은 고딕"/>
        <family val="0"/>
        <charset val="1"/>
      </rPr>
      <t xml:space="preserve">EPOXY PRIMER </t>
    </r>
    <r>
      <rPr>
        <sz val="10"/>
        <rFont val="Noto Sans CJK SC"/>
        <family val="2"/>
        <charset val="1"/>
      </rPr>
      <t xml:space="preserve">뿜칠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</si>
  <si>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r>
      <rPr>
        <sz val="10"/>
        <rFont val="맑은 고딕"/>
        <family val="0"/>
        <charset val="1"/>
      </rPr>
      <t xml:space="preserve">H.B SELF PRIMING EPOXY MASTIC </t>
    </r>
    <r>
      <rPr>
        <sz val="10"/>
        <rFont val="Noto Sans CJK SC"/>
        <family val="2"/>
        <charset val="1"/>
      </rPr>
      <t xml:space="preserve">뿜칠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</si>
  <si>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r>
      <rPr>
        <sz val="10"/>
        <rFont val="맑은 고딕"/>
        <family val="0"/>
        <charset val="1"/>
      </rPr>
      <t xml:space="preserve">H.B EPOXY MASTIC </t>
    </r>
    <r>
      <rPr>
        <sz val="10"/>
        <rFont val="Noto Sans CJK SC"/>
        <family val="2"/>
        <charset val="1"/>
      </rPr>
      <t xml:space="preserve">뿜칠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</si>
  <si>
    <t xml:space="preserve">내화도료(PSM) 50MM</t>
  </si>
  <si>
    <t xml:space="preserve">내화도료(PSM) 100MM</t>
  </si>
  <si>
    <t xml:space="preserve">내화도료(PSM) 200MM</t>
  </si>
  <si>
    <r>
      <rPr>
        <b val="true"/>
        <sz val="10"/>
        <rFont val="맑은 고딕"/>
        <family val="0"/>
        <charset val="1"/>
      </rPr>
      <t xml:space="preserve">2) </t>
    </r>
    <r>
      <rPr>
        <b val="true"/>
        <sz val="10"/>
        <rFont val="Noto Sans CJK SC"/>
        <family val="2"/>
        <charset val="1"/>
      </rPr>
      <t xml:space="preserve">용 접</t>
    </r>
  </si>
  <si>
    <t xml:space="preserve">WELDING ROD KSE 4301</t>
  </si>
  <si>
    <t xml:space="preserve">KG</t>
  </si>
  <si>
    <t xml:space="preserve">부대 7-1</t>
  </si>
  <si>
    <t xml:space="preserve">WELDING ROD KSE 4316</t>
  </si>
  <si>
    <t xml:space="preserve">WELDING ROD AWS E308-16</t>
  </si>
  <si>
    <r>
      <rPr>
        <sz val="10"/>
        <rFont val="맑은 고딕"/>
        <family val="0"/>
        <charset val="1"/>
      </rPr>
      <t xml:space="preserve">TIG WELDING WIRE (</t>
    </r>
    <r>
      <rPr>
        <sz val="10"/>
        <rFont val="Noto Sans CJK SC"/>
        <family val="2"/>
        <charset val="1"/>
      </rPr>
      <t xml:space="preserve">연강용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</si>
  <si>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TIG WELDING WIRE (STS</t>
    </r>
    <r>
      <rPr>
        <sz val="10"/>
        <rFont val="Noto Sans CJK SC"/>
        <family val="2"/>
        <charset val="1"/>
      </rPr>
      <t xml:space="preserve">용</t>
    </r>
    <r>
      <rPr>
        <sz val="10"/>
        <rFont val="맑은 고딕"/>
        <family val="0"/>
        <charset val="1"/>
      </rPr>
      <t xml:space="preserve">)</t>
    </r>
  </si>
  <si>
    <t xml:space="preserve">OXYGEN GAS</t>
  </si>
  <si>
    <t xml:space="preserve">M3</t>
  </si>
  <si>
    <t xml:space="preserve">부대 7-2</t>
  </si>
  <si>
    <t xml:space="preserve">ARGON GAS</t>
  </si>
  <si>
    <t xml:space="preserve">BT</t>
  </si>
  <si>
    <t xml:space="preserve">배관 4-5</t>
  </si>
  <si>
    <r>
      <rPr>
        <sz val="10"/>
        <rFont val="맑은 고딕"/>
        <family val="0"/>
        <charset val="1"/>
      </rPr>
      <t xml:space="preserve">RT(15T</t>
    </r>
    <r>
      <rPr>
        <sz val="10"/>
        <rFont val="Noto Sans CJK SC"/>
        <family val="2"/>
        <charset val="1"/>
      </rPr>
      <t xml:space="preserve">이하</t>
    </r>
    <r>
      <rPr>
        <sz val="10"/>
        <rFont val="맑은 고딕"/>
        <family val="0"/>
        <charset val="1"/>
      </rPr>
      <t xml:space="preserve">)</t>
    </r>
  </si>
  <si>
    <t xml:space="preserve">SH</t>
  </si>
  <si>
    <t xml:space="preserve">배관 4-3 (촬영매수)</t>
  </si>
  <si>
    <t xml:space="preserve">PT</t>
  </si>
  <si>
    <t xml:space="preserve">M</t>
  </si>
  <si>
    <t xml:space="preserve">배관 4-3</t>
  </si>
  <si>
    <r>
      <rPr>
        <b val="true"/>
        <sz val="10"/>
        <rFont val="맑은 고딕"/>
        <family val="0"/>
        <charset val="1"/>
      </rPr>
      <t xml:space="preserve">3) </t>
    </r>
    <r>
      <rPr>
        <b val="true"/>
        <sz val="10"/>
        <rFont val="Noto Sans CJK SC"/>
        <family val="2"/>
        <charset val="1"/>
      </rPr>
      <t xml:space="preserve">부산물</t>
    </r>
  </si>
  <si>
    <t xml:space="preserve">SCRAP</t>
  </si>
  <si>
    <t xml:space="preserve">부대 7-5 (배관+제작+가설)</t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</si>
  <si>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Noto Sans CJK SC"/>
        <family val="2"/>
        <charset val="1"/>
      </rPr>
      <t xml:space="preserve">투입 장비</t>
    </r>
  </si>
  <si>
    <r>
      <rPr>
        <b val="true"/>
        <sz val="10"/>
        <rFont val="맑은 고딕"/>
        <family val="0"/>
        <charset val="1"/>
      </rPr>
      <t xml:space="preserve">1) CRANE</t>
    </r>
    <r>
      <rPr>
        <b val="true"/>
        <sz val="10"/>
        <rFont val="Noto Sans CJK SC"/>
        <family val="2"/>
        <charset val="1"/>
      </rPr>
      <t xml:space="preserve">류</t>
    </r>
  </si>
  <si>
    <t xml:space="preserve">100TON HYDRAURIC CRANE</t>
  </si>
  <si>
    <t xml:space="preserve">HR</t>
  </si>
  <si>
    <t xml:space="preserve">100T Crane</t>
  </si>
  <si>
    <t xml:space="preserve">18TON CARGO CRANE</t>
  </si>
  <si>
    <t xml:space="preserve">15T Crane</t>
  </si>
  <si>
    <t xml:space="preserve">집게차 18/25TON</t>
  </si>
  <si>
    <t xml:space="preserve">25T Crane</t>
  </si>
  <si>
    <r>
      <rPr>
        <sz val="10"/>
        <rFont val="맑은 고딕"/>
        <family val="0"/>
        <charset val="1"/>
      </rPr>
      <t xml:space="preserve">10TON </t>
    </r>
    <r>
      <rPr>
        <sz val="10"/>
        <rFont val="Noto Sans CJK SC"/>
        <family val="2"/>
        <charset val="1"/>
      </rPr>
      <t xml:space="preserve">지게차</t>
    </r>
  </si>
  <si>
    <t xml:space="preserve">지게차 7Ton</t>
  </si>
  <si>
    <r>
      <rPr>
        <sz val="10"/>
        <rFont val="맑은 고딕"/>
        <family val="0"/>
        <charset val="1"/>
      </rPr>
      <t xml:space="preserve">OHC </t>
    </r>
    <r>
      <rPr>
        <sz val="10"/>
        <rFont val="Noto Sans CJK SC"/>
        <family val="2"/>
        <charset val="1"/>
      </rPr>
      <t xml:space="preserve">운전</t>
    </r>
  </si>
  <si>
    <r>
      <rPr>
        <sz val="10"/>
        <color rgb="FF0000FF"/>
        <rFont val="맑은 고딕"/>
        <family val="0"/>
        <charset val="1"/>
      </rPr>
      <t xml:space="preserve">OHC </t>
    </r>
    <r>
      <rPr>
        <sz val="10"/>
        <color rgb="FF0000FF"/>
        <rFont val="Noto Sans CJK SC"/>
        <family val="2"/>
        <charset val="1"/>
      </rPr>
      <t xml:space="preserve">운전</t>
    </r>
  </si>
  <si>
    <t xml:space="preserve">WINCH</t>
  </si>
  <si>
    <t xml:space="preserve">2) WELDER</t>
  </si>
  <si>
    <t xml:space="preserve">WELDER 200A</t>
  </si>
  <si>
    <t xml:space="preserve">부대 7-3</t>
  </si>
  <si>
    <t xml:space="preserve">WELDER 300A</t>
  </si>
  <si>
    <t xml:space="preserve">TIG WELDER</t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</si>
  <si>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Noto Sans CJK SC"/>
        <family val="2"/>
        <charset val="1"/>
      </rPr>
      <t xml:space="preserve">가설공사</t>
    </r>
  </si>
  <si>
    <t xml:space="preserve">대</t>
  </si>
  <si>
    <t xml:space="preserve">7-7</t>
  </si>
  <si>
    <t xml:space="preserve">콘테이너형 가설화장실</t>
  </si>
  <si>
    <t xml:space="preserve">가설비계 - 강관 비계</t>
  </si>
  <si>
    <t xml:space="preserve">7-8</t>
  </si>
  <si>
    <t xml:space="preserve">가설비계 - 안전발판</t>
  </si>
  <si>
    <t xml:space="preserve">EA</t>
  </si>
  <si>
    <t xml:space="preserve">가설침목</t>
  </si>
  <si>
    <t xml:space="preserve">7-1</t>
  </si>
  <si>
    <r>
      <rPr>
        <sz val="10"/>
        <rFont val="맑은 고딕"/>
        <family val="0"/>
        <charset val="1"/>
      </rPr>
      <t xml:space="preserve">PIPE </t>
    </r>
    <r>
      <rPr>
        <sz val="10"/>
        <rFont val="Noto Sans CJK SC"/>
        <family val="2"/>
        <charset val="1"/>
      </rPr>
      <t xml:space="preserve">적치대 손료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  <charset val="1"/>
      </rPr>
      <t xml:space="preserve">개월미만</t>
    </r>
    <r>
      <rPr>
        <sz val="10"/>
        <rFont val="맑은 고딕"/>
        <family val="0"/>
        <charset val="1"/>
      </rPr>
      <t xml:space="preserve">)</t>
    </r>
  </si>
  <si>
    <t xml:space="preserve">SET</t>
  </si>
  <si>
    <t xml:space="preserve">제작용정반 손료(3개월미만)</t>
  </si>
  <si>
    <r>
      <rPr>
        <sz val="10"/>
        <rFont val="맑은 고딕"/>
        <family val="0"/>
        <charset val="1"/>
      </rPr>
      <t xml:space="preserve">SCRAP BOX </t>
    </r>
    <r>
      <rPr>
        <sz val="10"/>
        <rFont val="Noto Sans CJK SC"/>
        <family val="2"/>
        <charset val="1"/>
      </rPr>
      <t xml:space="preserve">손료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  <charset val="1"/>
      </rPr>
      <t xml:space="preserve">개월미만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</si>
  <si>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PIPE </t>
    </r>
    <r>
      <rPr>
        <sz val="10"/>
        <rFont val="Noto Sans CJK SC"/>
        <family val="2"/>
        <charset val="1"/>
      </rPr>
      <t xml:space="preserve">제작용 </t>
    </r>
    <r>
      <rPr>
        <sz val="10"/>
        <rFont val="맑은 고딕"/>
        <family val="0"/>
        <charset val="1"/>
      </rPr>
      <t xml:space="preserve">JIG </t>
    </r>
    <r>
      <rPr>
        <sz val="10"/>
        <rFont val="Noto Sans CJK SC"/>
        <family val="2"/>
        <charset val="1"/>
      </rPr>
      <t xml:space="preserve">손료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  <charset val="1"/>
      </rPr>
      <t xml:space="preserve">개월미만</t>
    </r>
    <r>
      <rPr>
        <sz val="10"/>
        <rFont val="맑은 고딕"/>
        <family val="0"/>
        <charset val="1"/>
      </rPr>
      <t xml:space="preserve">)</t>
    </r>
  </si>
  <si>
    <t xml:space="preserve">고철상품</t>
  </si>
  <si>
    <r>
      <rPr>
        <sz val="10"/>
        <rFont val="맑은 고딕"/>
        <family val="0"/>
        <charset val="1"/>
      </rPr>
      <t xml:space="preserve">SCRAP </t>
    </r>
    <r>
      <rPr>
        <sz val="10"/>
        <rFont val="Noto Sans CJK SC"/>
        <family val="2"/>
        <charset val="1"/>
      </rPr>
      <t xml:space="preserve">운반</t>
    </r>
  </si>
  <si>
    <t xml:space="preserve">기자재 BOX 개곤 물량</t>
  </si>
  <si>
    <t xml:space="preserve">7-6</t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</si>
  <si>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Noto Sans CJK SC"/>
        <family val="2"/>
        <charset val="1"/>
      </rPr>
      <t xml:space="preserve">기타공사</t>
    </r>
  </si>
  <si>
    <t xml:space="preserve">전담안전관리자</t>
  </si>
  <si>
    <t xml:space="preserve">MD</t>
  </si>
  <si>
    <r>
      <rPr>
        <sz val="9"/>
        <color rgb="FF666666"/>
        <rFont val="맑은 고딕"/>
        <family val="0"/>
        <charset val="1"/>
      </rPr>
      <t xml:space="preserve">7-9 </t>
    </r>
    <r>
      <rPr>
        <sz val="9"/>
        <color rgb="FF666666"/>
        <rFont val="Noto Sans CJK SC"/>
        <family val="2"/>
        <charset val="1"/>
      </rPr>
      <t xml:space="preserve">기타공사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입력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</si>
  <si>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HOOD </t>
    </r>
    <r>
      <rPr>
        <sz val="10"/>
        <rFont val="Noto Sans CJK SC"/>
        <family val="2"/>
        <charset val="1"/>
      </rPr>
      <t xml:space="preserve">제작</t>
    </r>
  </si>
  <si>
    <t xml:space="preserve">식</t>
  </si>
  <si>
    <r>
      <rPr>
        <sz val="10"/>
        <rFont val="맑은 고딕"/>
        <family val="0"/>
        <charset val="1"/>
      </rPr>
      <t xml:space="preserve">LAMONT NOZZLE </t>
    </r>
    <r>
      <rPr>
        <sz val="10"/>
        <rFont val="Noto Sans CJK SC"/>
        <family val="2"/>
        <charset val="1"/>
      </rPr>
      <t xml:space="preserve">청소</t>
    </r>
  </si>
  <si>
    <t xml:space="preserve">철거재 표면 청소비</t>
  </si>
  <si>
    <t xml:space="preserve">석면검사비</t>
  </si>
  <si>
    <t xml:space="preserve">POINT</t>
  </si>
  <si>
    <t xml:space="preserve">폐석면 철거비</t>
  </si>
  <si>
    <t xml:space="preserve">폐석면 처리비(매립)</t>
  </si>
  <si>
    <t xml:space="preserve">공기농도 측정</t>
  </si>
  <si>
    <t xml:space="preserve">설치+이설+철거 총중량 합계</t>
  </si>
  <si>
    <t xml:space="preserve">※ 장비 시간은 집계 시트의 장비명과 매핑(F열)하여 연동합니다. 원본 양식의 장비명(18TON CARGO CRANE, 집게차 18/25TON 등)과 집계 장비명(15T/25T Crane 등)이 달라 임의 매핑했으니 확인·수정하세요.</t>
  </si>
  <si>
    <r>
      <rPr>
        <i val="true"/>
        <sz val="10"/>
        <color rgb="FF666666"/>
        <rFont val="맑은 고딕"/>
        <family val="0"/>
        <charset val="1"/>
      </rPr>
      <t xml:space="preserve">※ 7. </t>
    </r>
    <r>
      <rPr>
        <i val="true"/>
        <sz val="10"/>
        <color rgb="FF666666"/>
        <rFont val="Noto Sans CJK SC"/>
        <family val="2"/>
        <charset val="1"/>
      </rPr>
      <t xml:space="preserve">기타공사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전담안전관리자</t>
    </r>
    <r>
      <rPr>
        <i val="true"/>
        <sz val="10"/>
        <color rgb="FF666666"/>
        <rFont val="맑은 고딕"/>
        <family val="0"/>
        <charset val="1"/>
      </rPr>
      <t xml:space="preserve">·HOOD </t>
    </r>
    <r>
      <rPr>
        <i val="true"/>
        <sz val="10"/>
        <color rgb="FF666666"/>
        <rFont val="Noto Sans CJK SC"/>
        <family val="2"/>
        <charset val="1"/>
      </rPr>
      <t xml:space="preserve">제작</t>
    </r>
    <r>
      <rPr>
        <i val="true"/>
        <sz val="10"/>
        <color rgb="FF666666"/>
        <rFont val="맑은 고딕"/>
        <family val="0"/>
        <charset val="1"/>
      </rPr>
      <t xml:space="preserve">·LAMONT NOZZLE·</t>
    </r>
    <r>
      <rPr>
        <i val="true"/>
        <sz val="10"/>
        <color rgb="FF666666"/>
        <rFont val="Noto Sans CJK SC"/>
        <family val="2"/>
        <charset val="1"/>
      </rPr>
      <t xml:space="preserve">석면 관련</t>
    </r>
    <r>
      <rPr>
        <i val="true"/>
        <sz val="10"/>
        <color rgb="FF666666"/>
        <rFont val="맑은 고딕"/>
        <family val="0"/>
        <charset val="1"/>
      </rPr>
      <t xml:space="preserve">)</t>
    </r>
    <r>
      <rPr>
        <i val="true"/>
        <sz val="10"/>
        <color rgb="FF666666"/>
        <rFont val="Noto Sans CJK SC"/>
        <family val="2"/>
        <charset val="1"/>
      </rPr>
      <t xml:space="preserve">는 </t>
    </r>
    <r>
      <rPr>
        <i val="true"/>
        <sz val="10"/>
        <color rgb="FF666666"/>
        <rFont val="맑은 고딕"/>
        <family val="0"/>
        <charset val="1"/>
      </rPr>
      <t xml:space="preserve">7-9 </t>
    </r>
    <r>
      <rPr>
        <i val="true"/>
        <sz val="10"/>
        <color rgb="FF666666"/>
        <rFont val="Noto Sans CJK SC"/>
        <family val="2"/>
        <charset val="1"/>
      </rPr>
      <t xml:space="preserve">기타공사 양식 수령 전까지 원본 예시값을 입력값으로 둡니다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</si>
  <si>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r>
      <rPr>
        <i val="true"/>
        <sz val="10"/>
        <color rgb="FF666666"/>
        <rFont val="맑은 고딕"/>
        <family val="0"/>
        <charset val="1"/>
      </rPr>
      <t xml:space="preserve">※ ARGON GAS 7BT</t>
    </r>
    <r>
      <rPr>
        <i val="true"/>
        <sz val="10"/>
        <color rgb="FF666666"/>
        <rFont val="Noto Sans CJK SC"/>
        <family val="2"/>
        <charset val="1"/>
      </rPr>
      <t xml:space="preserve">에는 </t>
    </r>
    <r>
      <rPr>
        <i val="true"/>
        <sz val="10"/>
        <color rgb="FF666666"/>
        <rFont val="맑은 고딕"/>
        <family val="0"/>
        <charset val="1"/>
      </rPr>
      <t xml:space="preserve">STS304 300A </t>
    </r>
    <r>
      <rPr>
        <i val="true"/>
        <sz val="10"/>
        <color rgb="FF666666"/>
        <rFont val="Noto Sans CJK SC"/>
        <family val="2"/>
        <charset val="1"/>
      </rPr>
      <t xml:space="preserve">행</t>
    </r>
    <r>
      <rPr>
        <i val="true"/>
        <sz val="10"/>
        <color rgb="FF666666"/>
        <rFont val="맑은 고딕"/>
        <family val="0"/>
        <charset val="1"/>
      </rPr>
      <t xml:space="preserve">(31,560ℓ)</t>
    </r>
    <r>
      <rPr>
        <i val="true"/>
        <sz val="10"/>
        <color rgb="FF666666"/>
        <rFont val="Noto Sans CJK SC"/>
        <family val="2"/>
        <charset val="1"/>
      </rPr>
      <t xml:space="preserve">이 포함되어 있습니다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원본 </t>
    </r>
    <r>
      <rPr>
        <i val="true"/>
        <sz val="10"/>
        <color rgb="FF666666"/>
        <rFont val="맑은 고딕"/>
        <family val="0"/>
        <charset val="1"/>
      </rPr>
      <t xml:space="preserve">4-5 </t>
    </r>
    <r>
      <rPr>
        <i val="true"/>
        <sz val="10"/>
        <color rgb="FF666666"/>
        <rFont val="Noto Sans CJK SC"/>
        <family val="2"/>
        <charset val="1"/>
      </rPr>
      <t xml:space="preserve">예시는 미산정 → </t>
    </r>
    <r>
      <rPr>
        <i val="true"/>
        <sz val="10"/>
        <color rgb="FF666666"/>
        <rFont val="맑은 고딕"/>
        <family val="0"/>
        <charset val="1"/>
      </rPr>
      <t xml:space="preserve">2BT). </t>
    </r>
    <r>
      <rPr>
        <i val="true"/>
        <sz val="10"/>
        <color rgb="FF666666"/>
        <rFont val="Noto Sans CJK SC"/>
        <family val="2"/>
        <charset val="1"/>
      </rPr>
      <t xml:space="preserve">확인 결과에 따라 변동됩니다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</si>
  <si>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포) 2제강 4전로 Hood 갱년교체 - 기본물량산출 (수정본)</t>
  </si>
  <si>
    <t xml:space="preserve">범례: 파란 글씨=입력, 검정=수식, 노란 배경=확인/입력 필요. 수식 셀은 수정하지 마세요.</t>
  </si>
  <si>
    <t xml:space="preserve">근거: 기계 적산 설계 MANUAL(2024.12) 3-7 장비공사, 3장 요주의 Work Code(W5931 A01/A02), 고소할증 C02</t>
  </si>
  <si>
    <t xml:space="preserve">NO</t>
  </si>
  <si>
    <t xml:space="preserve">품명</t>
  </si>
  <si>
    <t xml:space="preserve">수량</t>
  </si>
  <si>
    <t xml:space="preserve">개당 설치단중(kg)</t>
  </si>
  <si>
    <t xml:space="preserve">중량(kg)</t>
  </si>
  <si>
    <t xml:space="preserve">중량(ton)</t>
  </si>
  <si>
    <t xml:space="preserve">작업구분</t>
  </si>
  <si>
    <t xml:space="preserve">설비계열</t>
  </si>
  <si>
    <t xml:space="preserve">품종기본</t>
  </si>
  <si>
    <t xml:space="preserve">품종(자동판정)</t>
  </si>
  <si>
    <t xml:space="preserve">장비명</t>
  </si>
  <si>
    <t xml:space="preserve">TON/DAY</t>
  </si>
  <si>
    <t xml:space="preserve">작업계수</t>
  </si>
  <si>
    <t xml:space="preserve">장비일수</t>
  </si>
  <si>
    <t xml:space="preserve">설치높이(m)</t>
  </si>
  <si>
    <t xml:space="preserve">고소방식</t>
  </si>
  <si>
    <t xml:space="preserve">고소할증 C02</t>
  </si>
  <si>
    <t xml:space="preserve">용접장 30M초과(Y/N)</t>
  </si>
  <si>
    <t xml:space="preserve">A01 (W5931)</t>
  </si>
  <si>
    <t xml:space="preserve">A02 (W5931)</t>
  </si>
  <si>
    <t xml:space="preserve">운반적용(Y/N)</t>
  </si>
  <si>
    <t xml:space="preserve">비고</t>
  </si>
  <si>
    <t xml:space="preserve">원본 장비일수</t>
  </si>
  <si>
    <t xml:space="preserve">차이(수정-원본)</t>
  </si>
  <si>
    <r>
      <rPr>
        <sz val="10"/>
        <color rgb="FF0000FF"/>
        <rFont val="맑은 고딕"/>
        <family val="0"/>
        <charset val="1"/>
      </rPr>
      <t xml:space="preserve">UPPER HOOD </t>
    </r>
    <r>
      <rPr>
        <sz val="10"/>
        <color rgb="FF0000FF"/>
        <rFont val="Noto Sans CJK SC"/>
        <family val="2"/>
        <charset val="1"/>
      </rPr>
      <t xml:space="preserve">설치</t>
    </r>
  </si>
  <si>
    <t xml:space="preserve">설치</t>
  </si>
  <si>
    <t xml:space="preserve">철골류</t>
  </si>
  <si>
    <t xml:space="preserve">비계</t>
  </si>
  <si>
    <t xml:space="preserve">N</t>
  </si>
  <si>
    <t xml:space="preserve">Y</t>
  </si>
  <si>
    <r>
      <rPr>
        <sz val="10"/>
        <color rgb="FF0000FF"/>
        <rFont val="맑은 고딕"/>
        <family val="0"/>
        <charset val="1"/>
      </rPr>
      <t xml:space="preserve">UPPER HOOD </t>
    </r>
    <r>
      <rPr>
        <sz val="10"/>
        <color rgb="FF0000FF"/>
        <rFont val="Noto Sans CJK SC"/>
        <family val="2"/>
        <charset val="1"/>
      </rPr>
      <t xml:space="preserve">철거</t>
    </r>
  </si>
  <si>
    <t xml:space="preserve">철거</t>
  </si>
  <si>
    <t xml:space="preserve">철거재 운반: 폐기대상이면 Y (본 설비 철거는 SCRAP 공제 없음, 운반비만)</t>
  </si>
  <si>
    <t xml:space="preserve">LANCE PIPE (3EA)</t>
  </si>
  <si>
    <t xml:space="preserve">이설</t>
  </si>
  <si>
    <t xml:space="preserve">기기(수냉 Lance) 성격이면 설비계열=기기류 검토</t>
  </si>
  <si>
    <t xml:space="preserve">MOVEABLE DECK - DECK</t>
  </si>
  <si>
    <t xml:space="preserve">MOVEABLE DECK - DECK SUPPORT</t>
  </si>
  <si>
    <t xml:space="preserve">원본 '1.0-5.0TON'은 오분류 → 5.0-10.0TON 자동 정정</t>
  </si>
  <si>
    <t xml:space="preserve">철골류(설치)</t>
  </si>
  <si>
    <t xml:space="preserve">성품하차/구내운반 반영 여부 확인</t>
  </si>
  <si>
    <t xml:space="preserve">철골류(철거)</t>
  </si>
  <si>
    <t xml:space="preserve">철골류(이설)</t>
  </si>
  <si>
    <t xml:space="preserve">계</t>
  </si>
  <si>
    <t xml:space="preserve">※ 열 X(원본 장비일수)는 원본 시트 값을 그대로 옮긴 검증용 입력이며, 열 Y가 0이면 수정본 수식이 원본과 일치.</t>
  </si>
  <si>
    <t xml:space="preserve">※ 설치높이(P열)는 도면 확인 후 입력(공란=고소할증 없음). 10m 미만은 C02 0.</t>
  </si>
  <si>
    <r>
      <rPr>
        <i val="true"/>
        <sz val="10"/>
        <color rgb="FF666666"/>
        <rFont val="맑은 고딕"/>
        <family val="0"/>
        <charset val="1"/>
      </rPr>
      <t xml:space="preserve">※ T·U</t>
    </r>
    <r>
      <rPr>
        <i val="true"/>
        <sz val="10"/>
        <color rgb="FF666666"/>
        <rFont val="Noto Sans CJK SC"/>
        <family val="2"/>
        <charset val="1"/>
      </rPr>
      <t xml:space="preserve">열</t>
    </r>
    <r>
      <rPr>
        <i val="true"/>
        <sz val="10"/>
        <color rgb="FF666666"/>
        <rFont val="맑은 고딕"/>
        <family val="0"/>
        <charset val="1"/>
      </rPr>
      <t xml:space="preserve">: W5931(</t>
    </r>
    <r>
      <rPr>
        <i val="true"/>
        <sz val="10"/>
        <color rgb="FF666666"/>
        <rFont val="Noto Sans CJK SC"/>
        <family val="2"/>
        <charset val="1"/>
      </rPr>
      <t xml:space="preserve">강재류 조립설치</t>
    </r>
    <r>
      <rPr>
        <i val="true"/>
        <sz val="10"/>
        <color rgb="FF666666"/>
        <rFont val="맑은 고딕"/>
        <family val="0"/>
        <charset val="1"/>
      </rPr>
      <t xml:space="preserve">) </t>
    </r>
    <r>
      <rPr>
        <i val="true"/>
        <sz val="10"/>
        <color rgb="FF666666"/>
        <rFont val="Noto Sans CJK SC"/>
        <family val="2"/>
        <charset val="1"/>
      </rPr>
      <t xml:space="preserve">요주의 </t>
    </r>
    <r>
      <rPr>
        <i val="true"/>
        <sz val="10"/>
        <color rgb="FF666666"/>
        <rFont val="맑은 고딕"/>
        <family val="0"/>
        <charset val="1"/>
      </rPr>
      <t xml:space="preserve">Factor. 0.5TON </t>
    </r>
    <r>
      <rPr>
        <i val="true"/>
        <sz val="10"/>
        <color rgb="FF666666"/>
        <rFont val="Noto Sans CJK SC"/>
        <family val="2"/>
        <charset val="1"/>
      </rPr>
      <t xml:space="preserve">미만은 용접장 </t>
    </r>
    <r>
      <rPr>
        <i val="true"/>
        <sz val="10"/>
        <color rgb="FF666666"/>
        <rFont val="맑은 고딕"/>
        <family val="0"/>
        <charset val="1"/>
      </rPr>
      <t xml:space="preserve">30M </t>
    </r>
    <r>
      <rPr>
        <i val="true"/>
        <sz val="10"/>
        <color rgb="FF666666"/>
        <rFont val="Noto Sans CJK SC"/>
        <family val="2"/>
        <charset val="1"/>
      </rPr>
      <t xml:space="preserve">초과</t>
    </r>
    <r>
      <rPr>
        <i val="true"/>
        <sz val="10"/>
        <color rgb="FF666666"/>
        <rFont val="맑은 고딕"/>
        <family val="0"/>
        <charset val="1"/>
      </rPr>
      <t xml:space="preserve">(S</t>
    </r>
    <r>
      <rPr>
        <i val="true"/>
        <sz val="10"/>
        <color rgb="FF666666"/>
        <rFont val="Noto Sans CJK SC"/>
        <family val="2"/>
        <charset val="1"/>
      </rPr>
      <t xml:space="preserve">열</t>
    </r>
    <r>
      <rPr>
        <i val="true"/>
        <sz val="10"/>
        <color rgb="FF666666"/>
        <rFont val="맑은 고딕"/>
        <family val="0"/>
        <charset val="1"/>
      </rPr>
      <t xml:space="preserve">=Y)</t>
    </r>
    <r>
      <rPr>
        <i val="true"/>
        <sz val="10"/>
        <color rgb="FF666666"/>
        <rFont val="Noto Sans CJK SC"/>
        <family val="2"/>
        <charset val="1"/>
      </rPr>
      <t xml:space="preserve">일 때만 </t>
    </r>
    <r>
      <rPr>
        <i val="true"/>
        <sz val="10"/>
        <color rgb="FF666666"/>
        <rFont val="맑은 고딕"/>
        <family val="0"/>
        <charset val="1"/>
      </rPr>
      <t xml:space="preserve">A01=0.3, A02=0.2 </t>
    </r>
    <r>
      <rPr>
        <i val="true"/>
        <sz val="10"/>
        <color rgb="FF666666"/>
        <rFont val="Noto Sans CJK SC"/>
        <family val="2"/>
        <charset val="1"/>
      </rPr>
      <t xml:space="preserve">적용</t>
    </r>
    <r>
      <rPr>
        <i val="true"/>
        <sz val="10"/>
        <color rgb="FF666666"/>
        <rFont val="맑은 고딕"/>
        <family val="0"/>
        <charset val="1"/>
      </rPr>
      <t xml:space="preserve">. </t>
    </r>
    <r>
      <rPr>
        <i val="true"/>
        <sz val="10"/>
        <color rgb="FF666666"/>
        <rFont val="Noto Sans CJK SC"/>
        <family val="2"/>
        <charset val="1"/>
      </rPr>
      <t xml:space="preserve">철거</t>
    </r>
    <r>
      <rPr>
        <i val="true"/>
        <sz val="10"/>
        <color rgb="FF666666"/>
        <rFont val="맑은 고딕"/>
        <family val="0"/>
        <charset val="1"/>
      </rPr>
      <t xml:space="preserve">(W5944)</t>
    </r>
    <r>
      <rPr>
        <i val="true"/>
        <sz val="10"/>
        <color rgb="FF666666"/>
        <rFont val="Noto Sans CJK SC"/>
        <family val="2"/>
        <charset val="1"/>
      </rPr>
      <t xml:space="preserve">는 해당없음</t>
    </r>
    <r>
      <rPr>
        <i val="true"/>
        <sz val="10"/>
        <color rgb="FF666666"/>
        <rFont val="맑은 고딕"/>
        <family val="0"/>
        <charset val="1"/>
      </rPr>
      <t xml:space="preserve">(-).</t>
    </r>
  </si>
  <si>
    <t xml:space="preserve">집계 (기본물량산출 연동)</t>
  </si>
  <si>
    <t xml:space="preserve">① 장비사용시간 집계</t>
  </si>
  <si>
    <t xml:space="preserve">합계 일수</t>
  </si>
  <si>
    <t xml:space="preserve">적용 일수(올림)</t>
  </si>
  <si>
    <t xml:space="preserve">일일 사용시간(HR)</t>
  </si>
  <si>
    <t xml:space="preserve">적용 시간(HR)</t>
  </si>
  <si>
    <t xml:space="preserve">원본: 6.00일 x 8HR = 48HR</t>
  </si>
  <si>
    <t xml:space="preserve">② 품종별 중량 집계 (kg)</t>
  </si>
  <si>
    <t xml:space="preserve">품종</t>
  </si>
  <si>
    <t xml:space="preserve">강재류 0.5TON미만</t>
  </si>
  <si>
    <t xml:space="preserve">강재류 0.5-1.0TON</t>
  </si>
  <si>
    <t xml:space="preserve">강재류 1.0-5.0TON</t>
  </si>
  <si>
    <t xml:space="preserve">강재류 5.0-10.0TON</t>
  </si>
  <si>
    <t xml:space="preserve">강재류 10.0TON이상</t>
  </si>
  <si>
    <t xml:space="preserve">강재류 0.5TON미만 철거</t>
  </si>
  <si>
    <t xml:space="preserve">강재류 0.5-1.0TON 철거</t>
  </si>
  <si>
    <t xml:space="preserve">강재류 1.0-5.0TON 철거</t>
  </si>
  <si>
    <t xml:space="preserve">강재류 5.0-10.0TON 철거</t>
  </si>
  <si>
    <t xml:space="preserve">강재류 10.0TON이상 철거</t>
  </si>
  <si>
    <t xml:space="preserve">강재 STAND 철거</t>
  </si>
  <si>
    <t xml:space="preserve">강재류 0.5TON미만 이설</t>
  </si>
  <si>
    <t xml:space="preserve">강재류 0.5-1.0TON 이설</t>
  </si>
  <si>
    <t xml:space="preserve">강재류 1.0-5.0TON 이설</t>
  </si>
  <si>
    <t xml:space="preserve">강재류 5.0-10.0TON 이설</t>
  </si>
  <si>
    <t xml:space="preserve">강재류 10.0TON이상 이설</t>
  </si>
  <si>
    <t xml:space="preserve">강재 STAND 이설</t>
  </si>
  <si>
    <t xml:space="preserve">검증(기본물량 총중량과 차이)</t>
  </si>
  <si>
    <t xml:space="preserve">③ 운반 물량 집계 (운반적용=Y 행)</t>
  </si>
  <si>
    <t xml:space="preserve">구분</t>
  </si>
  <si>
    <t xml:space="preserve">물량(ton)</t>
  </si>
  <si>
    <t xml:space="preserve">성품하차 (설치물량)</t>
  </si>
  <si>
    <t xml:space="preserve">원본 38.0ton</t>
  </si>
  <si>
    <t xml:space="preserve">구내운반 (성품현장소운반 70%)</t>
  </si>
  <si>
    <t xml:space="preserve">원본 26.6ton</t>
  </si>
  <si>
    <t xml:space="preserve">철거재 운반 (폐기대상)</t>
  </si>
  <si>
    <t xml:space="preserve">폐기대상만 Y 지정</t>
  </si>
  <si>
    <t xml:space="preserve">제작물량산출 (공장/현장 제작) - 포) 2제강 4전로 Hood 갱년교체</t>
  </si>
  <si>
    <t xml:space="preserve">범례: 파란 글씨=입력, 검정=수식, 노란 배경=입력 필요. 제작품(G~L열)별 '세트당 소요량'을 입력하면 TOTAL·도장면적·적용 품셈이 자동 산출됩니다. (형강류 단위 KG)</t>
  </si>
  <si>
    <t xml:space="preserve">근거: 제작물량 산출 양식, MANUAL 3-5 다.(도장면적), 일반사항 5.(할증율), 3-4 사.(용접), 6-3(SCRAP), 555 제작공사 입력SHEET(W6151)</t>
  </si>
  <si>
    <t xml:space="preserve">제작품명</t>
  </si>
  <si>
    <t xml:space="preserve">LANCE PIPE SUPPORT</t>
  </si>
  <si>
    <t xml:space="preserve">LIFTING LUG</t>
  </si>
  <si>
    <t xml:space="preserve">제작분류 (공장/현장)</t>
  </si>
  <si>
    <t xml:space="preserve">공장</t>
  </si>
  <si>
    <t xml:space="preserve">적용품종</t>
  </si>
  <si>
    <t xml:space="preserve">지주류</t>
  </si>
  <si>
    <t xml:space="preserve">제작수량 (SET)</t>
  </si>
  <si>
    <t xml:space="preserve">제작단중 (KG/SET)</t>
  </si>
  <si>
    <t xml:space="preserve">제작중량 (KG)</t>
  </si>
  <si>
    <t xml:space="preserve">중량구분</t>
  </si>
  <si>
    <t xml:space="preserve">적용 품셈코드 (W6151)</t>
  </si>
  <si>
    <t xml:space="preserve">적용 품셈명칭</t>
  </si>
  <si>
    <t xml:space="preserve">용접봉 소요량 (KG)</t>
  </si>
  <si>
    <t xml:space="preserve">용접공 (MD)</t>
  </si>
  <si>
    <t xml:space="preserve">특별인부 (MD)</t>
  </si>
  <si>
    <t xml:space="preserve">전력량 (KWH)</t>
  </si>
  <si>
    <t xml:space="preserve">세트당 소요량 (제작 1SET 기준)</t>
  </si>
  <si>
    <t xml:space="preserve">TOTAL</t>
  </si>
  <si>
    <t xml:space="preserve">도장면적</t>
  </si>
  <si>
    <t xml:space="preserve">규  격</t>
  </si>
  <si>
    <t xml:space="preserve">규격키(DB)</t>
  </si>
  <si>
    <t xml:space="preserve">재질</t>
  </si>
  <si>
    <t xml:space="preserve">TOTAL NET</t>
  </si>
  <si>
    <t xml:space="preserve">TOTAL GROSS</t>
  </si>
  <si>
    <t xml:space="preserve">기준량 (㎡/TON)</t>
  </si>
  <si>
    <t xml:space="preserve">도장 NET (㎡)</t>
  </si>
  <si>
    <t xml:space="preserve">도장 GROSS (㎡)</t>
  </si>
  <si>
    <t xml:space="preserve">할증 구분</t>
  </si>
  <si>
    <t xml:space="preserve">할증율</t>
  </si>
  <si>
    <t xml:space="preserve">비  고</t>
  </si>
  <si>
    <t xml:space="preserve">H-BEAM</t>
  </si>
  <si>
    <t xml:space="preserve">H-150 x 150 x 7 x 10</t>
  </si>
  <si>
    <t xml:space="preserve">150X150X7X10</t>
  </si>
  <si>
    <t xml:space="preserve">SS275</t>
  </si>
  <si>
    <t xml:space="preserve">대형형강(100mm이상)</t>
  </si>
  <si>
    <t xml:space="preserve">H-200 x 200 x 8 x 12</t>
  </si>
  <si>
    <t xml:space="preserve">200X200X8X12</t>
  </si>
  <si>
    <t xml:space="preserve">CHANNEL</t>
  </si>
  <si>
    <t xml:space="preserve">C-150 x 75 x 6.5 x 10</t>
  </si>
  <si>
    <t xml:space="preserve">150X75X6.5X10</t>
  </si>
  <si>
    <t xml:space="preserve">C-150 x 75 x 9 x 12.5</t>
  </si>
  <si>
    <t xml:space="preserve">150X75X9X12.5</t>
  </si>
  <si>
    <t xml:space="preserve">C-200 x 80 x 7.5 x 11</t>
  </si>
  <si>
    <t xml:space="preserve">200X80X7.5X11</t>
  </si>
  <si>
    <t xml:space="preserve">ANGLE</t>
  </si>
  <si>
    <t xml:space="preserve">L-65 x 65 x 6</t>
  </si>
  <si>
    <t xml:space="preserve">65X6</t>
  </si>
  <si>
    <t xml:space="preserve">소형형강</t>
  </si>
  <si>
    <t xml:space="preserve">L-75 x 75 x 9</t>
  </si>
  <si>
    <t xml:space="preserve">75X9</t>
  </si>
  <si>
    <t xml:space="preserve">PLATE</t>
  </si>
  <si>
    <t xml:space="preserve">9T</t>
  </si>
  <si>
    <t xml:space="preserve">강판(PLATE)</t>
  </si>
  <si>
    <t xml:space="preserve">12T</t>
  </si>
  <si>
    <t xml:space="preserve">16T</t>
  </si>
  <si>
    <t xml:space="preserve">원본 양식 기준량 16.924 → 매뉴얼 15.924로 정정</t>
  </si>
  <si>
    <t xml:space="preserve">PIPE</t>
  </si>
  <si>
    <t xml:space="preserve">25A</t>
  </si>
  <si>
    <t xml:space="preserve">SPP</t>
  </si>
  <si>
    <t xml:space="preserve">강관(50A이하)</t>
  </si>
  <si>
    <r>
      <rPr>
        <sz val="10"/>
        <rFont val="맑은 고딕"/>
        <family val="0"/>
        <charset val="1"/>
      </rPr>
      <t xml:space="preserve">SPP 2.45 KG/M (</t>
    </r>
    <r>
      <rPr>
        <sz val="10"/>
        <rFont val="Noto Sans CJK SC"/>
        <family val="2"/>
        <charset val="1"/>
      </rPr>
      <t xml:space="preserve">단중표</t>
    </r>
    <r>
      <rPr>
        <sz val="10"/>
        <rFont val="맑은 고딕"/>
        <family val="0"/>
        <charset val="1"/>
      </rPr>
      <t xml:space="preserve">)</t>
    </r>
  </si>
  <si>
    <t xml:space="preserve">GRATING</t>
  </si>
  <si>
    <t xml:space="preserve">I-25</t>
  </si>
  <si>
    <t xml:space="preserve">STAIR TREAD</t>
  </si>
  <si>
    <t xml:space="preserve">F.B-25x245x600</t>
  </si>
  <si>
    <t xml:space="preserve">HEX BOLT,NUT</t>
  </si>
  <si>
    <t xml:space="preserve">M12x25L</t>
  </si>
  <si>
    <t xml:space="preserve">4T</t>
  </si>
  <si>
    <t xml:space="preserve">일반볼트</t>
  </si>
  <si>
    <t xml:space="preserve">H.T BOLT,NUT,2P/W</t>
  </si>
  <si>
    <t xml:space="preserve">M16x55L</t>
  </si>
  <si>
    <t xml:space="preserve">F10T</t>
  </si>
  <si>
    <t xml:space="preserve">고장력볼트</t>
  </si>
  <si>
    <t xml:space="preserve">원본 양식 '일반볼트 5%' → 매뉴얼 고장력볼트 3%로 정정</t>
  </si>
  <si>
    <r>
      <rPr>
        <sz val="10"/>
        <color rgb="FF0000FF"/>
        <rFont val="맑은 고딕"/>
        <family val="0"/>
        <charset val="1"/>
      </rPr>
      <t xml:space="preserve">HANDRAIL </t>
    </r>
    <r>
      <rPr>
        <sz val="10"/>
        <color rgb="FF0000FF"/>
        <rFont val="Noto Sans CJK SC"/>
        <family val="2"/>
        <charset val="1"/>
      </rPr>
      <t xml:space="preserve">제작</t>
    </r>
    <r>
      <rPr>
        <sz val="10"/>
        <color rgb="FF0000FF"/>
        <rFont val="맑은 고딕"/>
        <family val="0"/>
        <charset val="1"/>
      </rPr>
      <t xml:space="preserve">,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(WALKWAY</t>
    </r>
    <r>
      <rPr>
        <sz val="10"/>
        <color rgb="FF0000FF"/>
        <rFont val="Noto Sans CJK SC"/>
        <family val="2"/>
        <charset val="1"/>
      </rPr>
      <t xml:space="preserve">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</si>
  <si>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없음</t>
  </si>
  <si>
    <r>
      <rPr>
        <sz val="10"/>
        <rFont val="맑은 고딕"/>
        <family val="0"/>
        <charset val="1"/>
      </rPr>
      <t xml:space="preserve">S3624 (</t>
    </r>
    <r>
      <rPr>
        <sz val="10"/>
        <rFont val="Noto Sans CJK SC"/>
        <family val="2"/>
        <charset val="1"/>
      </rPr>
      <t xml:space="preserve">품셈 별도</t>
    </r>
    <r>
      <rPr>
        <sz val="10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</si>
  <si>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HANDRAIL </t>
    </r>
    <r>
      <rPr>
        <sz val="10"/>
        <color rgb="FF0000FF"/>
        <rFont val="Noto Sans CJK SC"/>
        <family val="2"/>
        <charset val="1"/>
      </rPr>
      <t xml:space="preserve">제작</t>
    </r>
    <r>
      <rPr>
        <sz val="10"/>
        <color rgb="FF0000FF"/>
        <rFont val="맑은 고딕"/>
        <family val="0"/>
        <charset val="1"/>
      </rPr>
      <t xml:space="preserve">,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(STAIR</t>
    </r>
    <r>
      <rPr>
        <sz val="10"/>
        <color rgb="FF0000FF"/>
        <rFont val="Noto Sans CJK SC"/>
        <family val="2"/>
        <charset val="1"/>
      </rPr>
      <t xml:space="preserve">용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</si>
  <si>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S3623 (</t>
    </r>
    <r>
      <rPr>
        <sz val="10"/>
        <rFont val="Noto Sans CJK SC"/>
        <family val="2"/>
        <charset val="1"/>
      </rPr>
      <t xml:space="preserve">품셈 별도</t>
    </r>
    <r>
      <rPr>
        <sz val="10"/>
        <rFont val="맑은 고딕"/>
        <family val="0"/>
        <charset val="1"/>
      </rPr>
      <t xml:space="preserve">)</t>
    </r>
  </si>
  <si>
    <t xml:space="preserve">계 (단위 KG 소재)</t>
  </si>
  <si>
    <r>
      <rPr>
        <sz val="10"/>
        <rFont val="맑은 고딕"/>
        <family val="0"/>
        <charset val="1"/>
      </rPr>
      <t xml:space="preserve">SCRAP</t>
    </r>
    <r>
      <rPr>
        <sz val="10"/>
        <rFont val="Noto Sans CJK SC"/>
        <family val="2"/>
        <charset val="1"/>
      </rPr>
      <t xml:space="preserve">량 </t>
    </r>
    <r>
      <rPr>
        <sz val="10"/>
        <rFont val="맑은 고딕"/>
        <family val="0"/>
        <charset val="1"/>
      </rPr>
      <t xml:space="preserve">(KG) = (</t>
    </r>
    <r>
      <rPr>
        <sz val="10"/>
        <rFont val="Noto Sans CJK SC"/>
        <family val="2"/>
        <charset val="1"/>
      </rPr>
      <t xml:space="preserve">소재 </t>
    </r>
    <r>
      <rPr>
        <sz val="10"/>
        <rFont val="맑은 고딕"/>
        <family val="0"/>
        <charset val="1"/>
      </rPr>
      <t xml:space="preserve">GROSS - </t>
    </r>
    <r>
      <rPr>
        <sz val="10"/>
        <rFont val="Noto Sans CJK SC"/>
        <family val="2"/>
        <charset val="1"/>
      </rPr>
      <t xml:space="preserve">제작 </t>
    </r>
    <r>
      <rPr>
        <sz val="10"/>
        <rFont val="맑은 고딕"/>
        <family val="0"/>
        <charset val="1"/>
      </rPr>
      <t xml:space="preserve">NET) x 70%</t>
    </r>
  </si>
  <si>
    <t xml:space="preserve">도장 - 바탕처리 1급 (GROSS 면적, ㎡)</t>
  </si>
  <si>
    <t xml:space="preserve">도장 - 상도 (NET 면적, ㎡)</t>
  </si>
  <si>
    <t xml:space="preserve">검증: 제작중량 합계(제작품별) - 소재 NET 계 (0=일치)</t>
  </si>
  <si>
    <t xml:space="preserve">제작 총중량 (TON, 공장+현장)</t>
  </si>
  <si>
    <t xml:space="preserve">※ 제작단중(KG/SET)은 KG 단위 소재의 NET 합이며, 중량구분(0.5/2.5/5TON)과 W6151 품셈코드 판정 기준입니다.</t>
  </si>
  <si>
    <t xml:space="preserve">※ 제작분류=공장인 제작품만 '555 입력SHEET'의 수량(TON)에 반영됩니다. 현장제작은 별도 품셈 적용 후 수동 입력하세요.</t>
  </si>
  <si>
    <t xml:space="preserve">※ 규격키(D열): H-BEAM/CHANNEL/I-BEAM='150X75X6.5X10' 형식, ANGLE='75X9'(변 x 두께), PIPE='25A', PLATE·ROUND BAR=두께/직경(mm, 숫자). 제작기준 시트 DB와 일치해야 합니다('DB확인' 표시 시 점검).</t>
  </si>
  <si>
    <t xml:space="preserve">※ 용접봉·용접공·특별인부·전력은 품셈 F03/F04/F06(공장) 원단위 x 제작중량이며, 용접봉(KG)=용접장(F06÷2.25)x0.33 입니다.</t>
  </si>
  <si>
    <r>
      <rPr>
        <i val="true"/>
        <sz val="10"/>
        <color rgb="FF666666"/>
        <rFont val="맑은 고딕"/>
        <family val="0"/>
        <charset val="1"/>
      </rPr>
      <t xml:space="preserve">※ GRATING(M2)·STAIR TREAD/</t>
    </r>
    <r>
      <rPr>
        <i val="true"/>
        <sz val="10"/>
        <color rgb="FF666666"/>
        <rFont val="Noto Sans CJK SC"/>
        <family val="2"/>
        <charset val="1"/>
      </rPr>
      <t xml:space="preserve">볼트</t>
    </r>
    <r>
      <rPr>
        <i val="true"/>
        <sz val="10"/>
        <color rgb="FF666666"/>
        <rFont val="맑은 고딕"/>
        <family val="0"/>
        <charset val="1"/>
      </rPr>
      <t xml:space="preserve">(SET)·HANDRAIL(M)</t>
    </r>
    <r>
      <rPr>
        <i val="true"/>
        <sz val="10"/>
        <color rgb="FF666666"/>
        <rFont val="Noto Sans CJK SC"/>
        <family val="2"/>
        <charset val="1"/>
      </rPr>
      <t xml:space="preserve">은 </t>
    </r>
    <r>
      <rPr>
        <i val="true"/>
        <sz val="10"/>
        <color rgb="FF666666"/>
        <rFont val="맑은 고딕"/>
        <family val="0"/>
        <charset val="1"/>
      </rPr>
      <t xml:space="preserve">KG </t>
    </r>
    <r>
      <rPr>
        <i val="true"/>
        <sz val="10"/>
        <color rgb="FF666666"/>
        <rFont val="Noto Sans CJK SC"/>
        <family val="2"/>
        <charset val="1"/>
      </rPr>
      <t xml:space="preserve">계산에서 제외되며 도장면적은 산출하지 않습니다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</si>
  <si>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공종</t>
  </si>
  <si>
    <t xml:space="preserve">순번</t>
  </si>
  <si>
    <t xml:space="preserve">비목</t>
  </si>
  <si>
    <t xml:space="preserve">코드</t>
  </si>
  <si>
    <t xml:space="preserve">사도</t>
  </si>
  <si>
    <t xml:space="preserve">명칭</t>
  </si>
  <si>
    <t xml:space="preserve">수량(TON)</t>
  </si>
  <si>
    <t xml:space="preserve">단가</t>
  </si>
  <si>
    <t xml:space="preserve">적용변수</t>
  </si>
  <si>
    <t xml:space="preserve">F01</t>
  </si>
  <si>
    <t xml:space="preserve">F02</t>
  </si>
  <si>
    <t xml:space="preserve">F03</t>
  </si>
  <si>
    <t xml:space="preserve">F04</t>
  </si>
  <si>
    <t xml:space="preserve">F06</t>
  </si>
  <si>
    <t xml:space="preserve">Q08</t>
  </si>
  <si>
    <t xml:space="preserve">Q09</t>
  </si>
  <si>
    <t xml:space="preserve">C04</t>
  </si>
  <si>
    <t xml:space="preserve">품종(키)</t>
  </si>
  <si>
    <t xml:space="preserve">구간</t>
  </si>
  <si>
    <t xml:space="preserve">검색키</t>
  </si>
  <si>
    <t xml:space="preserve">X</t>
  </si>
  <si>
    <t xml:space="preserve">W6151101</t>
  </si>
  <si>
    <t xml:space="preserve">지주류 공장 제작 0.5 TON 이하</t>
  </si>
  <si>
    <t xml:space="preserve">W6151102</t>
  </si>
  <si>
    <t xml:space="preserve">지주류 공장 제작 0.5~2.5 TON</t>
  </si>
  <si>
    <t xml:space="preserve">W6151103</t>
  </si>
  <si>
    <t xml:space="preserve">지주류 공장 제작 2.5~5 TON</t>
  </si>
  <si>
    <t xml:space="preserve">W6151104</t>
  </si>
  <si>
    <t xml:space="preserve">지주류 공장 제작 5 TON 이상</t>
  </si>
  <si>
    <t xml:space="preserve">W6151111</t>
  </si>
  <si>
    <t xml:space="preserve">프레임류 공장 제작 0.5 TON 이하</t>
  </si>
  <si>
    <t xml:space="preserve">프레임류</t>
  </si>
  <si>
    <t xml:space="preserve">W6151112</t>
  </si>
  <si>
    <t xml:space="preserve">프레임류 공장 제작 0.5~2.5 TON</t>
  </si>
  <si>
    <t xml:space="preserve">W6151113</t>
  </si>
  <si>
    <t xml:space="preserve">프레임류 공장 제작 2.5~5 TON</t>
  </si>
  <si>
    <t xml:space="preserve">W6151114</t>
  </si>
  <si>
    <t xml:space="preserve">프레임류 공장 제작 5 TON 이상</t>
  </si>
  <si>
    <t xml:space="preserve">W6151121</t>
  </si>
  <si>
    <t xml:space="preserve">조립곡면 또는 특수 입체 트러스 0.5 TON 이하</t>
  </si>
  <si>
    <t xml:space="preserve">조립곡면 또는 특수 입체 트러스</t>
  </si>
  <si>
    <t xml:space="preserve">W6151122</t>
  </si>
  <si>
    <t xml:space="preserve">조립곡면 또는 특수 입체 트러스 0.5~2.5 TON</t>
  </si>
  <si>
    <t xml:space="preserve">W6151123</t>
  </si>
  <si>
    <t xml:space="preserve">조립곡면 또는 특수 입체 트러스 2.5~5 TON</t>
  </si>
  <si>
    <t xml:space="preserve">W6151124</t>
  </si>
  <si>
    <t xml:space="preserve">조립곡면 또는 특수 입체 트러스 5 TON 이상</t>
  </si>
  <si>
    <t xml:space="preserve">W6151131</t>
  </si>
  <si>
    <t xml:space="preserve">대차 프레임류 0.5 TON 이하</t>
  </si>
  <si>
    <t xml:space="preserve">대차 프레임류</t>
  </si>
  <si>
    <t xml:space="preserve">W6151132</t>
  </si>
  <si>
    <t xml:space="preserve">대차 프레임류 0.5~2.5 TON</t>
  </si>
  <si>
    <t xml:space="preserve">W6151133</t>
  </si>
  <si>
    <t xml:space="preserve">대차 프레임류 2.5~5 TON</t>
  </si>
  <si>
    <t xml:space="preserve">W6151134</t>
  </si>
  <si>
    <t xml:space="preserve">대차 프레임류 5 TON 이상</t>
  </si>
  <si>
    <t xml:space="preserve">W6151141</t>
  </si>
  <si>
    <t xml:space="preserve">모터베드류 0.5 TON 이하</t>
  </si>
  <si>
    <t xml:space="preserve">모터베드류</t>
  </si>
  <si>
    <t xml:space="preserve">W6151142</t>
  </si>
  <si>
    <t xml:space="preserve">모터베드류 0.5~2.5 TON</t>
  </si>
  <si>
    <t xml:space="preserve">W6151143</t>
  </si>
  <si>
    <t xml:space="preserve">모터베드류 2.5~5 TON</t>
  </si>
  <si>
    <t xml:space="preserve">W6151144</t>
  </si>
  <si>
    <t xml:space="preserve">모터베드류 5 TON 이상</t>
  </si>
  <si>
    <t xml:space="preserve">W6151151</t>
  </si>
  <si>
    <t xml:space="preserve">각호퍼류 0.5 TON 이하</t>
  </si>
  <si>
    <t xml:space="preserve">각호퍼류</t>
  </si>
  <si>
    <t xml:space="preserve">W6151152</t>
  </si>
  <si>
    <t xml:space="preserve">각호퍼류 0.5~2.5 TON</t>
  </si>
  <si>
    <t xml:space="preserve">W6151153</t>
  </si>
  <si>
    <t xml:space="preserve">각호퍼류 2.5~5 TON</t>
  </si>
  <si>
    <t xml:space="preserve">W6151154</t>
  </si>
  <si>
    <t xml:space="preserve">각호퍼류 5 TON 이상</t>
  </si>
  <si>
    <t xml:space="preserve">W6151161</t>
  </si>
  <si>
    <t xml:space="preserve">각 탱크류 0.5 TON 이하</t>
  </si>
  <si>
    <t xml:space="preserve">각 탱크류</t>
  </si>
  <si>
    <t xml:space="preserve">W6151162</t>
  </si>
  <si>
    <t xml:space="preserve">각 탱크류 0.5~2.5 TON</t>
  </si>
  <si>
    <t xml:space="preserve">W6151163</t>
  </si>
  <si>
    <t xml:space="preserve">각 탱크류 2.5~5 TON</t>
  </si>
  <si>
    <t xml:space="preserve">W6151164</t>
  </si>
  <si>
    <t xml:space="preserve">각 탱크류 5 TON 이상</t>
  </si>
  <si>
    <t xml:space="preserve">W6151171</t>
  </si>
  <si>
    <t xml:space="preserve">환 호퍼류 0.5 TON 이하</t>
  </si>
  <si>
    <t xml:space="preserve">환 호퍼류</t>
  </si>
  <si>
    <t xml:space="preserve">W6151172</t>
  </si>
  <si>
    <t xml:space="preserve">환 호퍼류 0.5~2.5 TON</t>
  </si>
  <si>
    <t xml:space="preserve">W6151173</t>
  </si>
  <si>
    <t xml:space="preserve">환 호퍼류 2.5~5 TON</t>
  </si>
  <si>
    <t xml:space="preserve">W6151174</t>
  </si>
  <si>
    <t xml:space="preserve">환 호퍼류 5 TON 이상</t>
  </si>
  <si>
    <t xml:space="preserve">W6151181</t>
  </si>
  <si>
    <t xml:space="preserve">각 슈트류 0.5 TON 이하</t>
  </si>
  <si>
    <t xml:space="preserve">각 슈트류</t>
  </si>
  <si>
    <t xml:space="preserve">W6151182</t>
  </si>
  <si>
    <t xml:space="preserve">각 슈트류 0.5~2.5 TON</t>
  </si>
  <si>
    <t xml:space="preserve">W6151183</t>
  </si>
  <si>
    <t xml:space="preserve">각 슈트류 2.5~5 TON</t>
  </si>
  <si>
    <t xml:space="preserve">W6151184</t>
  </si>
  <si>
    <t xml:space="preserve">각 슈트류 5 TON 이상</t>
  </si>
  <si>
    <t xml:space="preserve">W6151191</t>
  </si>
  <si>
    <t xml:space="preserve">환 슈트류 0.5 TON 이하</t>
  </si>
  <si>
    <t xml:space="preserve">환 슈트류</t>
  </si>
  <si>
    <t xml:space="preserve">W6151192</t>
  </si>
  <si>
    <t xml:space="preserve">환 슈트류 0.5~2.5 TON</t>
  </si>
  <si>
    <t xml:space="preserve">W6151193</t>
  </si>
  <si>
    <t xml:space="preserve">환 슈트류 2.5~5 TON</t>
  </si>
  <si>
    <t xml:space="preserve">W6151194</t>
  </si>
  <si>
    <t xml:space="preserve">환 슈트류 5 TON 이상</t>
  </si>
  <si>
    <t xml:space="preserve">W6151201</t>
  </si>
  <si>
    <t xml:space="preserve">호퍼라이너(곡관) 0.5 TON 이하</t>
  </si>
  <si>
    <t xml:space="preserve">호퍼라이너(곡관)</t>
  </si>
  <si>
    <t xml:space="preserve">W6151202</t>
  </si>
  <si>
    <t xml:space="preserve">호퍼라이너(곡관) 0.5~2.5 TON</t>
  </si>
  <si>
    <t xml:space="preserve">W6151203</t>
  </si>
  <si>
    <t xml:space="preserve">호퍼라이너(곡관) 2.5~5 TON</t>
  </si>
  <si>
    <t xml:space="preserve">W6151204</t>
  </si>
  <si>
    <t xml:space="preserve">호퍼라이너(곡관) 5 TON 이상</t>
  </si>
  <si>
    <t xml:space="preserve">W6151211</t>
  </si>
  <si>
    <t xml:space="preserve">호퍼라이너(평판) 0.5 TON 이하</t>
  </si>
  <si>
    <t xml:space="preserve">호퍼라이너(평판)</t>
  </si>
  <si>
    <t xml:space="preserve">W6151212</t>
  </si>
  <si>
    <t xml:space="preserve">호퍼라이너(평판) 0.5~2.5 TON</t>
  </si>
  <si>
    <t xml:space="preserve">W6151213</t>
  </si>
  <si>
    <t xml:space="preserve">호퍼라이너(평판) 2.5~5 TON</t>
  </si>
  <si>
    <t xml:space="preserve">W6151214</t>
  </si>
  <si>
    <t xml:space="preserve">호퍼라이너(평판) 5 TON 이상</t>
  </si>
  <si>
    <t xml:space="preserve">W6151221</t>
  </si>
  <si>
    <t xml:space="preserve">계단류 0.5 TON 이하</t>
  </si>
  <si>
    <t xml:space="preserve">계단류</t>
  </si>
  <si>
    <t xml:space="preserve">W6151222</t>
  </si>
  <si>
    <t xml:space="preserve">계단류 0.5~2.5 TON</t>
  </si>
  <si>
    <t xml:space="preserve">W6151223</t>
  </si>
  <si>
    <t xml:space="preserve">계단류 2.5~5 TON</t>
  </si>
  <si>
    <t xml:space="preserve">W6151224</t>
  </si>
  <si>
    <t xml:space="preserve">계단류 5 TON 이상</t>
  </si>
  <si>
    <t xml:space="preserve">W6151231</t>
  </si>
  <si>
    <r>
      <rPr>
        <sz val="10"/>
        <rFont val="맑은 고딕"/>
        <family val="0"/>
        <charset val="1"/>
      </rPr>
      <t xml:space="preserve">DECK</t>
    </r>
    <r>
      <rPr>
        <sz val="10"/>
        <rFont val="Noto Sans CJK SC"/>
        <family val="2"/>
        <charset val="1"/>
      </rPr>
      <t xml:space="preserve">류 </t>
    </r>
    <r>
      <rPr>
        <sz val="10"/>
        <rFont val="맑은 고딕"/>
        <family val="0"/>
        <charset val="1"/>
      </rPr>
      <t xml:space="preserve">0.5 TON </t>
    </r>
    <r>
      <rPr>
        <sz val="10"/>
        <rFont val="Noto Sans CJK SC"/>
        <family val="2"/>
        <charset val="1"/>
      </rPr>
      <t xml:space="preserve">이하</t>
    </r>
  </si>
  <si>
    <r>
      <rPr>
        <sz val="10"/>
        <color rgb="FF0000FF"/>
        <rFont val="맑은 고딕"/>
        <family val="0"/>
        <charset val="1"/>
      </rPr>
      <t xml:space="preserve">DECK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</si>
  <si>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W6151232</t>
  </si>
  <si>
    <r>
      <rPr>
        <sz val="10"/>
        <rFont val="맑은 고딕"/>
        <family val="0"/>
        <charset val="1"/>
      </rPr>
      <t xml:space="preserve">DECK</t>
    </r>
    <r>
      <rPr>
        <sz val="10"/>
        <rFont val="Noto Sans CJK SC"/>
        <family val="2"/>
        <charset val="1"/>
      </rPr>
      <t xml:space="preserve">류 </t>
    </r>
    <r>
      <rPr>
        <sz val="10"/>
        <rFont val="맑은 고딕"/>
        <family val="0"/>
        <charset val="1"/>
      </rPr>
      <t xml:space="preserve">0.5~2.5 TON</t>
    </r>
  </si>
  <si>
    <t xml:space="preserve">W6151233</t>
  </si>
  <si>
    <r>
      <rPr>
        <sz val="10"/>
        <rFont val="맑은 고딕"/>
        <family val="0"/>
        <charset val="1"/>
      </rPr>
      <t xml:space="preserve">DECK</t>
    </r>
    <r>
      <rPr>
        <sz val="10"/>
        <rFont val="Noto Sans CJK SC"/>
        <family val="2"/>
        <charset val="1"/>
      </rPr>
      <t xml:space="preserve">류 </t>
    </r>
    <r>
      <rPr>
        <sz val="10"/>
        <rFont val="맑은 고딕"/>
        <family val="0"/>
        <charset val="1"/>
      </rPr>
      <t xml:space="preserve">2.5~5 TON</t>
    </r>
  </si>
  <si>
    <t xml:space="preserve">W6151234</t>
  </si>
  <si>
    <r>
      <rPr>
        <sz val="10"/>
        <rFont val="맑은 고딕"/>
        <family val="0"/>
        <charset val="1"/>
      </rPr>
      <t xml:space="preserve">DECK</t>
    </r>
    <r>
      <rPr>
        <sz val="10"/>
        <rFont val="Noto Sans CJK SC"/>
        <family val="2"/>
        <charset val="1"/>
      </rPr>
      <t xml:space="preserve">류 </t>
    </r>
    <r>
      <rPr>
        <sz val="10"/>
        <rFont val="맑은 고딕"/>
        <family val="0"/>
        <charset val="1"/>
      </rPr>
      <t xml:space="preserve">5 TON </t>
    </r>
    <r>
      <rPr>
        <sz val="10"/>
        <rFont val="Noto Sans CJK SC"/>
        <family val="2"/>
        <charset val="1"/>
      </rPr>
      <t xml:space="preserve">이상</t>
    </r>
  </si>
  <si>
    <t xml:space="preserve">W6151241</t>
  </si>
  <si>
    <t xml:space="preserve">철피연돌류 0.5 TON 이하</t>
  </si>
  <si>
    <t xml:space="preserve">철피연돌류</t>
  </si>
  <si>
    <t xml:space="preserve">W6151242</t>
  </si>
  <si>
    <t xml:space="preserve">철피연돌류 0.5~2.5 TON</t>
  </si>
  <si>
    <t xml:space="preserve">W6151243</t>
  </si>
  <si>
    <t xml:space="preserve">철피연돌류 2.5~5 TON</t>
  </si>
  <si>
    <t xml:space="preserve">W6151244</t>
  </si>
  <si>
    <t xml:space="preserve">철피연돌류 5 TON 이상</t>
  </si>
  <si>
    <t xml:space="preserve">W6151251</t>
  </si>
  <si>
    <t xml:space="preserve">철피연돌류 가조립 0.5 TON 이하</t>
  </si>
  <si>
    <t xml:space="preserve">철피연돌류 가조립</t>
  </si>
  <si>
    <t xml:space="preserve">W6151252</t>
  </si>
  <si>
    <t xml:space="preserve">철피연돌류 가조립 0.5~2.5 TON</t>
  </si>
  <si>
    <t xml:space="preserve">W6151253</t>
  </si>
  <si>
    <t xml:space="preserve">철피연돌류 가조립 2.5~5 TON</t>
  </si>
  <si>
    <t xml:space="preserve">W6151254</t>
  </si>
  <si>
    <t xml:space="preserve">철피연돌류 가조립 5 TON 이상</t>
  </si>
  <si>
    <t xml:space="preserve">W6151261</t>
  </si>
  <si>
    <t xml:space="preserve">베이스 플레이트류 0.5 TON 이하</t>
  </si>
  <si>
    <t xml:space="preserve">베이스 플레이트류</t>
  </si>
  <si>
    <t xml:space="preserve">W6151262</t>
  </si>
  <si>
    <t xml:space="preserve">베이스 플레이트류 0.5~2.5 TON</t>
  </si>
  <si>
    <t xml:space="preserve">W6151263</t>
  </si>
  <si>
    <t xml:space="preserve">베이스 플레이트류 2.5~5 TON</t>
  </si>
  <si>
    <t xml:space="preserve">W6151264</t>
  </si>
  <si>
    <t xml:space="preserve">베이스 플레이트류 5 TON 이상</t>
  </si>
  <si>
    <t xml:space="preserve">※ 원본 '555 제작공사 입력SHEET'의 구조(공종~C04)를 유지하고 수량(I열)을 제작물량산출에서 자동 연동(제작분류=공장인 제작품만). 파란 글씨=원본 값.</t>
  </si>
  <si>
    <t xml:space="preserve">제작기준 (재료 할증율 / 도장면적 원단위 DB / 용접 상수) - 기계 적산 설계 MANUAL 근거</t>
  </si>
  <si>
    <t xml:space="preserve">파란 글씨=매뉴얼 기준값. 3-5 다. 도장소요 면적표, 일반사항 5. 재료의 할증율, 3-4 용접공사 사).</t>
  </si>
  <si>
    <t xml:space="preserve">형강류 구분</t>
  </si>
  <si>
    <t xml:space="preserve">규격키</t>
  </si>
  <si>
    <t xml:space="preserve">㎡/m</t>
  </si>
  <si>
    <t xml:space="preserve">㎡/TON</t>
  </si>
  <si>
    <t xml:space="preserve">적용 상수</t>
  </si>
  <si>
    <t xml:space="preserve">값</t>
  </si>
  <si>
    <t xml:space="preserve">근거</t>
  </si>
  <si>
    <t xml:space="preserve">품종 목록</t>
  </si>
  <si>
    <t xml:space="preserve">원형철근</t>
  </si>
  <si>
    <t xml:space="preserve">6A</t>
  </si>
  <si>
    <t xml:space="preserve">용접 전력량(KWH/M)</t>
  </si>
  <si>
    <r>
      <rPr>
        <sz val="10"/>
        <rFont val="맑은 고딕"/>
        <family val="0"/>
        <charset val="1"/>
      </rPr>
      <t xml:space="preserve">3-4 </t>
    </r>
    <r>
      <rPr>
        <sz val="10"/>
        <rFont val="Noto Sans CJK SC"/>
        <family val="2"/>
        <charset val="1"/>
      </rPr>
      <t xml:space="preserve">사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제작공사 평균공량</t>
    </r>
  </si>
  <si>
    <t xml:space="preserve">이형철근</t>
  </si>
  <si>
    <t xml:space="preserve">8A</t>
  </si>
  <si>
    <t xml:space="preserve">용접봉량(KG/M)</t>
  </si>
  <si>
    <r>
      <rPr>
        <sz val="10"/>
        <rFont val="맑은 고딕"/>
        <family val="0"/>
        <charset val="1"/>
      </rPr>
      <t xml:space="preserve">3-4 </t>
    </r>
    <r>
      <rPr>
        <sz val="10"/>
        <rFont val="Noto Sans CJK SC"/>
        <family val="2"/>
        <charset val="1"/>
      </rPr>
      <t xml:space="preserve">사</t>
    </r>
    <r>
      <rPr>
        <sz val="10"/>
        <rFont val="맑은 고딕"/>
        <family val="0"/>
        <charset val="1"/>
      </rPr>
      <t xml:space="preserve">)</t>
    </r>
  </si>
  <si>
    <t xml:space="preserve">10A</t>
  </si>
  <si>
    <r>
      <rPr>
        <sz val="10"/>
        <rFont val="맑은 고딕"/>
        <family val="0"/>
        <charset val="1"/>
      </rPr>
      <t xml:space="preserve">SCRAP </t>
    </r>
    <r>
      <rPr>
        <sz val="10"/>
        <rFont val="Noto Sans CJK SC"/>
        <family val="2"/>
        <charset val="1"/>
      </rPr>
      <t xml:space="preserve">공제율</t>
    </r>
  </si>
  <si>
    <r>
      <rPr>
        <sz val="10"/>
        <rFont val="맑은 고딕"/>
        <family val="0"/>
        <charset val="1"/>
      </rPr>
      <t xml:space="preserve">6-3 (</t>
    </r>
    <r>
      <rPr>
        <sz val="10"/>
        <rFont val="Noto Sans CJK SC"/>
        <family val="2"/>
        <charset val="1"/>
      </rPr>
      <t xml:space="preserve">소재중량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  <charset val="1"/>
      </rPr>
      <t xml:space="preserve">제작중량</t>
    </r>
    <r>
      <rPr>
        <sz val="10"/>
        <rFont val="맑은 고딕"/>
        <family val="0"/>
        <charset val="1"/>
      </rPr>
      <t xml:space="preserve">)x70%</t>
    </r>
  </si>
  <si>
    <t xml:space="preserve">15A</t>
  </si>
  <si>
    <t xml:space="preserve">강재 비중(ton/㎥)</t>
  </si>
  <si>
    <t xml:space="preserve">도장면적 PLATE·ROUND BAR 산식</t>
  </si>
  <si>
    <t xml:space="preserve">20A</t>
  </si>
  <si>
    <r>
      <rPr>
        <i val="true"/>
        <sz val="10"/>
        <color rgb="FF666666"/>
        <rFont val="맑은 고딕"/>
        <family val="0"/>
        <charset val="1"/>
      </rPr>
      <t xml:space="preserve">※ PLATE(</t>
    </r>
    <r>
      <rPr>
        <i val="true"/>
        <sz val="10"/>
        <color rgb="FF666666"/>
        <rFont val="Noto Sans CJK SC"/>
        <family val="2"/>
        <charset val="1"/>
      </rPr>
      <t xml:space="preserve">양면</t>
    </r>
    <r>
      <rPr>
        <i val="true"/>
        <sz val="10"/>
        <color rgb="FF666666"/>
        <rFont val="맑은 고딕"/>
        <family val="0"/>
        <charset val="1"/>
      </rPr>
      <t xml:space="preserve">)</t>
    </r>
    <r>
      <rPr>
        <i val="true"/>
        <sz val="10"/>
        <color rgb="FF666666"/>
        <rFont val="Noto Sans CJK SC"/>
        <family val="2"/>
        <charset val="1"/>
      </rPr>
      <t xml:space="preserve">㎡</t>
    </r>
    <r>
      <rPr>
        <i val="true"/>
        <sz val="10"/>
        <color rgb="FF666666"/>
        <rFont val="맑은 고딕"/>
        <family val="0"/>
        <charset val="1"/>
      </rPr>
      <t xml:space="preserve">/TON = 2000/(</t>
    </r>
    <r>
      <rPr>
        <i val="true"/>
        <sz val="10"/>
        <color rgb="FF666666"/>
        <rFont val="Noto Sans CJK SC"/>
        <family val="2"/>
        <charset val="1"/>
      </rPr>
      <t xml:space="preserve">두께</t>
    </r>
    <r>
      <rPr>
        <i val="true"/>
        <sz val="10"/>
        <color rgb="FF666666"/>
        <rFont val="맑은 고딕"/>
        <family val="0"/>
        <charset val="1"/>
      </rPr>
      <t xml:space="preserve">mm x 7.85), ROUND BAR </t>
    </r>
    <r>
      <rPr>
        <i val="true"/>
        <sz val="10"/>
        <color rgb="FF666666"/>
        <rFont val="Noto Sans CJK SC"/>
        <family val="2"/>
        <charset val="1"/>
      </rPr>
      <t xml:space="preserve">㎡</t>
    </r>
    <r>
      <rPr>
        <i val="true"/>
        <sz val="10"/>
        <color rgb="FF666666"/>
        <rFont val="맑은 고딕"/>
        <family val="0"/>
        <charset val="1"/>
      </rPr>
      <t xml:space="preserve">/TON = 4000/(</t>
    </r>
    <r>
      <rPr>
        <i val="true"/>
        <sz val="10"/>
        <color rgb="FF666666"/>
        <rFont val="Noto Sans CJK SC"/>
        <family val="2"/>
        <charset val="1"/>
      </rPr>
      <t xml:space="preserve">직경</t>
    </r>
    <r>
      <rPr>
        <i val="true"/>
        <sz val="10"/>
        <color rgb="FF666666"/>
        <rFont val="맑은 고딕"/>
        <family val="0"/>
        <charset val="1"/>
      </rPr>
      <t xml:space="preserve">mm x 7.85) → </t>
    </r>
    <r>
      <rPr>
        <i val="true"/>
        <sz val="10"/>
        <color rgb="FF666666"/>
        <rFont val="Noto Sans CJK SC"/>
        <family val="2"/>
        <charset val="1"/>
      </rPr>
      <t xml:space="preserve">매뉴얼 표와 일치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수식 처리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</si>
  <si>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강관(50A초과)</t>
  </si>
  <si>
    <t xml:space="preserve">32A</t>
  </si>
  <si>
    <t xml:space="preserve">※ 원본 표의 오기 정정: 344X348X10X16 '20257.'→2.0257, 594X302X14X23 '2.23199'→2.3199, 482X300X11X15 '8.36'→18.36, '194X398X11X18'→394X398X11X18, '15X70X6X8.5'→150X70X6X8.5, 198X99X4.5X7 '42.'→42.0</t>
  </si>
  <si>
    <r>
      <rPr>
        <sz val="10"/>
        <color rgb="FF0000FF"/>
        <rFont val="맑은 고딕"/>
        <family val="0"/>
        <charset val="1"/>
      </rPr>
      <t xml:space="preserve">STS </t>
    </r>
    <r>
      <rPr>
        <sz val="10"/>
        <color rgb="FF0000FF"/>
        <rFont val="Noto Sans CJK SC"/>
        <family val="2"/>
        <charset val="1"/>
      </rPr>
      <t xml:space="preserve">강판</t>
    </r>
  </si>
  <si>
    <t xml:space="preserve">40A</t>
  </si>
  <si>
    <r>
      <rPr>
        <sz val="10"/>
        <color rgb="FF0000FF"/>
        <rFont val="맑은 고딕"/>
        <family val="0"/>
        <charset val="1"/>
      </rPr>
      <t xml:space="preserve">STS </t>
    </r>
    <r>
      <rPr>
        <sz val="10"/>
        <color rgb="FF0000FF"/>
        <rFont val="Noto Sans CJK SC"/>
        <family val="2"/>
        <charset val="1"/>
      </rPr>
      <t xml:space="preserve">강관</t>
    </r>
  </si>
  <si>
    <t xml:space="preserve">50A</t>
  </si>
  <si>
    <t xml:space="preserve">동판</t>
  </si>
  <si>
    <t xml:space="preserve">65A</t>
  </si>
  <si>
    <t xml:space="preserve">동관</t>
  </si>
  <si>
    <t xml:space="preserve">80A</t>
  </si>
  <si>
    <t xml:space="preserve">90A</t>
  </si>
  <si>
    <t xml:space="preserve">100A</t>
  </si>
  <si>
    <t xml:space="preserve">경량 형강, 각 파이프</t>
  </si>
  <si>
    <t xml:space="preserve">125A</t>
  </si>
  <si>
    <t xml:space="preserve">봉강</t>
  </si>
  <si>
    <t xml:space="preserve">150A</t>
  </si>
  <si>
    <t xml:space="preserve">평강대강</t>
  </si>
  <si>
    <t xml:space="preserve">175A</t>
  </si>
  <si>
    <t xml:space="preserve">리벳(제품)</t>
  </si>
  <si>
    <t xml:space="preserve">200A</t>
  </si>
  <si>
    <t xml:space="preserve">프레스 접합식 STS 강관</t>
  </si>
  <si>
    <t xml:space="preserve">225A</t>
  </si>
  <si>
    <t xml:space="preserve">배관 FITTING류(VALVE 外)</t>
  </si>
  <si>
    <t xml:space="preserve">250A</t>
  </si>
  <si>
    <t xml:space="preserve">보온재(PIPE COVER)</t>
  </si>
  <si>
    <t xml:space="preserve">300A</t>
  </si>
  <si>
    <t xml:space="preserve">보온재(BOARD)</t>
  </si>
  <si>
    <t xml:space="preserve">350A</t>
  </si>
  <si>
    <t xml:space="preserve">조립식 PIPE SHEET</t>
  </si>
  <si>
    <t xml:space="preserve">400A</t>
  </si>
  <si>
    <t xml:space="preserve">조립식 PIPE FITTING(VALVE 外)</t>
  </si>
  <si>
    <t xml:space="preserve">450A</t>
  </si>
  <si>
    <t xml:space="preserve">내화 벽돌(정형)</t>
  </si>
  <si>
    <t xml:space="preserve">500A</t>
  </si>
  <si>
    <t xml:space="preserve">부정형내화물(CASTABLE 포함)</t>
  </si>
  <si>
    <t xml:space="preserve">20X3</t>
  </si>
  <si>
    <t xml:space="preserve">25X3</t>
  </si>
  <si>
    <t xml:space="preserve">30X3</t>
  </si>
  <si>
    <t xml:space="preserve">30X5</t>
  </si>
  <si>
    <t xml:space="preserve">35X3</t>
  </si>
  <si>
    <t xml:space="preserve">35X5</t>
  </si>
  <si>
    <t xml:space="preserve">40X3</t>
  </si>
  <si>
    <t xml:space="preserve">40X5</t>
  </si>
  <si>
    <t xml:space="preserve">45X3</t>
  </si>
  <si>
    <t xml:space="preserve">45X4</t>
  </si>
  <si>
    <t xml:space="preserve">45X6</t>
  </si>
  <si>
    <t xml:space="preserve">45X8</t>
  </si>
  <si>
    <t xml:space="preserve">50X4</t>
  </si>
  <si>
    <t xml:space="preserve">50X6</t>
  </si>
  <si>
    <t xml:space="preserve">50X8</t>
  </si>
  <si>
    <t xml:space="preserve">60X4</t>
  </si>
  <si>
    <t xml:space="preserve">60X5</t>
  </si>
  <si>
    <t xml:space="preserve">60X6</t>
  </si>
  <si>
    <t xml:space="preserve">60X7</t>
  </si>
  <si>
    <t xml:space="preserve">60X9</t>
  </si>
  <si>
    <t xml:space="preserve">65X8</t>
  </si>
  <si>
    <t xml:space="preserve">65X10</t>
  </si>
  <si>
    <t xml:space="preserve">70X6</t>
  </si>
  <si>
    <t xml:space="preserve">75X6</t>
  </si>
  <si>
    <t xml:space="preserve">75X12</t>
  </si>
  <si>
    <t xml:space="preserve">80X6</t>
  </si>
  <si>
    <t xml:space="preserve">90X6</t>
  </si>
  <si>
    <t xml:space="preserve">90X7</t>
  </si>
  <si>
    <t xml:space="preserve">90X10</t>
  </si>
  <si>
    <t xml:space="preserve">90X13</t>
  </si>
  <si>
    <t xml:space="preserve">100X7</t>
  </si>
  <si>
    <t xml:space="preserve">100X10</t>
  </si>
  <si>
    <t xml:space="preserve">100X13</t>
  </si>
  <si>
    <t xml:space="preserve">120X8</t>
  </si>
  <si>
    <t xml:space="preserve">130X9</t>
  </si>
  <si>
    <t xml:space="preserve">130X12</t>
  </si>
  <si>
    <t xml:space="preserve">130X15</t>
  </si>
  <si>
    <t xml:space="preserve">150X12</t>
  </si>
  <si>
    <t xml:space="preserve">150X15</t>
  </si>
  <si>
    <t xml:space="preserve">150X19</t>
  </si>
  <si>
    <t xml:space="preserve">75X40X5X7</t>
  </si>
  <si>
    <t xml:space="preserve">100X50X5X7.5</t>
  </si>
  <si>
    <t xml:space="preserve">125X65X6X8</t>
  </si>
  <si>
    <t xml:space="preserve">150X70X6X8.5</t>
  </si>
  <si>
    <t xml:space="preserve">180X75X7X10.5</t>
  </si>
  <si>
    <t xml:space="preserve">180X90X7.5X12.5</t>
  </si>
  <si>
    <t xml:space="preserve">200X70X7X10</t>
  </si>
  <si>
    <t xml:space="preserve">200X90X8X13.5</t>
  </si>
  <si>
    <t xml:space="preserve">230X80X8X12</t>
  </si>
  <si>
    <t xml:space="preserve">230X90X8.5X13.5</t>
  </si>
  <si>
    <t xml:space="preserve">250X80X8X12.5</t>
  </si>
  <si>
    <t xml:space="preserve">250X90X9X13</t>
  </si>
  <si>
    <t xml:space="preserve">250X90X11X14.5</t>
  </si>
  <si>
    <t xml:space="preserve">280X100X9X13</t>
  </si>
  <si>
    <t xml:space="preserve">280X100X11.5X16</t>
  </si>
  <si>
    <t xml:space="preserve">300X90X9X13</t>
  </si>
  <si>
    <t xml:space="preserve">300X90X10X15.5</t>
  </si>
  <si>
    <t xml:space="preserve">300X90X10.5X15.5</t>
  </si>
  <si>
    <t xml:space="preserve">300X90X12X16</t>
  </si>
  <si>
    <t xml:space="preserve">300X100X10X16</t>
  </si>
  <si>
    <t xml:space="preserve">300X100X12X18</t>
  </si>
  <si>
    <t xml:space="preserve">350X100X10.5X16</t>
  </si>
  <si>
    <t xml:space="preserve">380X100X13X20</t>
  </si>
  <si>
    <t xml:space="preserve">I-BEAM</t>
  </si>
  <si>
    <t xml:space="preserve">75X75X5X8</t>
  </si>
  <si>
    <t xml:space="preserve">100X75X5X8</t>
  </si>
  <si>
    <t xml:space="preserve">125X75X5.5X9.5</t>
  </si>
  <si>
    <t xml:space="preserve">150X75X5.5X9.5</t>
  </si>
  <si>
    <t xml:space="preserve">150X125X8.5X14</t>
  </si>
  <si>
    <t xml:space="preserve">180X100X6X10</t>
  </si>
  <si>
    <t xml:space="preserve">200X100X7X10</t>
  </si>
  <si>
    <t xml:space="preserve">200X150X9X16</t>
  </si>
  <si>
    <t xml:space="preserve">230X100X7.5X11</t>
  </si>
  <si>
    <t xml:space="preserve">250X125X7.5X12.5</t>
  </si>
  <si>
    <t xml:space="preserve">250X125X10X19</t>
  </si>
  <si>
    <t xml:space="preserve">300X150X8X13</t>
  </si>
  <si>
    <t xml:space="preserve">300X150X10X18.5</t>
  </si>
  <si>
    <t xml:space="preserve">300X150X11.5X22</t>
  </si>
  <si>
    <t xml:space="preserve">350X150X9X15</t>
  </si>
  <si>
    <t xml:space="preserve">350X150X12X24</t>
  </si>
  <si>
    <t xml:space="preserve">400X150X10X18</t>
  </si>
  <si>
    <t xml:space="preserve">400X150X12.5X25</t>
  </si>
  <si>
    <t xml:space="preserve">450X175X11X20</t>
  </si>
  <si>
    <t xml:space="preserve">450X175X13X26</t>
  </si>
  <si>
    <t xml:space="preserve">500X190X11.5X23</t>
  </si>
  <si>
    <t xml:space="preserve">500X190X15X30</t>
  </si>
  <si>
    <t xml:space="preserve">600X190X13X25</t>
  </si>
  <si>
    <t xml:space="preserve">600X190X16X35</t>
  </si>
  <si>
    <t xml:space="preserve">100X50X5X7</t>
  </si>
  <si>
    <t xml:space="preserve">100X100X6X8</t>
  </si>
  <si>
    <t xml:space="preserve">125X60X6X8</t>
  </si>
  <si>
    <t xml:space="preserve">125X125X6.5X9</t>
  </si>
  <si>
    <t xml:space="preserve">148X100X6X9</t>
  </si>
  <si>
    <t xml:space="preserve">150X75X5X7</t>
  </si>
  <si>
    <t xml:space="preserve">175X90X5X8</t>
  </si>
  <si>
    <t xml:space="preserve">175X175X7.5X11</t>
  </si>
  <si>
    <t xml:space="preserve">198X99X4.5X7</t>
  </si>
  <si>
    <t xml:space="preserve">200X100X5.5X8</t>
  </si>
  <si>
    <t xml:space="preserve">194X150X6X9</t>
  </si>
  <si>
    <t xml:space="preserve">200X204X12X12</t>
  </si>
  <si>
    <t xml:space="preserve">248X124X5X8</t>
  </si>
  <si>
    <t xml:space="preserve">250X125X6X9</t>
  </si>
  <si>
    <t xml:space="preserve">244X175X7X11</t>
  </si>
  <si>
    <t xml:space="preserve">250X250X9X14</t>
  </si>
  <si>
    <t xml:space="preserve">250X255X14X14</t>
  </si>
  <si>
    <t xml:space="preserve">298X149X5.5X8</t>
  </si>
  <si>
    <t xml:space="preserve">300X150X6.5X9</t>
  </si>
  <si>
    <t xml:space="preserve">294X200X8X12</t>
  </si>
  <si>
    <t xml:space="preserve">294X302X12X12</t>
  </si>
  <si>
    <t xml:space="preserve">300X300X10X15</t>
  </si>
  <si>
    <t xml:space="preserve">300X305X15X15</t>
  </si>
  <si>
    <t xml:space="preserve">346X174X6X9</t>
  </si>
  <si>
    <t xml:space="preserve">350X175X7X11</t>
  </si>
  <si>
    <t xml:space="preserve">340X250X9X14</t>
  </si>
  <si>
    <t xml:space="preserve">344X348X10X16</t>
  </si>
  <si>
    <t xml:space="preserve">350X350X12X19</t>
  </si>
  <si>
    <t xml:space="preserve">396X199X7X11</t>
  </si>
  <si>
    <t xml:space="preserve">400X200X8X13</t>
  </si>
  <si>
    <t xml:space="preserve">390X300X10X16</t>
  </si>
  <si>
    <t xml:space="preserve">388X402X15X15</t>
  </si>
  <si>
    <t xml:space="preserve">394X398X11X18</t>
  </si>
  <si>
    <t xml:space="preserve">400X400X13X21</t>
  </si>
  <si>
    <t xml:space="preserve">400X408X21X21</t>
  </si>
  <si>
    <t xml:space="preserve">414X405X18X28</t>
  </si>
  <si>
    <t xml:space="preserve">428X407X20X35</t>
  </si>
  <si>
    <t xml:space="preserve">457X417X30X50</t>
  </si>
  <si>
    <t xml:space="preserve">498X432X45X70</t>
  </si>
  <si>
    <t xml:space="preserve">446X199X8X12</t>
  </si>
  <si>
    <t xml:space="preserve">450X200X9X14</t>
  </si>
  <si>
    <t xml:space="preserve">440X300X11X18</t>
  </si>
  <si>
    <t xml:space="preserve">496X199X9X14</t>
  </si>
  <si>
    <t xml:space="preserve">500X200X10X16</t>
  </si>
  <si>
    <t xml:space="preserve">506X201X11X19</t>
  </si>
  <si>
    <t xml:space="preserve">482X300X11X15</t>
  </si>
  <si>
    <t xml:space="preserve">488X300X11X18</t>
  </si>
  <si>
    <t xml:space="preserve">596X199X10X15</t>
  </si>
  <si>
    <t xml:space="preserve">600X200X11X17</t>
  </si>
  <si>
    <t xml:space="preserve">606X201X12X20</t>
  </si>
  <si>
    <t xml:space="preserve">582X300X12X17</t>
  </si>
  <si>
    <t xml:space="preserve">588X300X12X20</t>
  </si>
  <si>
    <t xml:space="preserve">594X302X14X23</t>
  </si>
  <si>
    <r>
      <rPr>
        <b val="true"/>
        <sz val="14"/>
        <rFont val="맑은 고딕"/>
        <family val="0"/>
        <charset val="1"/>
      </rPr>
      <t xml:space="preserve">4-2. </t>
    </r>
    <r>
      <rPr>
        <b val="true"/>
        <sz val="14"/>
        <rFont val="Noto Sans CJK SC"/>
        <family val="2"/>
        <charset val="1"/>
      </rPr>
      <t xml:space="preserve">배관 공사 기본 물량 산출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소재 내역</t>
    </r>
    <r>
      <rPr>
        <b val="true"/>
        <sz val="14"/>
        <rFont val="맑은 고딕"/>
        <family val="0"/>
        <charset val="1"/>
      </rPr>
      <t xml:space="preserve">)</t>
    </r>
  </si>
  <si>
    <t xml:space="preserve">범례: 파란 글씨=입력, 검정=수식, 노란 배경=입력 필요. PIPE는 구경·SCH로 단중 자동(배관기준). FITTING/VALVE는 개당 단중 입력. 집계값만 있으면 '직접중량(kg)'에 입력(수량x단중 대체).</t>
  </si>
  <si>
    <t xml:space="preserve">근거: MANUAL 3-2 배관공사 (PIPE/FITTING 단위중량, FITTING류 길이 공제는 50A 이상 2D 도면 산출 시).</t>
  </si>
  <si>
    <t xml:space="preserve">▼ 배관집계(4-1) FLAG 자동 조회</t>
  </si>
  <si>
    <t xml:space="preserve">설치장소</t>
  </si>
  <si>
    <t xml:space="preserve">유체</t>
  </si>
  <si>
    <t xml:space="preserve">적용압력</t>
  </si>
  <si>
    <t xml:space="preserve">품목</t>
  </si>
  <si>
    <t xml:space="preserve">품명 / 규격</t>
  </si>
  <si>
    <t xml:space="preserve">구경(A)</t>
  </si>
  <si>
    <t xml:space="preserve">SCH</t>
  </si>
  <si>
    <t xml:space="preserve">단중-PIPE(DB)
(KG/M)</t>
  </si>
  <si>
    <t xml:space="preserve">단중-입력
(KG/EA)</t>
  </si>
  <si>
    <t xml:space="preserve">직접중량
(KG)</t>
  </si>
  <si>
    <t xml:space="preserve">중량(KG)</t>
  </si>
  <si>
    <t xml:space="preserve">P/F</t>
  </si>
  <si>
    <r>
      <rPr>
        <b val="true"/>
        <sz val="10"/>
        <color rgb="FFFFFFFF"/>
        <rFont val="맑은 고딕"/>
        <family val="0"/>
        <charset val="1"/>
      </rPr>
      <t xml:space="preserve">PIPE </t>
    </r>
    <r>
      <rPr>
        <b val="true"/>
        <sz val="10"/>
        <color rgb="FFFFFFFF"/>
        <rFont val="Noto Sans CJK SC"/>
        <family val="2"/>
        <charset val="1"/>
      </rPr>
      <t xml:space="preserve">길이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</si>
  <si>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t xml:space="preserve">도장적용
(자동)</t>
  </si>
  <si>
    <r>
      <rPr>
        <b val="true"/>
        <sz val="10"/>
        <color rgb="FFFFFFFF"/>
        <rFont val="맑은 고딕"/>
        <family val="0"/>
        <charset val="1"/>
      </rPr>
      <t xml:space="preserve">4-1 </t>
    </r>
    <r>
      <rPr>
        <b val="true"/>
        <sz val="10"/>
        <color rgb="FFFFFFFF"/>
        <rFont val="Noto Sans CJK SC"/>
        <family val="2"/>
        <charset val="1"/>
      </rPr>
      <t xml:space="preserve">집계재질</t>
    </r>
  </si>
  <si>
    <t xml:space="preserve">할증 품종
(수동)</t>
  </si>
  <si>
    <t xml:space="preserve">보온</t>
  </si>
  <si>
    <t xml:space="preserve">N.D.T</t>
  </si>
  <si>
    <t xml:space="preserve">산세</t>
  </si>
  <si>
    <t xml:space="preserve">FLUSHING</t>
  </si>
  <si>
    <t xml:space="preserve">PAINT</t>
  </si>
  <si>
    <t xml:space="preserve">SUPPLY</t>
  </si>
  <si>
    <r>
      <rPr>
        <b val="true"/>
        <sz val="10"/>
        <color rgb="FFFFFFFF"/>
        <rFont val="맑은 고딕"/>
        <family val="0"/>
        <charset val="1"/>
      </rPr>
      <t xml:space="preserve">4-1 </t>
    </r>
    <r>
      <rPr>
        <b val="true"/>
        <sz val="10"/>
        <color rgb="FFFFFFFF"/>
        <rFont val="Noto Sans CJK SC"/>
        <family val="2"/>
        <charset val="1"/>
      </rPr>
      <t xml:space="preserve">키</t>
    </r>
  </si>
  <si>
    <t xml:space="preserve">보온 구분</t>
  </si>
  <si>
    <r>
      <rPr>
        <b val="true"/>
        <sz val="10"/>
        <color rgb="FFFFFFFF"/>
        <rFont val="맑은 고딕"/>
        <family val="0"/>
        <charset val="1"/>
      </rPr>
      <t xml:space="preserve">ELBOW
</t>
    </r>
    <r>
      <rPr>
        <b val="true"/>
        <sz val="10"/>
        <color rgb="FFFFFFFF"/>
        <rFont val="Noto Sans CJK SC"/>
        <family val="2"/>
        <charset val="1"/>
      </rPr>
      <t xml:space="preserve">각도</t>
    </r>
    <r>
      <rPr>
        <b val="true"/>
        <sz val="10"/>
        <color rgb="FFFFFFFF"/>
        <rFont val="맑은 고딕"/>
        <family val="0"/>
        <charset val="1"/>
      </rPr>
      <t xml:space="preserve">(°)</t>
    </r>
  </si>
  <si>
    <t xml:space="preserve">비규격EL
길이(M)</t>
  </si>
  <si>
    <t xml:space="preserve">무도장
(Y/N)</t>
  </si>
  <si>
    <t xml:space="preserve">옥외</t>
  </si>
  <si>
    <t xml:space="preserve">WATER</t>
  </si>
  <si>
    <r>
      <rPr>
        <sz val="10"/>
        <color rgb="FF0000FF"/>
        <rFont val="맑은 고딕"/>
        <family val="0"/>
        <charset val="1"/>
      </rPr>
      <t xml:space="preserve">5kg/cm2</t>
    </r>
    <r>
      <rPr>
        <sz val="10"/>
        <color rgb="FF0000FF"/>
        <rFont val="Noto Sans CJK SC"/>
        <family val="2"/>
        <charset val="1"/>
      </rPr>
      <t xml:space="preserve">이상</t>
    </r>
  </si>
  <si>
    <t xml:space="preserve">STPG370S</t>
  </si>
  <si>
    <t xml:space="preserve">SCH40</t>
  </si>
  <si>
    <t xml:space="preserve">A105</t>
  </si>
  <si>
    <t xml:space="preserve">FITTING</t>
  </si>
  <si>
    <t xml:space="preserve">ELBOW 90 SW</t>
  </si>
  <si>
    <t xml:space="preserve">STPT370S</t>
  </si>
  <si>
    <t xml:space="preserve">ELBOW 45LR SMS BW</t>
  </si>
  <si>
    <t xml:space="preserve">ELBOW 90LR SMLS BW</t>
  </si>
  <si>
    <t xml:space="preserve">ELBOW 41.7LR SMLS BW</t>
  </si>
  <si>
    <t xml:space="preserve">ELBOW 45LR SMLS BW</t>
  </si>
  <si>
    <t xml:space="preserve">ELBOW 90SR SMLS BW</t>
  </si>
  <si>
    <t xml:space="preserve">ELBOW 17.6LR SMLS BW</t>
  </si>
  <si>
    <t xml:space="preserve">ELBOW 40LR SMLS BW</t>
  </si>
  <si>
    <t xml:space="preserve">ELBOW 55LR SMLS BW</t>
  </si>
  <si>
    <t xml:space="preserve">ELBOW 70LR SMLS BW</t>
  </si>
  <si>
    <t xml:space="preserve">SS400</t>
  </si>
  <si>
    <t xml:space="preserve">FLANGE SO FF /10K</t>
  </si>
  <si>
    <t xml:space="preserve">FLANGE SO.FF /10K</t>
  </si>
  <si>
    <t xml:space="preserve">SFVC 2A</t>
  </si>
  <si>
    <t xml:space="preserve">FLANGE WN RF S/40 /40K</t>
  </si>
  <si>
    <t xml:space="preserve">S25C</t>
  </si>
  <si>
    <t xml:space="preserve">VALVE</t>
  </si>
  <si>
    <t xml:space="preserve">VALVE GLOBE SR(AV-SC-201)</t>
  </si>
  <si>
    <t xml:space="preserve">VALVE GLOBE SR(AV-SC-301)</t>
  </si>
  <si>
    <t xml:space="preserve">VALVE GLOBE SR(AV-SC-401)</t>
  </si>
  <si>
    <t xml:space="preserve">VALVE GLOBE SR(AV-SC-501)</t>
  </si>
  <si>
    <t xml:space="preserve">SCPH2</t>
  </si>
  <si>
    <t xml:space="preserve">VALVE GATE FF(HV-SC-303)</t>
  </si>
  <si>
    <t xml:space="preserve">VALVE GATE FF(HV-SC-403)</t>
  </si>
  <si>
    <t xml:space="preserve">VALVE GATE FF(HV-SC-503)</t>
  </si>
  <si>
    <t xml:space="preserve">VALVE GATE FF (HV-SC-601)</t>
  </si>
  <si>
    <t xml:space="preserve">VALVE GATE FF (HV-SC-204)</t>
  </si>
  <si>
    <t xml:space="preserve">VALVE GATE FF(HV-SC-203)</t>
  </si>
  <si>
    <t xml:space="preserve">VALVE GATE 40K RF (HV-BC-203)</t>
  </si>
  <si>
    <t xml:space="preserve">VALVE GATE BW S/40 (HV-BC-202)</t>
  </si>
  <si>
    <t xml:space="preserve">BOSS</t>
  </si>
  <si>
    <t xml:space="preserve">C.RED 80Ax50A</t>
  </si>
  <si>
    <t xml:space="preserve">C.RED 250Ax200A</t>
  </si>
  <si>
    <t xml:space="preserve">C.RED 300Ax200A</t>
  </si>
  <si>
    <t xml:space="preserve">SUS304</t>
  </si>
  <si>
    <t xml:space="preserve">F.HOSE 1500L</t>
  </si>
  <si>
    <t xml:space="preserve">R.TEE 300Ax200A</t>
  </si>
  <si>
    <t xml:space="preserve">R.TEE 80Ax50A</t>
  </si>
  <si>
    <t xml:space="preserve">SCPH2/SUS</t>
  </si>
  <si>
    <t xml:space="preserve">STRAINER Y-TYPE</t>
  </si>
  <si>
    <t xml:space="preserve">COMP.N.ASB</t>
  </si>
  <si>
    <t xml:space="preserve">GASKET</t>
  </si>
  <si>
    <t xml:space="preserve">SUS304/C.S</t>
  </si>
  <si>
    <t xml:space="preserve">BOLT</t>
  </si>
  <si>
    <t xml:space="preserve">H.B/N M12x40L</t>
  </si>
  <si>
    <t xml:space="preserve">H.B/N M16x50L</t>
  </si>
  <si>
    <t xml:space="preserve">H.B/N M16x55L</t>
  </si>
  <si>
    <t xml:space="preserve">H.B/N M20x70L</t>
  </si>
  <si>
    <t xml:space="preserve">S35C/S25C</t>
  </si>
  <si>
    <t xml:space="preserve">S.B/N M30x200L 200A-40K</t>
  </si>
  <si>
    <t xml:space="preserve">S.B/N M30x200L 250A-40K</t>
  </si>
  <si>
    <t xml:space="preserve">S.B/N M36x220L 300A-40K</t>
  </si>
  <si>
    <t xml:space="preserve">계 (KG)</t>
  </si>
  <si>
    <r>
      <rPr>
        <sz val="10"/>
        <rFont val="맑은 고딕"/>
        <family val="0"/>
        <charset val="1"/>
      </rPr>
      <t xml:space="preserve">  PIPE </t>
    </r>
    <r>
      <rPr>
        <sz val="10"/>
        <rFont val="Noto Sans CJK SC"/>
        <family val="2"/>
        <charset val="1"/>
      </rPr>
      <t xml:space="preserve">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설치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</si>
  <si>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  FITTING·VALVE </t>
    </r>
    <r>
      <rPr>
        <sz val="10"/>
        <rFont val="Noto Sans CJK SC"/>
        <family val="2"/>
        <charset val="1"/>
      </rPr>
      <t xml:space="preserve">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설치</t>
    </r>
    <r>
      <rPr>
        <sz val="10"/>
        <rFont val="맑은 고딕"/>
        <family val="0"/>
        <charset val="1"/>
      </rPr>
      <t xml:space="preserve">)</t>
    </r>
  </si>
  <si>
    <t xml:space="preserve">※ 시드 데이터: Gross 물량 집계 갱신 양식의 소재 내역(옥외 5K 이상, STPG370S). 4-1 집계재질(U열)은 배관 재질 기준으로 FITTING·VALVE도 동일 값을 지정. BOLT(구경 없음)는 4-1 집계에서 제외.</t>
  </si>
  <si>
    <t xml:space="preserve">※ 품목: PIPE(P) / FITTING·VALVE·BOLT(F). 할증 품종은 배관소재집계에서 자동 판정(볼트는 V열에 일반볼트/고장력볼트 지정).</t>
  </si>
  <si>
    <t xml:space="preserve">배관 GROSS 물량 집계 (4-6 소재집계, 설치 기준)</t>
  </si>
  <si>
    <t xml:space="preserve">배관기본물량(설치) 자동 연동. GROSS Q'TY: PIPE(M)=ROUNDUP(NET x (1+할증)), 650A 이상 본(6M)단위 올림, 그 외 EA/SET=ROUND(NET x (1+할증)). GROSS 중량 = GROSS Q'TY x U.W.</t>
  </si>
  <si>
    <t xml:space="preserve">할증 품종: PIPE 강관(50A이하/초과)·STS/SUS 재질은 STS 강관, FITTING·VALVE는 배관 FITTING류(VALVE 外) 1.5%(원본 양식 기준), BOLT는 배관기본물량 V열 지정. 할증율은 제작기준 할증표.</t>
  </si>
  <si>
    <r>
      <rPr>
        <b val="true"/>
        <sz val="10"/>
        <color rgb="FFFFFFFF"/>
        <rFont val="맑은 고딕"/>
        <family val="0"/>
        <charset val="1"/>
      </rPr>
      <t xml:space="preserve">DESCRIPTION / </t>
    </r>
    <r>
      <rPr>
        <b val="true"/>
        <sz val="10"/>
        <color rgb="FFFFFFFF"/>
        <rFont val="Noto Sans CJK SC"/>
        <family val="2"/>
        <charset val="1"/>
      </rPr>
      <t xml:space="preserve">규격</t>
    </r>
  </si>
  <si>
    <t xml:space="preserve">SIZE(A)</t>
  </si>
  <si>
    <t xml:space="preserve">MAT'L</t>
  </si>
  <si>
    <t xml:space="preserve">UNIT</t>
  </si>
  <si>
    <t xml:space="preserve">Q'TY</t>
  </si>
  <si>
    <r>
      <rPr>
        <b val="true"/>
        <sz val="10"/>
        <color rgb="FFFFFFFF"/>
        <rFont val="맑은 고딕"/>
        <family val="0"/>
        <charset val="1"/>
      </rPr>
      <t xml:space="preserve">U.W
(KG/</t>
    </r>
    <r>
      <rPr>
        <b val="true"/>
        <sz val="10"/>
        <color rgb="FFFFFFFF"/>
        <rFont val="Noto Sans CJK SC"/>
        <family val="2"/>
        <charset val="1"/>
      </rPr>
      <t xml:space="preserve">단위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</si>
  <si>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NET
Q'TY</t>
  </si>
  <si>
    <t xml:space="preserve">NET
WEIGHT(KG)</t>
  </si>
  <si>
    <t xml:space="preserve">GROSS
Q'TY</t>
  </si>
  <si>
    <t xml:space="preserve">GROSS
WEIGHT(KG)</t>
  </si>
  <si>
    <t xml:space="preserve">할증 품종</t>
  </si>
  <si>
    <t xml:space="preserve">※ 원본 양식 검증: PIPE 15A 1.837M→GROSS 2M, 50A 17.658M→19M, 80A 6.18M→7M / 볼트 M12x40L 24SET→25SET, 고장력볼트 48SET→49SET (양식 합계 NET 5,297KG / GROSS 5,442KG 참고).</t>
  </si>
  <si>
    <r>
      <rPr>
        <b val="true"/>
        <sz val="14"/>
        <rFont val="맑은 고딕"/>
        <family val="0"/>
        <charset val="1"/>
      </rPr>
      <t xml:space="preserve">4-1. </t>
    </r>
    <r>
      <rPr>
        <b val="true"/>
        <sz val="14"/>
        <rFont val="Noto Sans CJK SC"/>
        <family val="2"/>
        <charset val="1"/>
      </rPr>
      <t xml:space="preserve">배관 공사 물량 집계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구경별 </t>
    </r>
    <r>
      <rPr>
        <b val="true"/>
        <sz val="14"/>
        <rFont val="맑은 고딕"/>
        <family val="0"/>
        <charset val="1"/>
      </rPr>
      <t xml:space="preserve">P/F, </t>
    </r>
    <r>
      <rPr>
        <b val="true"/>
        <sz val="14"/>
        <rFont val="Noto Sans CJK SC"/>
        <family val="2"/>
        <charset val="1"/>
      </rPr>
      <t xml:space="preserve">할증 </t>
    </r>
    <r>
      <rPr>
        <b val="true"/>
        <sz val="14"/>
        <rFont val="맑은 고딕"/>
        <family val="0"/>
        <charset val="1"/>
      </rPr>
      <t xml:space="preserve">FACTOR, </t>
    </r>
    <r>
      <rPr>
        <b val="true"/>
        <sz val="14"/>
        <rFont val="Noto Sans CJK SC"/>
        <family val="2"/>
        <charset val="1"/>
      </rPr>
      <t xml:space="preserve">품셈 적용변수</t>
    </r>
    <r>
      <rPr>
        <b val="true"/>
        <sz val="14"/>
        <rFont val="맑은 고딕"/>
        <family val="0"/>
        <charset val="1"/>
      </rPr>
      <t xml:space="preserve">)</t>
    </r>
  </si>
  <si>
    <t xml:space="preserve">일괄 적용
(마스터)</t>
  </si>
  <si>
    <t xml:space="preserve">보온
(INS.)</t>
  </si>
  <si>
    <t xml:space="preserve">산  세</t>
  </si>
  <si>
    <t xml:space="preserve">지역
(포항/광양)</t>
  </si>
  <si>
    <t xml:space="preserve">동파방지 보온
(WATER)</t>
  </si>
  <si>
    <r>
      <rPr>
        <i val="true"/>
        <sz val="10"/>
        <color rgb="FF666666"/>
        <rFont val="맑은 고딕"/>
        <family val="0"/>
        <charset val="1"/>
      </rPr>
      <t xml:space="preserve">P=PIPE, F=FITTING+VALVE </t>
    </r>
    <r>
      <rPr>
        <i val="true"/>
        <sz val="10"/>
        <color rgb="FF666666"/>
        <rFont val="Noto Sans CJK SC"/>
        <family val="2"/>
        <charset val="1"/>
      </rPr>
      <t xml:space="preserve">중량</t>
    </r>
    <r>
      <rPr>
        <i val="true"/>
        <sz val="10"/>
        <color rgb="FF666666"/>
        <rFont val="맑은 고딕"/>
        <family val="0"/>
        <charset val="1"/>
      </rPr>
      <t xml:space="preserve">(TON, </t>
    </r>
    <r>
      <rPr>
        <i val="true"/>
        <sz val="10"/>
        <color rgb="FF666666"/>
        <rFont val="Noto Sans CJK SC"/>
        <family val="2"/>
        <charset val="1"/>
      </rPr>
      <t xml:space="preserve">기본물량 자동 집계</t>
    </r>
    <r>
      <rPr>
        <i val="true"/>
        <sz val="10"/>
        <color rgb="FF666666"/>
        <rFont val="맑은 고딕"/>
        <family val="0"/>
        <charset val="1"/>
      </rPr>
      <t xml:space="preserve">). A01=F/T-0.3 (3-2 </t>
    </r>
    <r>
      <rPr>
        <i val="true"/>
        <sz val="10"/>
        <color rgb="FF666666"/>
        <rFont val="Noto Sans CJK SC"/>
        <family val="2"/>
        <charset val="1"/>
      </rPr>
      <t xml:space="preserve">다</t>
    </r>
    <r>
      <rPr>
        <i val="true"/>
        <sz val="10"/>
        <color rgb="FF666666"/>
        <rFont val="맑은 고딕"/>
        <family val="0"/>
        <charset val="1"/>
      </rPr>
      <t xml:space="preserve">. 4), A05=</t>
    </r>
    <r>
      <rPr>
        <i val="true"/>
        <sz val="10"/>
        <color rgb="FF666666"/>
        <rFont val="Noto Sans CJK SC"/>
        <family val="2"/>
        <charset val="1"/>
      </rPr>
      <t xml:space="preserve">두께할증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실제단중</t>
    </r>
    <r>
      <rPr>
        <i val="true"/>
        <sz val="10"/>
        <color rgb="FF666666"/>
        <rFont val="맑은 고딕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  <charset val="1"/>
      </rPr>
      <t xml:space="preserve">기준단중</t>
    </r>
    <r>
      <rPr>
        <i val="true"/>
        <sz val="10"/>
        <color rgb="FF666666"/>
        <rFont val="맑은 고딕"/>
        <family val="0"/>
        <charset val="1"/>
      </rPr>
      <t xml:space="preserve">-1), F01=</t>
    </r>
    <r>
      <rPr>
        <i val="true"/>
        <sz val="10"/>
        <color rgb="FF666666"/>
        <rFont val="Noto Sans CJK SC"/>
        <family val="2"/>
        <charset val="1"/>
      </rPr>
      <t xml:space="preserve">합금강 재질할증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배관기준</t>
    </r>
    <r>
      <rPr>
        <i val="true"/>
        <sz val="10"/>
        <color rgb="FF666666"/>
        <rFont val="맑은 고딕"/>
        <family val="0"/>
        <charset val="1"/>
      </rPr>
      <t xml:space="preserve">).</t>
    </r>
  </si>
  <si>
    <t xml:space="preserve">← 여부 체크</t>
  </si>
  <si>
    <t xml:space="preserve">자동</t>
  </si>
  <si>
    <t xml:space="preserve">○</t>
  </si>
  <si>
    <t xml:space="preserve">×</t>
  </si>
  <si>
    <t xml:space="preserve">C/C</t>
  </si>
  <si>
    <t xml:space="preserve">포항</t>
  </si>
  <si>
    <t xml:space="preserve">키(구분·장소·압력·재질·구경)가 4-2 기본물량과 일치해야 집계됩니다. 재질군이 탄소강이 아니면 F01, SCH가 기준(W6312=SCH40, W6311=SPP)과 다르면 A05 적용.</t>
  </si>
  <si>
    <r>
      <rPr>
        <b val="true"/>
        <sz val="10"/>
        <color rgb="FFC00000"/>
        <rFont val="맑은 고딕"/>
        <family val="0"/>
        <charset val="1"/>
      </rPr>
      <t xml:space="preserve">※ AC2:AH2 </t>
    </r>
    <r>
      <rPr>
        <b val="true"/>
        <sz val="10"/>
        <color rgb="FFC00000"/>
        <rFont val="Noto Sans CJK SC"/>
        <family val="2"/>
        <charset val="1"/>
      </rPr>
      <t xml:space="preserve">마스터 체크</t>
    </r>
    <r>
      <rPr>
        <b val="true"/>
        <sz val="10"/>
        <color rgb="FFC00000"/>
        <rFont val="맑은 고딕"/>
        <family val="0"/>
        <charset val="1"/>
      </rPr>
      <t xml:space="preserve">(○/×) → AC7:AH32 </t>
    </r>
    <r>
      <rPr>
        <b val="true"/>
        <sz val="10"/>
        <color rgb="FFC00000"/>
        <rFont val="Noto Sans CJK SC"/>
        <family val="2"/>
        <charset val="1"/>
      </rPr>
      <t xml:space="preserve">일괄 적용</t>
    </r>
    <r>
      <rPr>
        <b val="true"/>
        <sz val="10"/>
        <color rgb="FFC00000"/>
        <rFont val="맑은 고딕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  <charset val="1"/>
      </rPr>
      <t xml:space="preserve">보온</t>
    </r>
    <r>
      <rPr>
        <b val="true"/>
        <sz val="10"/>
        <color rgb="FFC00000"/>
        <rFont val="맑은 고딕"/>
        <family val="0"/>
        <charset val="1"/>
      </rPr>
      <t xml:space="preserve">·PAINT</t>
    </r>
    <r>
      <rPr>
        <b val="true"/>
        <sz val="10"/>
        <color rgb="FFC00000"/>
        <rFont val="Noto Sans CJK SC"/>
        <family val="2"/>
        <charset val="1"/>
      </rPr>
      <t xml:space="preserve">를 </t>
    </r>
    <r>
      <rPr>
        <b val="true"/>
        <sz val="10"/>
        <color rgb="FFC00000"/>
        <rFont val="맑은 고딕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  <charset val="1"/>
      </rPr>
      <t xml:space="preserve">자동</t>
    </r>
    <r>
      <rPr>
        <b val="true"/>
        <sz val="10"/>
        <color rgb="FFC00000"/>
        <rFont val="맑은 고딕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  <charset val="1"/>
      </rPr>
      <t xml:space="preserve">으로 두면 지역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  <charset val="1"/>
      </rPr>
      <t xml:space="preserve">장소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  <charset val="1"/>
      </rPr>
      <t xml:space="preserve">관경 기준 자동 판정 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  <charset val="1"/>
      </rPr>
      <t xml:space="preserve">옥외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  <charset val="1"/>
      </rPr>
      <t xml:space="preserve">포항 </t>
    </r>
    <r>
      <rPr>
        <b val="true"/>
        <sz val="10"/>
        <color rgb="FFC00000"/>
        <rFont val="맑은 고딕"/>
        <family val="0"/>
        <charset val="1"/>
      </rPr>
      <t xml:space="preserve">250A/</t>
    </r>
    <r>
      <rPr>
        <b val="true"/>
        <sz val="10"/>
        <color rgb="FFC00000"/>
        <rFont val="Noto Sans CJK SC"/>
        <family val="2"/>
        <charset val="1"/>
      </rPr>
      <t xml:space="preserve">광양 </t>
    </r>
    <r>
      <rPr>
        <b val="true"/>
        <sz val="10"/>
        <color rgb="FFC00000"/>
        <rFont val="맑은 고딕"/>
        <family val="0"/>
        <charset val="1"/>
      </rPr>
      <t xml:space="preserve">200A </t>
    </r>
    <r>
      <rPr>
        <b val="true"/>
        <sz val="10"/>
        <color rgb="FFC00000"/>
        <rFont val="Noto Sans CJK SC"/>
        <family val="2"/>
        <charset val="1"/>
      </rPr>
      <t xml:space="preserve">이하 보온</t>
    </r>
    <r>
      <rPr>
        <b val="true"/>
        <sz val="10"/>
        <color rgb="FFC00000"/>
        <rFont val="맑은 고딕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  <charset val="1"/>
      </rPr>
      <t xml:space="preserve">옥내 </t>
    </r>
    <r>
      <rPr>
        <b val="true"/>
        <sz val="10"/>
        <color rgb="FFC00000"/>
        <rFont val="맑은 고딕"/>
        <family val="0"/>
        <charset val="1"/>
      </rPr>
      <t xml:space="preserve">80A </t>
    </r>
    <r>
      <rPr>
        <b val="true"/>
        <sz val="10"/>
        <color rgb="FFC00000"/>
        <rFont val="Noto Sans CJK SC"/>
        <family val="2"/>
        <charset val="1"/>
      </rPr>
      <t xml:space="preserve">이하 보온 </t>
    </r>
    <r>
      <rPr>
        <b val="true"/>
        <sz val="10"/>
        <color rgb="FFC00000"/>
        <rFont val="맑은 고딕"/>
        <family val="0"/>
        <charset val="1"/>
      </rPr>
      <t xml:space="preserve">/ </t>
    </r>
    <r>
      <rPr>
        <b val="true"/>
        <sz val="10"/>
        <color rgb="FFC00000"/>
        <rFont val="Noto Sans CJK SC"/>
        <family val="2"/>
        <charset val="1"/>
      </rPr>
      <t xml:space="preserve">보온 구간 도장 제외</t>
    </r>
    <r>
      <rPr>
        <b val="true"/>
        <sz val="10"/>
        <color rgb="FFC00000"/>
        <rFont val="맑은 고딕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  <charset val="1"/>
      </rPr>
      <t xml:space="preserve">큰 관경 도장 </t>
    </r>
    <r>
      <rPr>
        <b val="true"/>
        <sz val="10"/>
        <color rgb="FFC00000"/>
        <rFont val="맑은 고딕"/>
        <family val="0"/>
        <charset val="1"/>
      </rPr>
      <t xml:space="preserve">/ </t>
    </r>
    <r>
      <rPr>
        <b val="true"/>
        <sz val="10"/>
        <color rgb="FFC00000"/>
        <rFont val="Noto Sans CJK SC"/>
        <family val="2"/>
        <charset val="1"/>
      </rPr>
      <t xml:space="preserve">매설</t>
    </r>
    <r>
      <rPr>
        <b val="true"/>
        <sz val="10"/>
        <color rgb="FFC00000"/>
        <rFont val="맑은 고딕"/>
        <family val="0"/>
        <charset val="1"/>
      </rPr>
      <t xml:space="preserve">·STS </t>
    </r>
    <r>
      <rPr>
        <b val="true"/>
        <sz val="10"/>
        <color rgb="FFC00000"/>
        <rFont val="Noto Sans CJK SC"/>
        <family val="2"/>
        <charset val="1"/>
      </rPr>
      <t xml:space="preserve">도장 제외</t>
    </r>
    <r>
      <rPr>
        <b val="true"/>
        <sz val="10"/>
        <color rgb="FFC00000"/>
        <rFont val="맑은 고딕"/>
        <family val="0"/>
        <charset val="1"/>
      </rPr>
      <t xml:space="preserve">)</t>
    </r>
  </si>
  <si>
    <t xml:space="preserve">▼ 행별 FLAG: 마스터(AC2:AH2) 값이 일괄 적용됨 (개별 예외는 해당 셀에 직접 입력)</t>
  </si>
  <si>
    <t xml:space="preserve">재질군(F01)</t>
  </si>
  <si>
    <t xml:space="preserve">품셈군</t>
  </si>
  <si>
    <t xml:space="preserve">매설여부</t>
  </si>
  <si>
    <t xml:space="preserve">유해가스
(있음/공백)</t>
  </si>
  <si>
    <t xml:space="preserve">P (TON)</t>
  </si>
  <si>
    <t xml:space="preserve">F (TON)</t>
  </si>
  <si>
    <t xml:space="preserve">T (TON)</t>
  </si>
  <si>
    <t xml:space="preserve">A01
FITTING</t>
  </si>
  <si>
    <r>
      <rPr>
        <b val="true"/>
        <sz val="10"/>
        <color rgb="FFFFFFFF"/>
        <rFont val="맑은 고딕"/>
        <family val="0"/>
        <charset val="1"/>
      </rPr>
      <t xml:space="preserve">A02
</t>
    </r>
    <r>
      <rPr>
        <b val="true"/>
        <sz val="10"/>
        <color rgb="FFFFFFFF"/>
        <rFont val="Noto Sans CJK SC"/>
        <family val="2"/>
        <charset val="1"/>
      </rPr>
      <t xml:space="preserve">기계실</t>
    </r>
  </si>
  <si>
    <r>
      <rPr>
        <b val="true"/>
        <sz val="10"/>
        <color rgb="FFFFFFFF"/>
        <rFont val="맑은 고딕"/>
        <family val="0"/>
        <charset val="1"/>
      </rPr>
      <t xml:space="preserve">A03
</t>
    </r>
    <r>
      <rPr>
        <b val="true"/>
        <sz val="10"/>
        <color rgb="FFFFFFFF"/>
        <rFont val="Noto Sans CJK SC"/>
        <family val="2"/>
        <charset val="1"/>
      </rPr>
      <t xml:space="preserve">매설</t>
    </r>
  </si>
  <si>
    <r>
      <rPr>
        <b val="true"/>
        <sz val="10"/>
        <color rgb="FFFFFFFF"/>
        <rFont val="맑은 고딕"/>
        <family val="0"/>
        <charset val="1"/>
      </rPr>
      <t xml:space="preserve">A05
</t>
    </r>
    <r>
      <rPr>
        <b val="true"/>
        <sz val="10"/>
        <color rgb="FFFFFFFF"/>
        <rFont val="Noto Sans CJK SC"/>
        <family val="2"/>
        <charset val="1"/>
      </rPr>
      <t xml:space="preserve">두께</t>
    </r>
  </si>
  <si>
    <r>
      <rPr>
        <b val="true"/>
        <sz val="10"/>
        <color rgb="FFFFFFFF"/>
        <rFont val="맑은 고딕"/>
        <family val="0"/>
        <charset val="1"/>
      </rPr>
      <t xml:space="preserve">F01
</t>
    </r>
    <r>
      <rPr>
        <b val="true"/>
        <sz val="10"/>
        <color rgb="FFFFFFFF"/>
        <rFont val="Noto Sans CJK SC"/>
        <family val="2"/>
        <charset val="1"/>
      </rPr>
      <t xml:space="preserve">재질</t>
    </r>
  </si>
  <si>
    <t xml:space="preserve">R03</t>
  </si>
  <si>
    <t xml:space="preserve">R04</t>
  </si>
  <si>
    <t xml:space="preserve">B01</t>
  </si>
  <si>
    <t xml:space="preserve">품셈코드</t>
  </si>
  <si>
    <t xml:space="preserve">기준단중
(기타,KG/M)</t>
  </si>
  <si>
    <t xml:space="preserve">실제단중
(기타,KG/M)</t>
  </si>
  <si>
    <t xml:space="preserve">경고</t>
  </si>
  <si>
    <t xml:space="preserve">탄소강</t>
  </si>
  <si>
    <t xml:space="preserve">W6312</t>
  </si>
  <si>
    <t xml:space="preserve">설치 계</t>
  </si>
  <si>
    <t xml:space="preserve">철거 계</t>
  </si>
  <si>
    <t xml:space="preserve">※ 보온(INS.)·PAINT 마스터가 '자동'이면 STPG370S 물배관(동파방지, 80℃ 이하)은 관경별로 보온 또는 도장 중 하나만 적용됩니다(MANUAL 3-2 나. 3), 3-5 나.). 고정(○/×) 입력으로 일괄 지정하거나 행별로 직접 덮어쓸 수 있습니다.</t>
  </si>
  <si>
    <t xml:space="preserve">※ 동파방지 보온이 아닌 라인(스팀·약품 등)은 AL2를 N으로 두고 보온 FLAG를 별도 지정하세요. 보온·PAINT가 모두 ○이면 도장 제외 경고가 표시됩니다(배관기준 AG17).</t>
  </si>
  <si>
    <r>
      <rPr>
        <b val="true"/>
        <sz val="14"/>
        <rFont val="맑은 고딕"/>
        <family val="0"/>
        <charset val="1"/>
      </rPr>
      <t xml:space="preserve">4-3~4-6. </t>
    </r>
    <r>
      <rPr>
        <b val="true"/>
        <sz val="14"/>
        <rFont val="Noto Sans CJK SC"/>
        <family val="2"/>
        <charset val="1"/>
      </rPr>
      <t xml:space="preserve">구경별 부가물량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비파괴검사 </t>
    </r>
    <r>
      <rPr>
        <b val="true"/>
        <sz val="14"/>
        <rFont val="맑은 고딕"/>
        <family val="0"/>
        <charset val="1"/>
      </rPr>
      <t xml:space="preserve">/ ARGON GAS / </t>
    </r>
    <r>
      <rPr>
        <b val="true"/>
        <sz val="14"/>
        <rFont val="Noto Sans CJK SC"/>
        <family val="2"/>
        <charset val="1"/>
      </rPr>
      <t xml:space="preserve">도장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Noto Sans CJK SC"/>
        <family val="2"/>
        <charset val="1"/>
      </rPr>
      <t xml:space="preserve">소재집계</t>
    </r>
    <r>
      <rPr>
        <b val="true"/>
        <sz val="14"/>
        <rFont val="맑은 고딕"/>
        <family val="0"/>
        <charset val="1"/>
      </rPr>
      <t xml:space="preserve">) - </t>
    </r>
    <r>
      <rPr>
        <b val="true"/>
        <sz val="14"/>
        <rFont val="Noto Sans CJK SC"/>
        <family val="2"/>
        <charset val="1"/>
      </rPr>
      <t xml:space="preserve">설치 </t>
    </r>
    <r>
      <rPr>
        <b val="true"/>
        <sz val="14"/>
        <rFont val="맑은 고딕"/>
        <family val="0"/>
        <charset val="1"/>
      </rPr>
      <t xml:space="preserve">PIPE </t>
    </r>
    <r>
      <rPr>
        <b val="true"/>
        <sz val="14"/>
        <rFont val="Noto Sans CJK SC"/>
        <family val="2"/>
        <charset val="1"/>
      </rPr>
      <t xml:space="preserve">기준</t>
    </r>
  </si>
  <si>
    <t xml:space="preserve">기본물량(설치) 자동 집계. JOINT수=PIPE길이÷(3M/개소), 촬영매수=JOINT x 매수/JOINT x 적용률, 도장=도장적용 PIPE길이 x ㎡/M. ARGON은 4-5(배관ARGON) 시트와 연동.</t>
  </si>
  <si>
    <t xml:space="preserve">비파괴: 40A 이하 S.W는 PT(현행 10%), 40A 초과 B.W는 RT(10K 미만 10%, 10K 이상 100%). 적용률은 유체·압력별 '비파괴 시험 설계적용기준'에 따라 조정.</t>
  </si>
  <si>
    <t xml:space="preserve">▼ 배관집계 FLAG 연동</t>
  </si>
  <si>
    <r>
      <rPr>
        <b val="true"/>
        <sz val="10"/>
        <color rgb="FFFFFFFF"/>
        <rFont val="맑은 고딕"/>
        <family val="0"/>
        <charset val="1"/>
      </rPr>
      <t xml:space="preserve">PIPE </t>
    </r>
    <r>
      <rPr>
        <b val="true"/>
        <sz val="10"/>
        <color rgb="FFFFFFFF"/>
        <rFont val="Noto Sans CJK SC"/>
        <family val="2"/>
        <charset val="1"/>
      </rPr>
      <t xml:space="preserve">길이
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</si>
  <si>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t xml:space="preserve">PIPE
(KG)</t>
  </si>
  <si>
    <t xml:space="preserve">FITTING
(KG)</t>
  </si>
  <si>
    <t xml:space="preserve">VALVE
(KG)</t>
  </si>
  <si>
    <t xml:space="preserve">소재 PIPE
GROSS(KG)</t>
  </si>
  <si>
    <t xml:space="preserve">소재 FITTING
GROSS(KG)</t>
  </si>
  <si>
    <t xml:space="preserve">SCRAP
(KG,70%)</t>
  </si>
  <si>
    <r>
      <rPr>
        <b val="true"/>
        <sz val="10"/>
        <color rgb="FFFFFFFF"/>
        <rFont val="맑은 고딕"/>
        <family val="0"/>
        <charset val="1"/>
      </rPr>
      <t xml:space="preserve">JOINT</t>
    </r>
    <r>
      <rPr>
        <b val="true"/>
        <sz val="10"/>
        <color rgb="FFFFFFFF"/>
        <rFont val="Noto Sans CJK SC"/>
        <family val="2"/>
        <charset val="1"/>
      </rPr>
      <t xml:space="preserve">수
</t>
    </r>
    <r>
      <rPr>
        <b val="true"/>
        <sz val="10"/>
        <color rgb="FFFFFFFF"/>
        <rFont val="맑은 고딕"/>
        <family val="0"/>
        <charset val="1"/>
      </rPr>
      <t xml:space="preserve">(NDT </t>
    </r>
    <r>
      <rPr>
        <b val="true"/>
        <sz val="10"/>
        <color rgb="FFFFFFFF"/>
        <rFont val="Noto Sans CJK SC"/>
        <family val="2"/>
        <charset val="1"/>
      </rPr>
      <t xml:space="preserve">대상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</si>
  <si>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촬영매수
/JOINT</t>
  </si>
  <si>
    <r>
      <rPr>
        <b val="true"/>
        <sz val="10"/>
        <color rgb="FFFFFFFF"/>
        <rFont val="맑은 고딕"/>
        <family val="0"/>
        <charset val="1"/>
      </rPr>
      <t xml:space="preserve">RT
</t>
    </r>
    <r>
      <rPr>
        <b val="true"/>
        <sz val="10"/>
        <color rgb="FFFFFFFF"/>
        <rFont val="Noto Sans CJK SC"/>
        <family val="2"/>
        <charset val="1"/>
      </rPr>
      <t xml:space="preserve">적용률</t>
    </r>
  </si>
  <si>
    <r>
      <rPr>
        <b val="true"/>
        <sz val="10"/>
        <color rgb="FFFFFFFF"/>
        <rFont val="맑은 고딕"/>
        <family val="0"/>
        <charset val="1"/>
      </rPr>
      <t xml:space="preserve">RT </t>
    </r>
    <r>
      <rPr>
        <b val="true"/>
        <sz val="10"/>
        <color rgb="FFFFFFFF"/>
        <rFont val="Noto Sans CJK SC"/>
        <family val="2"/>
        <charset val="1"/>
      </rPr>
      <t xml:space="preserve">매수</t>
    </r>
  </si>
  <si>
    <r>
      <rPr>
        <b val="true"/>
        <sz val="10"/>
        <color rgb="FFFFFFFF"/>
        <rFont val="맑은 고딕"/>
        <family val="0"/>
        <charset val="1"/>
      </rPr>
      <t xml:space="preserve">PT
</t>
    </r>
    <r>
      <rPr>
        <b val="true"/>
        <sz val="10"/>
        <color rgb="FFFFFFFF"/>
        <rFont val="Noto Sans CJK SC"/>
        <family val="2"/>
        <charset val="1"/>
      </rPr>
      <t xml:space="preserve">적용률</t>
    </r>
  </si>
  <si>
    <r>
      <rPr>
        <b val="true"/>
        <sz val="10"/>
        <color rgb="FFFFFFFF"/>
        <rFont val="맑은 고딕"/>
        <family val="0"/>
        <charset val="1"/>
      </rPr>
      <t xml:space="preserve">PT </t>
    </r>
    <r>
      <rPr>
        <b val="true"/>
        <sz val="10"/>
        <color rgb="FFFFFFFF"/>
        <rFont val="Noto Sans CJK SC"/>
        <family val="2"/>
        <charset val="1"/>
      </rPr>
      <t xml:space="preserve">길이
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</si>
  <si>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r>
      <rPr>
        <b val="true"/>
        <sz val="10"/>
        <color rgb="FFFFFFFF"/>
        <rFont val="맑은 고딕"/>
        <family val="0"/>
        <charset val="1"/>
      </rPr>
      <t xml:space="preserve">ARGON
ℓ/JOINT(</t>
    </r>
    <r>
      <rPr>
        <b val="true"/>
        <sz val="10"/>
        <color rgb="FFFFFFFF"/>
        <rFont val="Noto Sans CJK SC"/>
        <family val="2"/>
        <charset val="1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</si>
  <si>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ARGON </t>
    </r>
    <r>
      <rPr>
        <b val="true"/>
        <sz val="10"/>
        <color rgb="FFFFFFFF"/>
        <rFont val="Noto Sans CJK SC"/>
        <family val="2"/>
        <charset val="1"/>
      </rPr>
      <t xml:space="preserve">소요
</t>
    </r>
    <r>
      <rPr>
        <b val="true"/>
        <sz val="10"/>
        <color rgb="FFFFFFFF"/>
        <rFont val="맑은 고딕"/>
        <family val="0"/>
        <charset val="1"/>
      </rPr>
      <t xml:space="preserve">(ℓ, 4-5 </t>
    </r>
    <r>
      <rPr>
        <b val="true"/>
        <sz val="10"/>
        <color rgb="FFFFFFFF"/>
        <rFont val="Noto Sans CJK SC"/>
        <family val="2"/>
        <charset val="1"/>
      </rPr>
      <t xml:space="preserve">연동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</si>
  <si>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도장 길이
(M)</t>
  </si>
  <si>
    <t xml:space="preserve">도장면적
(㎡)</t>
  </si>
  <si>
    <r>
      <rPr>
        <b val="true"/>
        <sz val="10"/>
        <color rgb="FFFFFFFF"/>
        <rFont val="맑은 고딕"/>
        <family val="0"/>
        <charset val="1"/>
      </rPr>
      <t xml:space="preserve">NDT </t>
    </r>
    <r>
      <rPr>
        <b val="true"/>
        <sz val="10"/>
        <color rgb="FFFFFFFF"/>
        <rFont val="Noto Sans CJK SC"/>
        <family val="2"/>
        <charset val="1"/>
      </rPr>
      <t xml:space="preserve">대상
길이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</si>
  <si>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t xml:space="preserve">보온 대상
길이(M)</t>
  </si>
  <si>
    <t xml:space="preserve">산세 대상
(TON)</t>
  </si>
  <si>
    <r>
      <rPr>
        <b val="true"/>
        <sz val="10"/>
        <color rgb="FFFFFFFF"/>
        <rFont val="맑은 고딕"/>
        <family val="0"/>
        <charset val="1"/>
      </rPr>
      <t xml:space="preserve">FLUSHING
</t>
    </r>
    <r>
      <rPr>
        <b val="true"/>
        <sz val="10"/>
        <color rgb="FFFFFFFF"/>
        <rFont val="Noto Sans CJK SC"/>
        <family val="2"/>
        <charset val="1"/>
      </rPr>
      <t xml:space="preserve">대상</t>
    </r>
    <r>
      <rPr>
        <b val="true"/>
        <sz val="10"/>
        <color rgb="FFFFFFFF"/>
        <rFont val="맑은 고딕"/>
        <family val="0"/>
        <charset val="1"/>
      </rPr>
      <t xml:space="preserve">(TON)</t>
    </r>
  </si>
  <si>
    <t xml:space="preserve">V
(L/TON)</t>
  </si>
  <si>
    <t xml:space="preserve">관내유량
QP(L)</t>
  </si>
  <si>
    <t xml:space="preserve">산세배관
도장길이(M)</t>
  </si>
  <si>
    <t xml:space="preserve">산세배관
도장면적(㎡)</t>
  </si>
  <si>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병수</t>
    </r>
  </si>
  <si>
    <t xml:space="preserve">배관 SCRAP (KG)</t>
  </si>
  <si>
    <t xml:space="preserve">※ 소재 GROSS는 '배관소재집계'(구경별 합산) 연동. 도장 길이는 ROUNDUP(0) 적용. SCRAP=(GROSS-NET) x 70%.</t>
  </si>
  <si>
    <t xml:space="preserve">※ 도장: 보온·STS·매설·산세 배관은 도장적용=N. 산세배관은 바탕처리 제외 (6-7 주). 촬영매수는 6A~65A=2매, 80~200A=3매 등 첨부 #1 표 기준.</t>
  </si>
  <si>
    <r>
      <rPr>
        <b val="true"/>
        <sz val="10"/>
        <rFont val="맑은 고딕"/>
        <family val="0"/>
        <charset val="1"/>
      </rPr>
      <t xml:space="preserve">OIL FLUSHING </t>
    </r>
    <r>
      <rPr>
        <b val="true"/>
        <sz val="10"/>
        <rFont val="Noto Sans CJK SC"/>
        <family val="2"/>
        <charset val="1"/>
      </rPr>
      <t xml:space="preserve">소요량 </t>
    </r>
    <r>
      <rPr>
        <b val="true"/>
        <sz val="10"/>
        <rFont val="맑은 고딕"/>
        <family val="0"/>
        <charset val="1"/>
      </rPr>
      <t xml:space="preserve">(6-4 </t>
    </r>
    <r>
      <rPr>
        <b val="true"/>
        <sz val="10"/>
        <rFont val="Noto Sans CJK SC"/>
        <family val="2"/>
        <charset val="1"/>
      </rPr>
      <t xml:space="preserve">마</t>
    </r>
    <r>
      <rPr>
        <b val="true"/>
        <sz val="10"/>
        <rFont val="맑은 고딕"/>
        <family val="0"/>
        <charset val="1"/>
      </rPr>
      <t xml:space="preserve">. 5)  OF = 1.1 x (QTL + QP)</t>
    </r>
  </si>
  <si>
    <r>
      <rPr>
        <sz val="10"/>
        <rFont val="맑은 고딕"/>
        <family val="0"/>
        <charset val="1"/>
      </rPr>
      <t xml:space="preserve">QP </t>
    </r>
    <r>
      <rPr>
        <sz val="10"/>
        <rFont val="Noto Sans CJK SC"/>
        <family val="2"/>
        <charset val="1"/>
      </rPr>
      <t xml:space="preserve">관내유량 </t>
    </r>
    <r>
      <rPr>
        <sz val="10"/>
        <rFont val="맑은 고딕"/>
        <family val="0"/>
        <charset val="1"/>
      </rPr>
      <t xml:space="preserve">(L) = Σ </t>
    </r>
    <r>
      <rPr>
        <sz val="10"/>
        <rFont val="Noto Sans CJK SC"/>
        <family val="2"/>
        <charset val="1"/>
      </rPr>
      <t xml:space="preserve">대상</t>
    </r>
    <r>
      <rPr>
        <sz val="10"/>
        <rFont val="맑은 고딕"/>
        <family val="0"/>
        <charset val="1"/>
      </rPr>
      <t xml:space="preserve">TON x V</t>
    </r>
  </si>
  <si>
    <r>
      <rPr>
        <sz val="10"/>
        <rFont val="맑은 고딕"/>
        <family val="0"/>
        <charset val="1"/>
      </rPr>
      <t xml:space="preserve">QTL TANK </t>
    </r>
    <r>
      <rPr>
        <sz val="10"/>
        <rFont val="Noto Sans CJK SC"/>
        <family val="2"/>
        <charset val="1"/>
      </rPr>
      <t xml:space="preserve">최소유량 </t>
    </r>
    <r>
      <rPr>
        <sz val="10"/>
        <rFont val="맑은 고딕"/>
        <family val="0"/>
        <charset val="1"/>
      </rPr>
      <t xml:space="preserve">(L) - </t>
    </r>
    <r>
      <rPr>
        <sz val="10"/>
        <rFont val="Noto Sans CJK SC"/>
        <family val="2"/>
        <charset val="1"/>
      </rPr>
      <t xml:space="preserve">입력</t>
    </r>
    <r>
      <rPr>
        <sz val="10"/>
        <rFont val="맑은 고딕"/>
        <family val="0"/>
        <charset val="1"/>
      </rPr>
      <t xml:space="preserve">(OF 4,000L </t>
    </r>
    <r>
      <rPr>
        <sz val="10"/>
        <rFont val="Noto Sans CJK SC"/>
        <family val="2"/>
        <charset val="1"/>
      </rPr>
      <t xml:space="preserve">미만 시 적용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</si>
  <si>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OF FLUSHING OIL</t>
    </r>
    <r>
      <rPr>
        <sz val="10"/>
        <rFont val="Noto Sans CJK SC"/>
        <family val="2"/>
        <charset val="1"/>
      </rPr>
      <t xml:space="preserve">량 </t>
    </r>
    <r>
      <rPr>
        <sz val="10"/>
        <rFont val="맑은 고딕"/>
        <family val="0"/>
        <charset val="1"/>
      </rPr>
      <t xml:space="preserve">(L)</t>
    </r>
  </si>
  <si>
    <r>
      <rPr>
        <i val="true"/>
        <sz val="10"/>
        <color rgb="FF666666"/>
        <rFont val="맑은 고딕"/>
        <family val="0"/>
        <charset val="1"/>
      </rPr>
      <t xml:space="preserve">※ V(L/TON)=</t>
    </r>
    <r>
      <rPr>
        <i val="true"/>
        <sz val="10"/>
        <color rgb="FF666666"/>
        <rFont val="Noto Sans CJK SC"/>
        <family val="2"/>
        <charset val="1"/>
      </rPr>
      <t xml:space="preserve">관 내용적</t>
    </r>
    <r>
      <rPr>
        <i val="true"/>
        <sz val="10"/>
        <color rgb="FF666666"/>
        <rFont val="맑은 고딕"/>
        <family val="0"/>
        <charset val="1"/>
      </rPr>
      <t xml:space="preserve">÷</t>
    </r>
    <r>
      <rPr>
        <i val="true"/>
        <sz val="10"/>
        <color rgb="FF666666"/>
        <rFont val="Noto Sans CJK SC"/>
        <family val="2"/>
        <charset val="1"/>
      </rPr>
      <t xml:space="preserve">단중</t>
    </r>
    <r>
      <rPr>
        <i val="true"/>
        <sz val="10"/>
        <color rgb="FF666666"/>
        <rFont val="맑은 고딕"/>
        <family val="0"/>
        <charset val="1"/>
      </rPr>
      <t xml:space="preserve">(SCH40 </t>
    </r>
    <r>
      <rPr>
        <i val="true"/>
        <sz val="10"/>
        <color rgb="FF666666"/>
        <rFont val="Noto Sans CJK SC"/>
        <family val="2"/>
        <charset val="1"/>
      </rPr>
      <t xml:space="preserve">기준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외경</t>
    </r>
    <r>
      <rPr>
        <i val="true"/>
        <sz val="10"/>
        <color rgb="FF666666"/>
        <rFont val="맑은 고딕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  <charset val="1"/>
      </rPr>
      <t xml:space="preserve">단중에서 산출</t>
    </r>
    <r>
      <rPr>
        <i val="true"/>
        <sz val="10"/>
        <color rgb="FF666666"/>
        <rFont val="맑은 고딕"/>
        <family val="0"/>
        <charset val="1"/>
      </rPr>
      <t xml:space="preserve">). 700A </t>
    </r>
    <r>
      <rPr>
        <i val="true"/>
        <sz val="10"/>
        <color rgb="FF666666"/>
        <rFont val="Noto Sans CJK SC"/>
        <family val="2"/>
        <charset val="1"/>
      </rPr>
      <t xml:space="preserve">이상은 </t>
    </r>
    <r>
      <rPr>
        <i val="true"/>
        <sz val="10"/>
        <color rgb="FF666666"/>
        <rFont val="맑은 고딕"/>
        <family val="0"/>
        <charset val="1"/>
      </rPr>
      <t xml:space="preserve">V </t>
    </r>
    <r>
      <rPr>
        <i val="true"/>
        <sz val="10"/>
        <color rgb="FF666666"/>
        <rFont val="Noto Sans CJK SC"/>
        <family val="2"/>
        <charset val="1"/>
      </rPr>
      <t xml:space="preserve">없음</t>
    </r>
    <r>
      <rPr>
        <i val="true"/>
        <sz val="10"/>
        <color rgb="FF666666"/>
        <rFont val="맑은 고딕"/>
        <family val="0"/>
        <charset val="1"/>
      </rPr>
      <t xml:space="preserve">. FLUSHING </t>
    </r>
    <r>
      <rPr>
        <i val="true"/>
        <sz val="10"/>
        <color rgb="FF666666"/>
        <rFont val="Noto Sans CJK SC"/>
        <family val="2"/>
        <charset val="1"/>
      </rPr>
      <t xml:space="preserve">대상은 배관집계 </t>
    </r>
    <r>
      <rPr>
        <i val="true"/>
        <sz val="10"/>
        <color rgb="FF666666"/>
        <rFont val="맑은 고딕"/>
        <family val="0"/>
        <charset val="1"/>
      </rPr>
      <t xml:space="preserve">FLAG </t>
    </r>
    <r>
      <rPr>
        <i val="true"/>
        <sz val="10"/>
        <color rgb="FF666666"/>
        <rFont val="Noto Sans CJK SC"/>
        <family val="2"/>
        <charset val="1"/>
      </rPr>
      <t xml:space="preserve">기준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중량은 해당 구경 </t>
    </r>
    <r>
      <rPr>
        <i val="true"/>
        <sz val="10"/>
        <color rgb="FF666666"/>
        <rFont val="맑은 고딕"/>
        <family val="0"/>
        <charset val="1"/>
      </rPr>
      <t xml:space="preserve">PIPE+FITTING.</t>
    </r>
  </si>
  <si>
    <r>
      <rPr>
        <i val="true"/>
        <sz val="10"/>
        <color rgb="FF666666"/>
        <rFont val="맑은 고딕"/>
        <family val="0"/>
        <charset val="1"/>
      </rPr>
      <t xml:space="preserve">※ NDT </t>
    </r>
    <r>
      <rPr>
        <i val="true"/>
        <sz val="10"/>
        <color rgb="FF666666"/>
        <rFont val="Noto Sans CJK SC"/>
        <family val="2"/>
        <charset val="1"/>
      </rPr>
      <t xml:space="preserve">대상 길이로 </t>
    </r>
    <r>
      <rPr>
        <i val="true"/>
        <sz val="10"/>
        <color rgb="FF666666"/>
        <rFont val="맑은 고딕"/>
        <family val="0"/>
        <charset val="1"/>
      </rPr>
      <t xml:space="preserve">JOINT </t>
    </r>
    <r>
      <rPr>
        <i val="true"/>
        <sz val="10"/>
        <color rgb="FF666666"/>
        <rFont val="Noto Sans CJK SC"/>
        <family val="2"/>
        <charset val="1"/>
      </rPr>
      <t xml:space="preserve">산출</t>
    </r>
    <r>
      <rPr>
        <i val="true"/>
        <sz val="10"/>
        <color rgb="FF666666"/>
        <rFont val="맑은 고딕"/>
        <family val="0"/>
        <charset val="1"/>
      </rPr>
      <t xml:space="preserve">(N.D.T=○ </t>
    </r>
    <r>
      <rPr>
        <i val="true"/>
        <sz val="10"/>
        <color rgb="FF666666"/>
        <rFont val="Noto Sans CJK SC"/>
        <family val="2"/>
        <charset val="1"/>
      </rPr>
      <t xml:space="preserve">라인만</t>
    </r>
    <r>
      <rPr>
        <i val="true"/>
        <sz val="10"/>
        <color rgb="FF666666"/>
        <rFont val="맑은 고딕"/>
        <family val="0"/>
        <charset val="1"/>
      </rPr>
      <t xml:space="preserve">), </t>
    </r>
    <r>
      <rPr>
        <i val="true"/>
        <sz val="10"/>
        <color rgb="FF666666"/>
        <rFont val="Noto Sans CJK SC"/>
        <family val="2"/>
        <charset val="1"/>
      </rPr>
      <t xml:space="preserve">보온</t>
    </r>
    <r>
      <rPr>
        <i val="true"/>
        <sz val="10"/>
        <color rgb="FF666666"/>
        <rFont val="맑은 고딕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  <charset val="1"/>
      </rPr>
      <t xml:space="preserve">산세 대상 길이</t>
    </r>
    <r>
      <rPr>
        <i val="true"/>
        <sz val="10"/>
        <color rgb="FF666666"/>
        <rFont val="맑은 고딕"/>
        <family val="0"/>
        <charset val="1"/>
      </rPr>
      <t xml:space="preserve">/TON</t>
    </r>
    <r>
      <rPr>
        <i val="true"/>
        <sz val="10"/>
        <color rgb="FF666666"/>
        <rFont val="Noto Sans CJK SC"/>
        <family val="2"/>
        <charset val="1"/>
      </rPr>
      <t xml:space="preserve">은 보온</t>
    </r>
    <r>
      <rPr>
        <i val="true"/>
        <sz val="10"/>
        <color rgb="FF666666"/>
        <rFont val="맑은 고딕"/>
        <family val="0"/>
        <charset val="1"/>
      </rPr>
      <t xml:space="preserve">(6-5)·</t>
    </r>
    <r>
      <rPr>
        <i val="true"/>
        <sz val="10"/>
        <color rgb="FF666666"/>
        <rFont val="Noto Sans CJK SC"/>
        <family val="2"/>
        <charset val="1"/>
      </rPr>
      <t xml:space="preserve">산세 물량 산출 연동용입니다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</si>
  <si>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무도장 배관 표식도장 (MANUAL 3-5 나. 4) — 부분도장 설계 반영, 스티커는 운영부서)</t>
  </si>
  <si>
    <t xml:space="preserve">무도장 PIPE 길이 (M)</t>
  </si>
  <si>
    <t xml:space="preserve">설비·밸브 연결 유입측 50cm (EA)</t>
  </si>
  <si>
    <t xml:space="preserve">배관 분기점 50cm (EA) = TEE</t>
  </si>
  <si>
    <t xml:space="preserve">직관 100m 이상 중앙+100m마다 (EA)</t>
  </si>
  <si>
    <t xml:space="preserve">지하 인입·인출 / 관통부 양측 (EA) - 입력</t>
  </si>
  <si>
    <t xml:space="preserve">표식도장 개소 합계 (EA)</t>
  </si>
  <si>
    <t xml:space="preserve">소단위 공사 품 50% 가산 (C08)</t>
  </si>
  <si>
    <t xml:space="preserve">※ 무도장 대상: 보온 적용·STS/SUS·매설 배관(배관기본물량 AG열 'Y'). 표시 위치는 설비 유입측·분기점 50cm, 직관 100m 이상은 중앙 및 중앙에서 100m마다.</t>
  </si>
  <si>
    <r>
      <rPr>
        <b val="true"/>
        <sz val="14"/>
        <rFont val="맑은 고딕"/>
        <family val="0"/>
        <charset val="1"/>
      </rPr>
      <t xml:space="preserve">4-5. ARGON GAS </t>
    </r>
    <r>
      <rPr>
        <b val="true"/>
        <sz val="14"/>
        <rFont val="Noto Sans CJK SC"/>
        <family val="2"/>
        <charset val="1"/>
      </rPr>
      <t xml:space="preserve">소요량 산출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갱신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</si>
  <si>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10"/>
        <color rgb="FF666666"/>
        <rFont val="맑은 고딕"/>
        <family val="0"/>
        <charset val="1"/>
      </rPr>
      <t xml:space="preserve">ℓ = JOINT</t>
    </r>
    <r>
      <rPr>
        <i val="true"/>
        <sz val="10"/>
        <color rgb="FF666666"/>
        <rFont val="Noto Sans CJK SC"/>
        <family val="2"/>
        <charset val="1"/>
      </rPr>
      <t xml:space="preserve">수 </t>
    </r>
    <r>
      <rPr>
        <i val="true"/>
        <sz val="10"/>
        <color rgb="FF666666"/>
        <rFont val="맑은 고딕"/>
        <family val="0"/>
        <charset val="1"/>
      </rPr>
      <t xml:space="preserve">x ℓ/JOINT x </t>
    </r>
    <r>
      <rPr>
        <i val="true"/>
        <sz val="10"/>
        <color rgb="FF666666"/>
        <rFont val="Noto Sans CJK SC"/>
        <family val="2"/>
        <charset val="1"/>
      </rPr>
      <t xml:space="preserve">적용계수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탄소강관 </t>
    </r>
    <r>
      <rPr>
        <i val="true"/>
        <sz val="10"/>
        <color rgb="FF666666"/>
        <rFont val="맑은 고딕"/>
        <family val="0"/>
        <charset val="1"/>
      </rPr>
      <t xml:space="preserve">1/3, STS</t>
    </r>
    <r>
      <rPr>
        <i val="true"/>
        <sz val="10"/>
        <color rgb="FF666666"/>
        <rFont val="Noto Sans CJK SC"/>
        <family val="2"/>
        <charset val="1"/>
      </rPr>
      <t xml:space="preserve">강관 </t>
    </r>
    <r>
      <rPr>
        <i val="true"/>
        <sz val="10"/>
        <color rgb="FF666666"/>
        <rFont val="맑은 고딕"/>
        <family val="0"/>
        <charset val="1"/>
      </rPr>
      <t xml:space="preserve">100%) x 6M</t>
    </r>
    <r>
      <rPr>
        <i val="true"/>
        <sz val="10"/>
        <color rgb="FF666666"/>
        <rFont val="Noto Sans CJK SC"/>
        <family val="2"/>
        <charset val="1"/>
      </rPr>
      <t xml:space="preserve">당 개소</t>
    </r>
    <r>
      <rPr>
        <i val="true"/>
        <sz val="10"/>
        <color rgb="FF666666"/>
        <rFont val="맑은 고딕"/>
        <family val="0"/>
        <charset val="1"/>
      </rPr>
      <t xml:space="preserve">.  JOINT</t>
    </r>
    <r>
      <rPr>
        <i val="true"/>
        <sz val="10"/>
        <color rgb="FF666666"/>
        <rFont val="Noto Sans CJK SC"/>
        <family val="2"/>
        <charset val="1"/>
      </rPr>
      <t xml:space="preserve">수 </t>
    </r>
    <r>
      <rPr>
        <i val="true"/>
        <sz val="10"/>
        <color rgb="FF666666"/>
        <rFont val="맑은 고딕"/>
        <family val="0"/>
        <charset val="1"/>
      </rPr>
      <t xml:space="preserve">= ROUNDUP(</t>
    </r>
    <r>
      <rPr>
        <i val="true"/>
        <sz val="10"/>
        <color rgb="FF666666"/>
        <rFont val="Noto Sans CJK SC"/>
        <family val="2"/>
        <charset val="1"/>
      </rPr>
      <t xml:space="preserve">물량 </t>
    </r>
    <r>
      <rPr>
        <i val="true"/>
        <sz val="10"/>
        <color rgb="FF666666"/>
        <rFont val="맑은 고딕"/>
        <family val="0"/>
        <charset val="1"/>
      </rPr>
      <t xml:space="preserve">÷ (</t>
    </r>
    <r>
      <rPr>
        <i val="true"/>
        <sz val="10"/>
        <color rgb="FF666666"/>
        <rFont val="Noto Sans CJK SC"/>
        <family val="2"/>
        <charset val="1"/>
      </rPr>
      <t xml:space="preserve">단중 </t>
    </r>
    <r>
      <rPr>
        <i val="true"/>
        <sz val="10"/>
        <color rgb="FF666666"/>
        <rFont val="맑은 고딕"/>
        <family val="0"/>
        <charset val="1"/>
      </rPr>
      <t xml:space="preserve">x 6M)).  </t>
    </r>
    <r>
      <rPr>
        <i val="true"/>
        <sz val="10"/>
        <color rgb="FF666666"/>
        <rFont val="Noto Sans CJK SC"/>
        <family val="2"/>
        <charset val="1"/>
      </rPr>
      <t xml:space="preserve">물량</t>
    </r>
    <r>
      <rPr>
        <i val="true"/>
        <sz val="10"/>
        <color rgb="FF666666"/>
        <rFont val="맑은 고딕"/>
        <family val="0"/>
        <charset val="1"/>
      </rPr>
      <t xml:space="preserve">(KG)</t>
    </r>
    <r>
      <rPr>
        <i val="true"/>
        <sz val="10"/>
        <color rgb="FF666666"/>
        <rFont val="Noto Sans CJK SC"/>
        <family val="2"/>
        <charset val="1"/>
      </rPr>
      <t xml:space="preserve">은 </t>
    </r>
    <r>
      <rPr>
        <i val="true"/>
        <sz val="10"/>
        <color rgb="FF666666"/>
        <rFont val="맑은 고딕"/>
        <family val="0"/>
        <charset val="1"/>
      </rPr>
      <t xml:space="preserve">4-1 </t>
    </r>
    <r>
      <rPr>
        <i val="true"/>
        <sz val="10"/>
        <color rgb="FF666666"/>
        <rFont val="Noto Sans CJK SC"/>
        <family val="2"/>
        <charset val="1"/>
      </rPr>
      <t xml:space="preserve">집계 </t>
    </r>
    <r>
      <rPr>
        <i val="true"/>
        <sz val="10"/>
        <color rgb="FF666666"/>
        <rFont val="맑은 고딕"/>
        <family val="0"/>
        <charset val="1"/>
      </rPr>
      <t xml:space="preserve">T(</t>
    </r>
    <r>
      <rPr>
        <i val="true"/>
        <sz val="10"/>
        <color rgb="FF666666"/>
        <rFont val="Noto Sans CJK SC"/>
        <family val="2"/>
        <charset val="1"/>
      </rPr>
      <t xml:space="preserve">설치</t>
    </r>
    <r>
      <rPr>
        <i val="true"/>
        <sz val="10"/>
        <color rgb="FF666666"/>
        <rFont val="맑은 고딕"/>
        <family val="0"/>
        <charset val="1"/>
      </rPr>
      <t xml:space="preserve">) </t>
    </r>
    <r>
      <rPr>
        <i val="true"/>
        <sz val="10"/>
        <color rgb="FF666666"/>
        <rFont val="Noto Sans CJK SC"/>
        <family val="2"/>
        <charset val="1"/>
      </rPr>
      <t xml:space="preserve">자동 연동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직접입력 시 우선 적용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</si>
  <si>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입력: 파란 글씨, 노란 배경=입력 필요. 단중은 SCH 기준(배관기준). 6M당 개소·ℓ/JOINT는 배관기준 ⑥ 표(첨부 #1 개정)에서 조회.</t>
  </si>
  <si>
    <t xml:space="preserve">관종</t>
  </si>
  <si>
    <t xml:space="preserve">직접입력
물량(KG)</t>
  </si>
  <si>
    <t xml:space="preserve">물량
(KG)</t>
  </si>
  <si>
    <t xml:space="preserve">단중
(KG/M)</t>
  </si>
  <si>
    <t xml:space="preserve">KG/6M</t>
  </si>
  <si>
    <r>
      <rPr>
        <b val="true"/>
        <sz val="10"/>
        <color rgb="FFFFFFFF"/>
        <rFont val="맑은 고딕"/>
        <family val="0"/>
        <charset val="1"/>
      </rPr>
      <t xml:space="preserve">JOINT
(</t>
    </r>
    <r>
      <rPr>
        <b val="true"/>
        <sz val="10"/>
        <color rgb="FFFFFFFF"/>
        <rFont val="Noto Sans CJK SC"/>
        <family val="2"/>
        <charset val="1"/>
      </rPr>
      <t xml:space="preserve">개소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</si>
  <si>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6M</t>
    </r>
    <r>
      <rPr>
        <b val="true"/>
        <sz val="10"/>
        <color rgb="FFFFFFFF"/>
        <rFont val="Noto Sans CJK SC"/>
        <family val="2"/>
        <charset val="1"/>
      </rPr>
      <t xml:space="preserve">당
개소</t>
    </r>
  </si>
  <si>
    <t xml:space="preserve">ℓ/JOINT</t>
  </si>
  <si>
    <t xml:space="preserve">적용계수</t>
  </si>
  <si>
    <r>
      <rPr>
        <b val="true"/>
        <sz val="10"/>
        <color rgb="FFFFFFFF"/>
        <rFont val="맑은 고딕"/>
        <family val="0"/>
        <charset val="1"/>
      </rPr>
      <t xml:space="preserve">ARGON
</t>
    </r>
    <r>
      <rPr>
        <b val="true"/>
        <sz val="10"/>
        <color rgb="FFFFFFFF"/>
        <rFont val="Noto Sans CJK SC"/>
        <family val="2"/>
        <charset val="1"/>
      </rPr>
      <t xml:space="preserve">소요량</t>
    </r>
    <r>
      <rPr>
        <b val="true"/>
        <sz val="10"/>
        <color rgb="FFFFFFFF"/>
        <rFont val="맑은 고딕"/>
        <family val="0"/>
        <charset val="1"/>
      </rPr>
      <t xml:space="preserve">(ℓ)</t>
    </r>
  </si>
  <si>
    <t xml:space="preserve">REMARK'S</t>
  </si>
  <si>
    <t xml:space="preserve">옥내 5K 이상</t>
  </si>
  <si>
    <t xml:space="preserve">탄소강관</t>
  </si>
  <si>
    <t xml:space="preserve">STS304</t>
  </si>
  <si>
    <r>
      <rPr>
        <sz val="10"/>
        <color rgb="FF0000FF"/>
        <rFont val="맑은 고딕"/>
        <family val="0"/>
        <charset val="1"/>
      </rPr>
      <t xml:space="preserve">STS</t>
    </r>
    <r>
      <rPr>
        <sz val="10"/>
        <color rgb="FF0000FF"/>
        <rFont val="Noto Sans CJK SC"/>
        <family val="2"/>
        <charset val="1"/>
      </rPr>
      <t xml:space="preserve">강관</t>
    </r>
  </si>
  <si>
    <t xml:space="preserve">  탄소강관 소계 (ℓ)</t>
  </si>
  <si>
    <r>
      <rPr>
        <sz val="10"/>
        <rFont val="맑은 고딕"/>
        <family val="0"/>
        <charset val="1"/>
      </rPr>
      <t xml:space="preserve">  STS</t>
    </r>
    <r>
      <rPr>
        <sz val="10"/>
        <rFont val="Noto Sans CJK SC"/>
        <family val="2"/>
        <charset val="1"/>
      </rPr>
      <t xml:space="preserve">강관 소계 </t>
    </r>
    <r>
      <rPr>
        <sz val="10"/>
        <rFont val="맑은 고딕"/>
        <family val="0"/>
        <charset val="1"/>
      </rPr>
      <t xml:space="preserve">(ℓ)</t>
    </r>
  </si>
  <si>
    <r>
      <rPr>
        <b val="true"/>
        <sz val="10"/>
        <rFont val="맑은 고딕"/>
        <family val="0"/>
        <charset val="1"/>
      </rPr>
      <t xml:space="preserve">∴ ARGON GAS </t>
    </r>
    <r>
      <rPr>
        <b val="true"/>
        <sz val="10"/>
        <rFont val="Noto Sans CJK SC"/>
        <family val="2"/>
        <charset val="1"/>
      </rPr>
      <t xml:space="preserve">소요량 </t>
    </r>
    <r>
      <rPr>
        <b val="true"/>
        <sz val="10"/>
        <rFont val="맑은 고딕"/>
        <family val="0"/>
        <charset val="1"/>
      </rPr>
      <t xml:space="preserve">(ℓ)</t>
    </r>
  </si>
  <si>
    <r>
      <rPr>
        <sz val="10"/>
        <rFont val="맑은 고딕"/>
        <family val="0"/>
        <charset val="1"/>
      </rPr>
      <t xml:space="preserve">  ÷ </t>
    </r>
    <r>
      <rPr>
        <sz val="10"/>
        <rFont val="Noto Sans CJK SC"/>
        <family val="2"/>
        <charset val="1"/>
      </rPr>
      <t xml:space="preserve">병 용량 </t>
    </r>
    <r>
      <rPr>
        <sz val="10"/>
        <rFont val="맑은 고딕"/>
        <family val="0"/>
        <charset val="1"/>
      </rPr>
      <t xml:space="preserve">(ℓ/BT)</t>
    </r>
  </si>
  <si>
    <t xml:space="preserve">  적용 BT (올림)</t>
  </si>
  <si>
    <t xml:space="preserve">※ 시드 데이터: 갱신 양식 예시(옥내 5K 이상)의 물량. 탄소강관 소계 11,044ℓ가 원본 합계와 일치.</t>
  </si>
  <si>
    <t xml:space="preserve">※ 원본 예시는 300A STS304 행의 ℓ를 미산정(합계 11,044ℓ=2BT)했으나, STS강관은 100% 적용·6M당 2개소 기준으로 산정하면 31,560ℓ가 추가됩니다. 기준 확인 필요.</t>
  </si>
  <si>
    <t xml:space="preserve">※ 물량 직접입력이 비어 있으면 4-1 집계(배관집계)의 설치 T(TON)를 KG로 환산해 자동 연동합니다(구경·재질 일치 시).</t>
  </si>
  <si>
    <r>
      <rPr>
        <b val="true"/>
        <sz val="14"/>
        <rFont val="맑은 고딕"/>
        <family val="0"/>
        <charset val="1"/>
      </rPr>
      <t xml:space="preserve">6. </t>
    </r>
    <r>
      <rPr>
        <b val="true"/>
        <sz val="14"/>
        <rFont val="Noto Sans CJK SC"/>
        <family val="2"/>
        <charset val="1"/>
      </rPr>
      <t xml:space="preserve">도장 면적 산출 집계표</t>
    </r>
  </si>
  <si>
    <t xml:space="preserve">범례: 파란 글씨=입력, 검정=수식, 노란 배경=입력 필요. 설치·이설 물량은 기본물량산출, 제작은 제작물량산출(산#3-3), 배관은 배관부가물량(산#4-6)에서 자동 연동.</t>
  </si>
  <si>
    <t xml:space="preserve">근거: MANUAL 3-5 도장공사 (6) 중방식도장 SYSTEM — 사급·MAKER 납품분은 바탕처리 2급·붓칠 전체면적 5%만 적용, 소재 공급분은 바탕처리 1급·PRIMER 뿜칠 GROSS, 중도·상도 뿜칠 NET + 보수도장 NET 5%.</t>
  </si>
  <si>
    <t xml:space="preserve">① 도장소요 면적 (설치공사)</t>
  </si>
  <si>
    <t xml:space="preserve">사급·MAKER
납품(O)</t>
  </si>
  <si>
    <t xml:space="preserve">설치물량
(TON)</t>
  </si>
  <si>
    <t xml:space="preserve">도장 제외
물량(TON)</t>
  </si>
  <si>
    <t xml:space="preserve">도장물량
(TON)</t>
  </si>
  <si>
    <t xml:space="preserve">기준량
(㎡/TON)</t>
  </si>
  <si>
    <t xml:space="preserve">바탕처리</t>
  </si>
  <si>
    <t xml:space="preserve">붓   칠</t>
  </si>
  <si>
    <t xml:space="preserve">뿜   칠</t>
  </si>
  <si>
    <t xml:space="preserve">녹막이
페인트</t>
  </si>
  <si>
    <t xml:space="preserve">내화도료(PSM)</t>
  </si>
  <si>
    <t xml:space="preserve">내화적용
(PSM 설비)</t>
  </si>
  <si>
    <t xml:space="preserve">직접 기준량
(㎡/TON)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</si>
  <si>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  <charset val="1"/>
      </rPr>
      <t xml:space="preserve">급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</si>
  <si>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  <charset val="1"/>
      </rPr>
      <t xml:space="preserve">급</t>
    </r>
  </si>
  <si>
    <t xml:space="preserve">EPOXY
PRIMER</t>
  </si>
  <si>
    <t xml:space="preserve">H.B SELF PRIMING
EPOXY MASTIC</t>
  </si>
  <si>
    <t xml:space="preserve">H.B EPOXY
MASTIC</t>
  </si>
  <si>
    <t xml:space="preserve">50MM</t>
  </si>
  <si>
    <t xml:space="preserve">100MM</t>
  </si>
  <si>
    <t xml:space="preserve">200MM</t>
  </si>
  <si>
    <t xml:space="preserve">기기류</t>
  </si>
  <si>
    <r>
      <rPr>
        <b val="true"/>
        <sz val="10"/>
        <color rgb="FFFFFFFF"/>
        <rFont val="맑은 고딕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  <charset val="1"/>
      </rPr>
      <t xml:space="preserve">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</si>
  <si>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소형TANK 및 HEATER</t>
  </si>
  <si>
    <t xml:space="preserve">강재류 설치</t>
  </si>
  <si>
    <t xml:space="preserve">O</t>
  </si>
  <si>
    <t xml:space="preserve">사급·MAKER 납품분 5% 적용</t>
  </si>
  <si>
    <r>
      <rPr>
        <sz val="10"/>
        <color rgb="FF0000FF"/>
        <rFont val="맑은 고딕"/>
        <family val="0"/>
        <charset val="1"/>
      </rPr>
      <t xml:space="preserve">COMPRESSOR </t>
    </r>
    <r>
      <rPr>
        <sz val="10"/>
        <color rgb="FF0000FF"/>
        <rFont val="Noto Sans CJK SC"/>
        <family val="2"/>
        <charset val="1"/>
      </rPr>
      <t xml:space="preserve">및 </t>
    </r>
    <r>
      <rPr>
        <sz val="10"/>
        <color rgb="FF0000FF"/>
        <rFont val="맑은 고딕"/>
        <family val="0"/>
        <charset val="1"/>
      </rPr>
      <t xml:space="preserve">PUMP</t>
    </r>
  </si>
  <si>
    <t xml:space="preserve">강재류 이설</t>
  </si>
  <si>
    <r>
      <rPr>
        <sz val="10"/>
        <color rgb="FF0000FF"/>
        <rFont val="맑은 고딕"/>
        <family val="0"/>
        <charset val="1"/>
      </rPr>
      <t xml:space="preserve">FAN 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</si>
  <si>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제작 공사 (산#3-3 참조)</t>
  </si>
  <si>
    <t xml:space="preserve">소재 공급분: 1급·PRIMER 뿜칠 GROSS, 중도·상도 NET, 보수 5%</t>
  </si>
  <si>
    <r>
      <rPr>
        <sz val="10"/>
        <color rgb="FF0000FF"/>
        <rFont val="맑은 고딕"/>
        <family val="0"/>
        <charset val="1"/>
      </rPr>
      <t xml:space="preserve">MOTOR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</si>
  <si>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배관 공사 (산#4-6 참조)</t>
  </si>
  <si>
    <t xml:space="preserve">도장제외=보온·STS·매설 등. 산세배관은 바탕처리 1급 제외(6-7). 내화도료 20/7/45는 원본 예시값</t>
  </si>
  <si>
    <t xml:space="preserve">DUCT</t>
  </si>
  <si>
    <t xml:space="preserve">철판, 형강류 (THK 4-4.5T)</t>
  </si>
  <si>
    <t xml:space="preserve">철판, 형강류 (THK 5-8T)</t>
  </si>
  <si>
    <t xml:space="preserve">※ 강재류 설치·이설은 기본물량산출의 작업구분(설치/이설) 합계(철거 제외)입니다. 기준량=품목 면적 x 5%(사급·MAKER 납품 'O')이며, O가 아니면 전체도장(1급·뿜칠)+보수 5%로 산출합니다.</t>
  </si>
  <si>
    <t xml:space="preserve">기타 (직접산출)</t>
  </si>
  <si>
    <t xml:space="preserve">직접산출</t>
  </si>
  <si>
    <t xml:space="preserve">※ 배관 1급·PRIMER 뿜칠은 배관소재 GROSS/NET 비율을 곱한 면적, 나머지는 도장면적(NET). 도장 길이는 배관부가물량에서 ROUNDUP(0) 적용됩니다.</t>
  </si>
  <si>
    <t xml:space="preserve">※ 도장 제외 물량: 도장 불필요 설치물량(TON) 입력. 기타 품목은 W열 '직접 기준량(㎡/TON)'에 입력.</t>
  </si>
  <si>
    <t xml:space="preserve">사급·MAKER 납품/보수도장 적용률</t>
  </si>
  <si>
    <t xml:space="preserve">※ 사급, Maker 납품분은 5% 만 적용한다.</t>
  </si>
  <si>
    <t xml:space="preserve">② 도장회수 및 두께 기준</t>
  </si>
  <si>
    <t xml:space="preserve">도료명</t>
  </si>
  <si>
    <t xml:space="preserve">하도(회)</t>
  </si>
  <si>
    <t xml:space="preserve">상도(회)</t>
  </si>
  <si>
    <t xml:space="preserve">도장두께(μ)</t>
  </si>
  <si>
    <t xml:space="preserve">일반조합</t>
  </si>
  <si>
    <r>
      <rPr>
        <sz val="10"/>
        <color rgb="FF0000FF"/>
        <rFont val="맑은 고딕"/>
        <family val="0"/>
        <charset val="1"/>
      </rPr>
      <t xml:space="preserve">105 </t>
    </r>
    <r>
      <rPr>
        <sz val="10"/>
        <color rgb="FF0000FF"/>
        <rFont val="Noto Sans CJK SC"/>
        <family val="2"/>
        <charset val="1"/>
      </rPr>
      <t xml:space="preserve">이상</t>
    </r>
  </si>
  <si>
    <t xml:space="preserve">TAR EPOXY</t>
  </si>
  <si>
    <t xml:space="preserve">300</t>
  </si>
  <si>
    <t xml:space="preserve">폴리우레탄</t>
  </si>
  <si>
    <t xml:space="preserve">175</t>
  </si>
  <si>
    <t xml:space="preserve">염화고무수지</t>
  </si>
  <si>
    <t xml:space="preserve">240</t>
  </si>
  <si>
    <r>
      <rPr>
        <sz val="10"/>
        <color rgb="FF0000FF"/>
        <rFont val="맑은 고딕"/>
        <family val="0"/>
        <charset val="1"/>
      </rPr>
      <t xml:space="preserve">EPOXY</t>
    </r>
    <r>
      <rPr>
        <sz val="10"/>
        <color rgb="FF0000FF"/>
        <rFont val="Noto Sans CJK SC"/>
        <family val="2"/>
        <charset val="1"/>
      </rPr>
      <t xml:space="preserve">수지</t>
    </r>
  </si>
  <si>
    <t xml:space="preserve">200</t>
  </si>
  <si>
    <t xml:space="preserve">실리콘알키드수지 내열</t>
  </si>
  <si>
    <t xml:space="preserve">40-80</t>
  </si>
  <si>
    <r>
      <rPr>
        <sz val="10"/>
        <color rgb="FF0000FF"/>
        <rFont val="맑은 고딕"/>
        <family val="0"/>
        <charset val="1"/>
      </rPr>
      <t xml:space="preserve">300℃ </t>
    </r>
    <r>
      <rPr>
        <sz val="10"/>
        <color rgb="FF0000FF"/>
        <rFont val="Noto Sans CJK SC"/>
        <family val="2"/>
        <charset val="1"/>
      </rPr>
      <t xml:space="preserve">이하</t>
    </r>
  </si>
  <si>
    <t xml:space="preserve">은분페인트(내열)</t>
  </si>
  <si>
    <t xml:space="preserve">40</t>
  </si>
  <si>
    <t xml:space="preserve">표식용 도료(염화고무도료)</t>
  </si>
  <si>
    <t xml:space="preserve">35</t>
  </si>
  <si>
    <r>
      <rPr>
        <b val="true"/>
        <sz val="10"/>
        <rFont val="맑은 고딕"/>
        <family val="0"/>
        <charset val="1"/>
      </rPr>
      <t xml:space="preserve">③ SUPPORT </t>
    </r>
    <r>
      <rPr>
        <b val="true"/>
        <sz val="10"/>
        <rFont val="Noto Sans CJK SC"/>
        <family val="2"/>
        <charset val="1"/>
      </rPr>
      <t xml:space="preserve">도장</t>
    </r>
  </si>
  <si>
    <t xml:space="preserve">부위</t>
  </si>
  <si>
    <t xml:space="preserve">하부 (BASE PLATE ~ 30cm)</t>
  </si>
  <si>
    <t xml:space="preserve">녹막이 페인트</t>
  </si>
  <si>
    <t xml:space="preserve">25</t>
  </si>
  <si>
    <t xml:space="preserve">EPOXY PRIMER</t>
  </si>
  <si>
    <t xml:space="preserve">75 X 2</t>
  </si>
  <si>
    <t xml:space="preserve">NON BLEED</t>
  </si>
  <si>
    <t xml:space="preserve">상부 (30cm 이후)</t>
  </si>
  <si>
    <t xml:space="preserve">일반조합 페인트</t>
  </si>
  <si>
    <t xml:space="preserve">35 X 2</t>
  </si>
  <si>
    <r>
      <rPr>
        <sz val="10"/>
        <color rgb="FF0000FF"/>
        <rFont val="맑은 고딕"/>
        <family val="0"/>
        <charset val="1"/>
      </rPr>
      <t xml:space="preserve">KS M 5312 1</t>
    </r>
    <r>
      <rPr>
        <sz val="10"/>
        <color rgb="FF0000FF"/>
        <rFont val="Noto Sans CJK SC"/>
        <family val="2"/>
        <charset val="1"/>
      </rPr>
      <t xml:space="preserve">급</t>
    </r>
  </si>
  <si>
    <r>
      <rPr>
        <b val="true"/>
        <sz val="14"/>
        <rFont val="맑은 고딕"/>
        <family val="0"/>
        <charset val="1"/>
      </rPr>
      <t xml:space="preserve">7. </t>
    </r>
    <r>
      <rPr>
        <b val="true"/>
        <sz val="14"/>
        <rFont val="Noto Sans CJK SC"/>
        <family val="2"/>
        <charset val="1"/>
      </rPr>
      <t xml:space="preserve">부대공사 </t>
    </r>
    <r>
      <rPr>
        <b val="true"/>
        <sz val="14"/>
        <rFont val="맑은 고딕"/>
        <family val="0"/>
        <charset val="1"/>
      </rPr>
      <t xml:space="preserve">- 7-1 </t>
    </r>
    <r>
      <rPr>
        <b val="true"/>
        <sz val="14"/>
        <rFont val="Noto Sans CJK SC"/>
        <family val="2"/>
        <charset val="1"/>
      </rPr>
      <t xml:space="preserve">용접봉량 </t>
    </r>
    <r>
      <rPr>
        <b val="true"/>
        <sz val="14"/>
        <rFont val="맑은 고딕"/>
        <family val="0"/>
        <charset val="1"/>
      </rPr>
      <t xml:space="preserve">/ 7-2 </t>
    </r>
    <r>
      <rPr>
        <b val="true"/>
        <sz val="14"/>
        <rFont val="Noto Sans CJK SC"/>
        <family val="2"/>
        <charset val="1"/>
      </rPr>
      <t xml:space="preserve">산소 소요량 </t>
    </r>
    <r>
      <rPr>
        <b val="true"/>
        <sz val="14"/>
        <rFont val="맑은 고딕"/>
        <family val="0"/>
        <charset val="1"/>
      </rPr>
      <t xml:space="preserve">/ 7-3 </t>
    </r>
    <r>
      <rPr>
        <b val="true"/>
        <sz val="14"/>
        <rFont val="Noto Sans CJK SC"/>
        <family val="2"/>
        <charset val="1"/>
      </rPr>
      <t xml:space="preserve">장비사용시간</t>
    </r>
  </si>
  <si>
    <t xml:space="preserve">범례: 파란 글씨=입력, 검정=수식, 노란 배경=입력 필요. 물량은 기본물량산출·배관집계·제작물량산출에서 자동 연동합니다.</t>
  </si>
  <si>
    <t xml:space="preserve">산# 7-1. 용접봉량 산출</t>
  </si>
  <si>
    <t xml:space="preserve">WELDING ROD</t>
  </si>
  <si>
    <t xml:space="preserve">TIG WIRE</t>
  </si>
  <si>
    <t xml:space="preserve">품종
(기준량 선택)</t>
  </si>
  <si>
    <t xml:space="preserve">TOTAL WEIGHT
(TON)</t>
  </si>
  <si>
    <t xml:space="preserve">용접제외
물량(TON)</t>
  </si>
  <si>
    <t xml:space="preserve">용접적용
물량(TON)</t>
  </si>
  <si>
    <t xml:space="preserve">기준량
(KG/TON)</t>
  </si>
  <si>
    <t xml:space="preserve">용접봉
종류</t>
  </si>
  <si>
    <r>
      <rPr>
        <b val="true"/>
        <sz val="10"/>
        <color rgb="FFFFFFFF"/>
        <rFont val="맑은 고딕"/>
        <family val="0"/>
        <charset val="1"/>
      </rPr>
      <t xml:space="preserve">TIG
</t>
    </r>
    <r>
      <rPr>
        <b val="true"/>
        <sz val="10"/>
        <color rgb="FFFFFFFF"/>
        <rFont val="Noto Sans CJK SC"/>
        <family val="2"/>
        <charset val="1"/>
      </rPr>
      <t xml:space="preserve">종류</t>
    </r>
  </si>
  <si>
    <r>
      <rPr>
        <b val="true"/>
        <sz val="10"/>
        <color rgb="FFFFFFFF"/>
        <rFont val="맑은 고딕"/>
        <family val="0"/>
        <charset val="1"/>
      </rPr>
      <t xml:space="preserve">TIG
</t>
    </r>
    <r>
      <rPr>
        <b val="true"/>
        <sz val="10"/>
        <color rgb="FFFFFFFF"/>
        <rFont val="Noto Sans CJK SC"/>
        <family val="2"/>
        <charset val="1"/>
      </rPr>
      <t xml:space="preserve">비율</t>
    </r>
  </si>
  <si>
    <t xml:space="preserve">E4301</t>
  </si>
  <si>
    <t xml:space="preserve">E4316</t>
  </si>
  <si>
    <t xml:space="preserve">AWS
E308-16</t>
  </si>
  <si>
    <t xml:space="preserve">연강용</t>
  </si>
  <si>
    <t xml:space="preserve">STS</t>
  </si>
  <si>
    <t xml:space="preserve">용접봉 합계
(KG)</t>
  </si>
  <si>
    <t xml:space="preserve">배관류 설치 (SPPS)</t>
  </si>
  <si>
    <t xml:space="preserve">배관 1000A 미만</t>
  </si>
  <si>
    <t xml:space="preserve">제작물량산출 품종별(자동)</t>
  </si>
  <si>
    <t xml:space="preserve">용접봉=F06(전력)÷2.25 x 0.33 x 제작중량</t>
  </si>
  <si>
    <t xml:space="preserve">용접봉 합계 (E4301+E4316+AWS, KG)</t>
  </si>
  <si>
    <r>
      <rPr>
        <sz val="10"/>
        <rFont val="맑은 고딕"/>
        <family val="0"/>
        <charset val="1"/>
      </rPr>
      <t xml:space="preserve">TIG WIRE </t>
    </r>
    <r>
      <rPr>
        <sz val="10"/>
        <rFont val="Noto Sans CJK SC"/>
        <family val="2"/>
        <charset val="1"/>
      </rPr>
      <t xml:space="preserve">합계 </t>
    </r>
    <r>
      <rPr>
        <sz val="10"/>
        <rFont val="맑은 고딕"/>
        <family val="0"/>
        <charset val="1"/>
      </rPr>
      <t xml:space="preserve">(KG)</t>
    </r>
  </si>
  <si>
    <t xml:space="preserve">※ 배관 용접봉량 중 TIG 1/3, 용접봉 2/3 (6-6 예시). 제작공사는 공장용접 기준(제작물량산출 14행). 기준량이 '실용접장산출' 등 문자인 품종은 실 용접장 산출 후 별도 입력.</t>
  </si>
  <si>
    <t xml:space="preserve">산# 7-2. 산소(OXYGEN) 소요량 산출</t>
  </si>
  <si>
    <t xml:space="preserve">품  명</t>
  </si>
  <si>
    <t xml:space="preserve">품종
(산소 기준 선택)</t>
  </si>
  <si>
    <t xml:space="preserve">물  량
(TON)</t>
  </si>
  <si>
    <t xml:space="preserve">기 준 량
(M3/TON)</t>
  </si>
  <si>
    <t xml:space="preserve">소 요 량
(M3)</t>
  </si>
  <si>
    <t xml:space="preserve">강재류 [설치]</t>
  </si>
  <si>
    <t xml:space="preserve">강재 STAND 설치</t>
  </si>
  <si>
    <t xml:space="preserve">강재류 [이설]</t>
  </si>
  <si>
    <t xml:space="preserve">배관류 설치(Ø1000미만)</t>
  </si>
  <si>
    <t xml:space="preserve">배관류(1000A미만) [설치]</t>
  </si>
  <si>
    <t xml:space="preserve">배관류 철거(Ø1000미만)</t>
  </si>
  <si>
    <t xml:space="preserve">배관류(1000A미만) [철거]</t>
  </si>
  <si>
    <t xml:space="preserve">강재류 [철거]</t>
  </si>
  <si>
    <t xml:space="preserve">TOTAL (M3)</t>
  </si>
  <si>
    <t xml:space="preserve">※ 기준량은 품종 선택(드롭다운)으로 부대기준 ③표에서 조회. 원본 양식 예시는 강재류 설치에 '기기류 [설치] 2.4', 기기강재류 철거에 배관 철거 3.3을 사용 → 본 시트는 표준 품종(강재류 5.4 / 강재류 철거 2.7) 기본값, 필요 시 변경.</t>
  </si>
  <si>
    <t xml:space="preserve">산# 7-3. 장비 사용 시간 산출</t>
  </si>
  <si>
    <t xml:space="preserve">규격</t>
  </si>
  <si>
    <t xml:space="preserve">산  식</t>
  </si>
  <si>
    <t xml:space="preserve">산출시간
(HR)</t>
  </si>
  <si>
    <r>
      <rPr>
        <b val="true"/>
        <sz val="10"/>
        <color rgb="FFFFFFFF"/>
        <rFont val="맑은 고딕"/>
        <family val="0"/>
        <charset val="1"/>
      </rPr>
      <t xml:space="preserve">8HR/DAY
(</t>
    </r>
    <r>
      <rPr>
        <b val="true"/>
        <sz val="10"/>
        <color rgb="FFFFFFFF"/>
        <rFont val="Noto Sans CJK SC"/>
        <family val="2"/>
        <charset val="1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</si>
  <si>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적용
(HR)</t>
  </si>
  <si>
    <t xml:space="preserve">기본물량 장비</t>
  </si>
  <si>
    <t xml:space="preserve">기본물량산출 장비일수 x 8HR</t>
  </si>
  <si>
    <t xml:space="preserve">WELDER</t>
  </si>
  <si>
    <t xml:space="preserve">AC 200A</t>
  </si>
  <si>
    <t xml:space="preserve">KG ÷ 0.4KG/M x 0.026MD/M x 8HR ÷ 0.3 x 0.7</t>
  </si>
  <si>
    <t xml:space="preserve">현장 용접, 정수 버림</t>
  </si>
  <si>
    <t xml:space="preserve">AC 300A</t>
  </si>
  <si>
    <t xml:space="preserve">KG ÷ 0.4KG/M x 0.026MD/M x 8HR ÷ 0.3 x 0.3</t>
  </si>
  <si>
    <t xml:space="preserve">TIG</t>
  </si>
  <si>
    <t xml:space="preserve">KG ÷ 0.4KG/M x 0.026MD/M x 8HR ÷ 0.3</t>
  </si>
  <si>
    <r>
      <rPr>
        <i val="true"/>
        <sz val="10"/>
        <color rgb="FF666666"/>
        <rFont val="맑은 고딕"/>
        <family val="0"/>
        <charset val="1"/>
      </rPr>
      <t xml:space="preserve">※ WELDER </t>
    </r>
    <r>
      <rPr>
        <i val="true"/>
        <sz val="10"/>
        <color rgb="FF666666"/>
        <rFont val="Noto Sans CJK SC"/>
        <family val="2"/>
        <charset val="1"/>
      </rPr>
      <t xml:space="preserve">시간은 현장 용접 기준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용접효율 </t>
    </r>
    <r>
      <rPr>
        <i val="true"/>
        <sz val="10"/>
        <color rgb="FF666666"/>
        <rFont val="맑은 고딕"/>
        <family val="0"/>
        <charset val="1"/>
      </rPr>
      <t xml:space="preserve">0.3). </t>
    </r>
    <r>
      <rPr>
        <i val="true"/>
        <sz val="10"/>
        <color rgb="FF666666"/>
        <rFont val="Noto Sans CJK SC"/>
        <family val="2"/>
        <charset val="1"/>
      </rPr>
      <t xml:space="preserve">적용시간은 정수 버림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원본 양식 예시 </t>
    </r>
    <r>
      <rPr>
        <i val="true"/>
        <sz val="10"/>
        <color rgb="FF666666"/>
        <rFont val="맑은 고딕"/>
        <family val="0"/>
        <charset val="1"/>
      </rPr>
      <t xml:space="preserve">254/109/34HR</t>
    </r>
    <r>
      <rPr>
        <i val="true"/>
        <sz val="10"/>
        <color rgb="FF666666"/>
        <rFont val="Noto Sans CJK SC"/>
        <family val="2"/>
        <charset val="1"/>
      </rPr>
      <t xml:space="preserve">와 동일 방식</t>
    </r>
    <r>
      <rPr>
        <i val="true"/>
        <sz val="10"/>
        <color rgb="FF666666"/>
        <rFont val="맑은 고딕"/>
        <family val="0"/>
        <charset val="1"/>
      </rPr>
      <t xml:space="preserve">). 7-6~7-9(BOX </t>
    </r>
    <r>
      <rPr>
        <i val="true"/>
        <sz val="10"/>
        <color rgb="FF666666"/>
        <rFont val="Noto Sans CJK SC"/>
        <family val="2"/>
        <charset val="1"/>
      </rPr>
      <t xml:space="preserve">개곤</t>
    </r>
    <r>
      <rPr>
        <i val="true"/>
        <sz val="10"/>
        <color rgb="FF666666"/>
        <rFont val="맑은 고딕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  <charset val="1"/>
      </rPr>
      <t xml:space="preserve">가설 사무실</t>
    </r>
    <r>
      <rPr>
        <i val="true"/>
        <sz val="10"/>
        <color rgb="FF666666"/>
        <rFont val="맑은 고딕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  <charset val="1"/>
      </rPr>
      <t xml:space="preserve">비계</t>
    </r>
    <r>
      <rPr>
        <i val="true"/>
        <sz val="10"/>
        <color rgb="FF666666"/>
        <rFont val="맑은 고딕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  <charset val="1"/>
      </rPr>
      <t xml:space="preserve">기타</t>
    </r>
    <r>
      <rPr>
        <i val="true"/>
        <sz val="10"/>
        <color rgb="FF666666"/>
        <rFont val="맑은 고딕"/>
        <family val="0"/>
        <charset val="1"/>
      </rPr>
      <t xml:space="preserve">)</t>
    </r>
    <r>
      <rPr>
        <i val="true"/>
        <sz val="10"/>
        <color rgb="FF666666"/>
        <rFont val="Noto Sans CJK SC"/>
        <family val="2"/>
        <charset val="1"/>
      </rPr>
      <t xml:space="preserve">는 다음 단계 양식 수령 후 작성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</si>
  <si>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7. </t>
    </r>
    <r>
      <rPr>
        <b val="true"/>
        <sz val="14"/>
        <rFont val="Noto Sans CJK SC"/>
        <family val="2"/>
        <charset val="1"/>
      </rPr>
      <t xml:space="preserve">부대공사 </t>
    </r>
    <r>
      <rPr>
        <b val="true"/>
        <sz val="14"/>
        <rFont val="맑은 고딕"/>
        <family val="0"/>
        <charset val="1"/>
      </rPr>
      <t xml:space="preserve">- 7-4 </t>
    </r>
    <r>
      <rPr>
        <b val="true"/>
        <sz val="14"/>
        <rFont val="Noto Sans CJK SC"/>
        <family val="2"/>
        <charset val="1"/>
      </rPr>
      <t xml:space="preserve">운반 물량 </t>
    </r>
    <r>
      <rPr>
        <b val="true"/>
        <sz val="14"/>
        <rFont val="맑은 고딕"/>
        <family val="0"/>
        <charset val="1"/>
      </rPr>
      <t xml:space="preserve">/ 7-5 SCRAP </t>
    </r>
    <r>
      <rPr>
        <b val="true"/>
        <sz val="14"/>
        <rFont val="Noto Sans CJK SC"/>
        <family val="2"/>
        <charset val="1"/>
      </rPr>
      <t xml:space="preserve">물량</t>
    </r>
  </si>
  <si>
    <t xml:space="preserve">범례: 파란 글씨=입력, 검정=수식, 노란 배경=입력 필요. 운반 물량은 집계(운반적용=Y)·제작·배관 SCRAP과 연동.</t>
  </si>
  <si>
    <t xml:space="preserve">구내운반 거리</t>
  </si>
  <si>
    <t xml:space="preserve">2KM</t>
  </si>
  <si>
    <t xml:space="preserve">운반 할증 기준</t>
  </si>
  <si>
    <t xml:space="preserve">당사</t>
  </si>
  <si>
    <t xml:space="preserve">산# 7-5. SCRAP 물량 산출</t>
  </si>
  <si>
    <t xml:space="preserve">배관 소재 SCRAP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</si>
  <si>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소재 </t>
    </r>
    <r>
      <rPr>
        <sz val="10"/>
        <rFont val="맑은 고딕"/>
        <family val="0"/>
        <charset val="1"/>
      </rPr>
      <t xml:space="preserve">GROSS-NET) x 70%</t>
    </r>
  </si>
  <si>
    <t xml:space="preserve">제작 소재 SCRAP</t>
  </si>
  <si>
    <t xml:space="preserve">가설강재 철거 SCRAP</t>
  </si>
  <si>
    <t xml:space="preserve">가설강재 철거 물량 100% 공제 (입력)</t>
  </si>
  <si>
    <t xml:space="preserve">계 (TON)</t>
  </si>
  <si>
    <t xml:space="preserve">산# 7-4. 운반 물량 산출</t>
  </si>
  <si>
    <t xml:space="preserve">성 품
운 반</t>
  </si>
  <si>
    <r>
      <rPr>
        <b val="true"/>
        <sz val="10"/>
        <color rgb="FFFFFFFF"/>
        <rFont val="맑은 고딕"/>
        <family val="0"/>
        <charset val="1"/>
      </rPr>
      <t xml:space="preserve">SCRAP
</t>
    </r>
    <r>
      <rPr>
        <b val="true"/>
        <sz val="10"/>
        <color rgb="FFFFFFFF"/>
        <rFont val="Noto Sans CJK SC"/>
        <family val="2"/>
        <charset val="1"/>
      </rPr>
      <t xml:space="preserve">운 반</t>
    </r>
  </si>
  <si>
    <t xml:space="preserve">바탕처리재
운 반</t>
  </si>
  <si>
    <t xml:space="preserve">합  계</t>
  </si>
  <si>
    <t xml:space="preserve">성품 하차</t>
  </si>
  <si>
    <t xml:space="preserve">성품 상·하차(운반적용=Y 설치물량)</t>
  </si>
  <si>
    <t xml:space="preserve">성품현장소운반(상차+운반+하차) 해당물량의 70%</t>
  </si>
  <si>
    <t xml:space="preserve">바탕처리재 운반</t>
  </si>
  <si>
    <r>
      <rPr>
        <sz val="10"/>
        <rFont val="맑은 고딕"/>
        <family val="0"/>
        <charset val="1"/>
      </rPr>
      <t xml:space="preserve">SHOT</t>
    </r>
    <r>
      <rPr>
        <sz val="10"/>
        <rFont val="Noto Sans CJK SC"/>
        <family val="2"/>
        <charset val="1"/>
      </rPr>
      <t xml:space="preserve">장 ↔ 제작장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소재 </t>
    </r>
    <r>
      <rPr>
        <sz val="10"/>
        <rFont val="맑은 고딕"/>
        <family val="0"/>
        <charset val="1"/>
      </rPr>
      <t xml:space="preserve">GROSS)</t>
    </r>
  </si>
  <si>
    <t xml:space="preserve">철거재 운반 (폐기대상만 적용)</t>
  </si>
  <si>
    <t xml:space="preserve">폐기대상만 적용</t>
  </si>
  <si>
    <t xml:space="preserve">소재 SCRAP + 가설재 철거분</t>
  </si>
  <si>
    <t xml:space="preserve">산세배관 운반 (왕복적용)</t>
  </si>
  <si>
    <t xml:space="preserve">배관집계 산세 FLAG ○ 대상 중량(왕복적용)</t>
  </si>
  <si>
    <r>
      <rPr>
        <sz val="10"/>
        <color rgb="FF0000FF"/>
        <rFont val="맑은 고딕"/>
        <family val="0"/>
        <charset val="1"/>
      </rPr>
      <t xml:space="preserve">O.H.C TEST</t>
    </r>
    <r>
      <rPr>
        <sz val="10"/>
        <color rgb="FF0000FF"/>
        <rFont val="Noto Sans CJK SC"/>
        <family val="2"/>
        <charset val="1"/>
      </rPr>
      <t xml:space="preserve">용 </t>
    </r>
    <r>
      <rPr>
        <sz val="10"/>
        <color rgb="FF0000FF"/>
        <rFont val="맑은 고딕"/>
        <family val="0"/>
        <charset val="1"/>
      </rPr>
      <t xml:space="preserve">SLAB (</t>
    </r>
    <r>
      <rPr>
        <sz val="10"/>
        <color rgb="FF0000FF"/>
        <rFont val="Noto Sans CJK SC"/>
        <family val="2"/>
        <charset val="1"/>
      </rPr>
      <t xml:space="preserve">왕복적용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</si>
  <si>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O.H.C </t>
    </r>
    <r>
      <rPr>
        <sz val="10"/>
        <rFont val="Noto Sans CJK SC"/>
        <family val="2"/>
        <charset val="1"/>
      </rPr>
      <t xml:space="preserve">용량 </t>
    </r>
    <r>
      <rPr>
        <sz val="10"/>
        <rFont val="맑은 고딕"/>
        <family val="0"/>
        <charset val="1"/>
      </rPr>
      <t xml:space="preserve">x 125%</t>
    </r>
  </si>
  <si>
    <t xml:space="preserve">연관단지 성품운반</t>
  </si>
  <si>
    <t xml:space="preserve">운반 할증 (성품, 단중·길이 기준)</t>
  </si>
  <si>
    <t xml:space="preserve">단중
(TON/개)</t>
  </si>
  <si>
    <t xml:space="preserve">물량
(TON)</t>
  </si>
  <si>
    <t xml:space="preserve">길이
(M)</t>
  </si>
  <si>
    <t xml:space="preserve">중량할증</t>
  </si>
  <si>
    <t xml:space="preserve">장척물할증</t>
  </si>
  <si>
    <t xml:space="preserve">적용할증
(높은 1종)</t>
  </si>
  <si>
    <t xml:space="preserve">할증물량
(TON)</t>
  </si>
  <si>
    <t xml:space="preserve">※ 운반비 기준: 상·하차 지게차(7.5Ton) 1회 20분, 항만하역 기본요금 적용, 중량톤·용적톤 중 큰 톤수(1용적톤=1.133㎥). 운반거리는 구내 2/4/6KM. 길이(F열)는 장척물만 입력(9M 이하 0).</t>
  </si>
  <si>
    <r>
      <rPr>
        <i val="true"/>
        <sz val="10"/>
        <color rgb="FF666666"/>
        <rFont val="맑은 고딕"/>
        <family val="0"/>
        <charset val="1"/>
      </rPr>
      <t xml:space="preserve">※ SCRAP: </t>
    </r>
    <r>
      <rPr>
        <i val="true"/>
        <sz val="10"/>
        <color rgb="FF666666"/>
        <rFont val="Noto Sans CJK SC"/>
        <family val="2"/>
        <charset val="1"/>
      </rPr>
      <t xml:space="preserve">고철 </t>
    </r>
    <r>
      <rPr>
        <i val="true"/>
        <sz val="10"/>
        <color rgb="FF666666"/>
        <rFont val="맑은 고딕"/>
        <family val="0"/>
        <charset val="1"/>
      </rPr>
      <t xml:space="preserve">70% </t>
    </r>
    <r>
      <rPr>
        <i val="true"/>
        <sz val="10"/>
        <color rgb="FF666666"/>
        <rFont val="Noto Sans CJK SC"/>
        <family val="2"/>
        <charset val="1"/>
      </rPr>
      <t xml:space="preserve">공제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가설강재 철거 </t>
    </r>
    <r>
      <rPr>
        <i val="true"/>
        <sz val="10"/>
        <color rgb="FF666666"/>
        <rFont val="맑은 고딕"/>
        <family val="0"/>
        <charset val="1"/>
      </rPr>
      <t xml:space="preserve">100% </t>
    </r>
    <r>
      <rPr>
        <i val="true"/>
        <sz val="10"/>
        <color rgb="FF666666"/>
        <rFont val="Noto Sans CJK SC"/>
        <family val="2"/>
        <charset val="1"/>
      </rPr>
      <t xml:space="preserve">공제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본 설비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기존설비</t>
    </r>
    <r>
      <rPr>
        <i val="true"/>
        <sz val="10"/>
        <color rgb="FF666666"/>
        <rFont val="맑은 고딕"/>
        <family val="0"/>
        <charset val="1"/>
      </rPr>
      <t xml:space="preserve">) </t>
    </r>
    <r>
      <rPr>
        <i val="true"/>
        <sz val="10"/>
        <color rgb="FF666666"/>
        <rFont val="Noto Sans CJK SC"/>
        <family val="2"/>
        <charset val="1"/>
      </rPr>
      <t xml:space="preserve">철거는 계상하지 않고 운반비만 적용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일반사항 </t>
    </r>
    <r>
      <rPr>
        <i val="true"/>
        <sz val="10"/>
        <color rgb="FF666666"/>
        <rFont val="맑은 고딕"/>
        <family val="0"/>
        <charset val="1"/>
      </rPr>
      <t xml:space="preserve">17). </t>
    </r>
    <r>
      <rPr>
        <i val="true"/>
        <sz val="10"/>
        <color rgb="FF666666"/>
        <rFont val="Noto Sans CJK SC"/>
        <family val="2"/>
        <charset val="1"/>
      </rPr>
      <t xml:space="preserve">철거재 운반은 집계 시트 </t>
    </r>
    <r>
      <rPr>
        <i val="true"/>
        <sz val="10"/>
        <color rgb="FF666666"/>
        <rFont val="맑은 고딕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  <charset val="1"/>
      </rPr>
      <t xml:space="preserve">운반적용</t>
    </r>
    <r>
      <rPr>
        <i val="true"/>
        <sz val="10"/>
        <color rgb="FF666666"/>
        <rFont val="맑은 고딕"/>
        <family val="0"/>
        <charset val="1"/>
      </rPr>
      <t xml:space="preserve">=Y'(</t>
    </r>
    <r>
      <rPr>
        <i val="true"/>
        <sz val="10"/>
        <color rgb="FF666666"/>
        <rFont val="Noto Sans CJK SC"/>
        <family val="2"/>
        <charset val="1"/>
      </rPr>
      <t xml:space="preserve">폐기대상</t>
    </r>
    <r>
      <rPr>
        <i val="true"/>
        <sz val="10"/>
        <color rgb="FF666666"/>
        <rFont val="맑은 고딕"/>
        <family val="0"/>
        <charset val="1"/>
      </rPr>
      <t xml:space="preserve">) </t>
    </r>
    <r>
      <rPr>
        <i val="true"/>
        <sz val="10"/>
        <color rgb="FF666666"/>
        <rFont val="Noto Sans CJK SC"/>
        <family val="2"/>
        <charset val="1"/>
      </rPr>
      <t xml:space="preserve">철거 행만 반영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</si>
  <si>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7. </t>
    </r>
    <r>
      <rPr>
        <b val="true"/>
        <sz val="14"/>
        <rFont val="Noto Sans CJK SC"/>
        <family val="2"/>
        <charset val="1"/>
      </rPr>
      <t xml:space="preserve">부대공사 </t>
    </r>
    <r>
      <rPr>
        <b val="true"/>
        <sz val="14"/>
        <rFont val="맑은 고딕"/>
        <family val="0"/>
        <charset val="1"/>
      </rPr>
      <t xml:space="preserve">- 7-1 </t>
    </r>
    <r>
      <rPr>
        <b val="true"/>
        <sz val="14"/>
        <rFont val="Noto Sans CJK SC"/>
        <family val="2"/>
        <charset val="1"/>
      </rPr>
      <t xml:space="preserve">가설공사 물량집계 </t>
    </r>
    <r>
      <rPr>
        <b val="true"/>
        <sz val="14"/>
        <rFont val="맑은 고딕"/>
        <family val="0"/>
        <charset val="1"/>
      </rPr>
      <t xml:space="preserve">/ 7-6 </t>
    </r>
    <r>
      <rPr>
        <b val="true"/>
        <sz val="14"/>
        <rFont val="Noto Sans CJK SC"/>
        <family val="2"/>
        <charset val="1"/>
      </rPr>
      <t xml:space="preserve">기자재 </t>
    </r>
    <r>
      <rPr>
        <b val="true"/>
        <sz val="14"/>
        <rFont val="맑은 고딕"/>
        <family val="0"/>
        <charset val="1"/>
      </rPr>
      <t xml:space="preserve">BOX </t>
    </r>
    <r>
      <rPr>
        <b val="true"/>
        <sz val="14"/>
        <rFont val="Noto Sans CJK SC"/>
        <family val="2"/>
        <charset val="1"/>
      </rPr>
      <t xml:space="preserve">개곤 </t>
    </r>
    <r>
      <rPr>
        <b val="true"/>
        <sz val="14"/>
        <rFont val="맑은 고딕"/>
        <family val="0"/>
        <charset val="1"/>
      </rPr>
      <t xml:space="preserve">/ 7-7 </t>
    </r>
    <r>
      <rPr>
        <b val="true"/>
        <sz val="14"/>
        <rFont val="Noto Sans CJK SC"/>
        <family val="2"/>
        <charset val="1"/>
      </rPr>
      <t xml:space="preserve">가설 사무실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  <charset val="1"/>
      </rPr>
      <t xml:space="preserve">창고 </t>
    </r>
    <r>
      <rPr>
        <b val="true"/>
        <sz val="14"/>
        <rFont val="맑은 고딕"/>
        <family val="0"/>
        <charset val="1"/>
      </rPr>
      <t xml:space="preserve">/ 7-8 </t>
    </r>
    <r>
      <rPr>
        <b val="true"/>
        <sz val="14"/>
        <rFont val="Noto Sans CJK SC"/>
        <family val="2"/>
        <charset val="1"/>
      </rPr>
      <t xml:space="preserve">비계면적</t>
    </r>
  </si>
  <si>
    <t xml:space="preserve">범례: 파란 글씨=입력, 검정=수식, 노란 배경=입력 필요. 물량은 기본물량산출·배관집계·제작물량산출·집계·부대운반SCRAP에서 자동 연동합니다.</t>
  </si>
  <si>
    <t xml:space="preserve">근거: MANUAL 3-8 가설공사(가설자재 월 손율, 가설침목, 공통가설 기준, 기자재 BOX 개곤), 3-7 장비(월 가동일수 포항 21.5/광양 21.8), 원본 양식 7-1/7-6/7-7/7-8.</t>
  </si>
  <si>
    <t xml:space="preserve">산# 7-1. 가설공사 물량집계</t>
  </si>
  <si>
    <t xml:space="preserve">공기 · 직접노무비 산정 (7-7)</t>
  </si>
  <si>
    <t xml:space="preserve">내 용</t>
  </si>
  <si>
    <t xml:space="preserve">구 분</t>
  </si>
  <si>
    <t xml:space="preserve">기준물량
(TON / M)</t>
  </si>
  <si>
    <r>
      <rPr>
        <b val="true"/>
        <sz val="10"/>
        <color rgb="FFFFFFFF"/>
        <rFont val="맑은 고딕"/>
        <family val="0"/>
        <charset val="1"/>
      </rPr>
      <t xml:space="preserve">÷ </t>
    </r>
    <r>
      <rPr>
        <b val="true"/>
        <sz val="10"/>
        <color rgb="FFFFFFFF"/>
        <rFont val="Noto Sans CJK SC"/>
        <family val="2"/>
        <charset val="1"/>
      </rPr>
      <t xml:space="preserve">환산기준</t>
    </r>
  </si>
  <si>
    <t xml:space="preserve">수 량</t>
  </si>
  <si>
    <t xml:space="preserve">중 량</t>
  </si>
  <si>
    <t xml:space="preserve">적용 FACTOR / 품셈코드</t>
  </si>
  <si>
    <t xml:space="preserve">비 고</t>
  </si>
  <si>
    <t xml:space="preserve">손료 (원)
참고</t>
  </si>
  <si>
    <t xml:space="preserve">총 장비사용일수 (설치+철거, DAY)</t>
  </si>
  <si>
    <t xml:space="preserve">콘테이너형 가설사무실</t>
  </si>
  <si>
    <r>
      <rPr>
        <sz val="10"/>
        <rFont val="맑은 고딕"/>
        <family val="0"/>
        <charset val="1"/>
      </rPr>
      <t xml:space="preserve">3.0m x 9m (27</t>
    </r>
    <r>
      <rPr>
        <sz val="10"/>
        <rFont val="Noto Sans CJK SC"/>
        <family val="2"/>
        <charset val="1"/>
      </rPr>
      <t xml:space="preserve">㎡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  <charset val="1"/>
      </rPr>
      <t xml:space="preserve">조립식 적용 시 수급자 ㎡</t>
    </r>
  </si>
  <si>
    <t xml:space="preserve">공사일수 환산계수 (공사일수/장비일수)</t>
  </si>
  <si>
    <t xml:space="preserve">콘테이너형 가설창고</t>
  </si>
  <si>
    <r>
      <rPr>
        <sz val="10"/>
        <rFont val="맑은 고딕"/>
        <family val="0"/>
        <charset val="1"/>
      </rPr>
      <t xml:space="preserve">3.0m x 6m (18</t>
    </r>
    <r>
      <rPr>
        <sz val="10"/>
        <rFont val="Noto Sans CJK SC"/>
        <family val="2"/>
        <charset val="1"/>
      </rPr>
      <t xml:space="preserve">㎡</t>
    </r>
    <r>
      <rPr>
        <sz val="10"/>
        <rFont val="맑은 고딕"/>
        <family val="0"/>
        <charset val="1"/>
      </rPr>
      <t xml:space="preserve">)</t>
    </r>
  </si>
  <si>
    <t xml:space="preserve">공사 일수 (일)</t>
  </si>
  <si>
    <t xml:space="preserve">포세식 (정화조 별도)</t>
  </si>
  <si>
    <t xml:space="preserve">월 가동일수 (포항 21.5 / 광양 21.8)</t>
  </si>
  <si>
    <t xml:space="preserve">가설비계</t>
  </si>
  <si>
    <t xml:space="preserve">강관 비계</t>
  </si>
  <si>
    <r>
      <rPr>
        <sz val="10"/>
        <rFont val="맑은 고딕"/>
        <family val="0"/>
        <charset val="1"/>
      </rPr>
      <t xml:space="preserve">7-8 </t>
    </r>
    <r>
      <rPr>
        <sz val="10"/>
        <rFont val="Noto Sans CJK SC"/>
        <family val="2"/>
        <charset val="1"/>
      </rPr>
      <t xml:space="preserve">비계면적</t>
    </r>
  </si>
  <si>
    <t xml:space="preserve">공사 개월 (자동)</t>
  </si>
  <si>
    <t xml:space="preserve">안전발판</t>
  </si>
  <si>
    <t xml:space="preserve">공사 개월 직접입력 (선택)</t>
  </si>
  <si>
    <t xml:space="preserve">S01=1,R01=AM180135002,</t>
  </si>
  <si>
    <t xml:space="preserve">도급자재(PIPE), 5TON당 1개</t>
  </si>
  <si>
    <t xml:space="preserve">적용 공사 개월</t>
  </si>
  <si>
    <t xml:space="preserve">W5990-103</t>
  </si>
  <si>
    <r>
      <rPr>
        <sz val="10"/>
        <rFont val="맑은 고딕"/>
        <family val="0"/>
        <charset val="1"/>
      </rPr>
      <t xml:space="preserve">100A </t>
    </r>
    <r>
      <rPr>
        <sz val="10"/>
        <rFont val="Noto Sans CJK SC"/>
        <family val="2"/>
        <charset val="1"/>
      </rPr>
      <t xml:space="preserve">미만 </t>
    </r>
    <r>
      <rPr>
        <sz val="10"/>
        <rFont val="맑은 고딕"/>
        <family val="0"/>
        <charset val="1"/>
      </rPr>
      <t xml:space="preserve">PIPE (10TON</t>
    </r>
    <r>
      <rPr>
        <sz val="10"/>
        <rFont val="Noto Sans CJK SC"/>
        <family val="2"/>
        <charset val="1"/>
      </rPr>
      <t xml:space="preserve">당 </t>
    </r>
    <r>
      <rPr>
        <sz val="10"/>
        <rFont val="맑은 고딕"/>
        <family val="0"/>
        <charset val="1"/>
      </rPr>
      <t xml:space="preserve">1SET)</t>
    </r>
  </si>
  <si>
    <t xml:space="preserve">직접노무비 (원) - 입력</t>
  </si>
  <si>
    <t xml:space="preserve">W5990-203</t>
  </si>
  <si>
    <t xml:space="preserve">현장제작 설치물량 기준 (30TON당 1SET)</t>
  </si>
  <si>
    <t xml:space="preserve">적용 구간</t>
  </si>
  <si>
    <t xml:space="preserve">W5990-303</t>
  </si>
  <si>
    <r>
      <rPr>
        <sz val="10"/>
        <rFont val="맑은 고딕"/>
        <family val="0"/>
        <charset val="1"/>
      </rPr>
      <t xml:space="preserve">1SET/30M </t>
    </r>
    <r>
      <rPr>
        <sz val="10"/>
        <rFont val="Noto Sans CJK SC"/>
        <family val="2"/>
        <charset val="1"/>
      </rPr>
      <t xml:space="preserve">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현장</t>
    </r>
    <r>
      <rPr>
        <sz val="10"/>
        <rFont val="맑은 고딕"/>
        <family val="0"/>
        <charset val="1"/>
      </rPr>
      <t xml:space="preserve">) - </t>
    </r>
    <r>
      <rPr>
        <sz val="10"/>
        <rFont val="Noto Sans CJK SC"/>
        <family val="2"/>
        <charset val="1"/>
      </rPr>
      <t xml:space="preserve">설치장소 반경</t>
    </r>
    <r>
      <rPr>
        <sz val="10"/>
        <rFont val="맑은 고딕"/>
        <family val="0"/>
        <charset val="1"/>
      </rPr>
      <t xml:space="preserve">(M) </t>
    </r>
    <r>
      <rPr>
        <sz val="10"/>
        <rFont val="Noto Sans CJK SC"/>
        <family val="2"/>
        <charset val="1"/>
      </rPr>
      <t xml:space="preserve">입력</t>
    </r>
  </si>
  <si>
    <t xml:space="preserve">적용 손율 (%)</t>
  </si>
  <si>
    <t xml:space="preserve">W5990-403</t>
  </si>
  <si>
    <t xml:space="preserve">배관설치 물량기준 (10TON당 1조)</t>
  </si>
  <si>
    <t xml:space="preserve">적용 방식</t>
  </si>
  <si>
    <r>
      <rPr>
        <sz val="10"/>
        <rFont val="맑은 고딕"/>
        <family val="0"/>
        <charset val="1"/>
      </rPr>
      <t xml:space="preserve">SCRAP (</t>
    </r>
    <r>
      <rPr>
        <sz val="10"/>
        <rFont val="Noto Sans CJK SC"/>
        <family val="2"/>
        <charset val="1"/>
      </rPr>
      <t xml:space="preserve">배관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제작 소재 </t>
    </r>
    <r>
      <rPr>
        <sz val="10"/>
        <rFont val="맑은 고딕"/>
        <family val="0"/>
        <charset val="1"/>
      </rPr>
      <t xml:space="preserve">SCRAP)</t>
    </r>
  </si>
  <si>
    <t xml:space="preserve">단가 - 컨테이너 사무실 (원/대)</t>
  </si>
  <si>
    <t xml:space="preserve">단가 - 컨테이너 창고 (원/대)</t>
  </si>
  <si>
    <t xml:space="preserve">W5837-101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</si>
  <si>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운반비 </t>
    </r>
    <r>
      <rPr>
        <sz val="10"/>
        <rFont val="맑은 고딕"/>
        <family val="0"/>
        <charset val="1"/>
      </rPr>
      <t xml:space="preserve">"A" </t>
    </r>
    <r>
      <rPr>
        <sz val="10"/>
        <rFont val="Noto Sans CJK SC"/>
        <family val="2"/>
        <charset val="1"/>
      </rPr>
      <t xml:space="preserve">적용</t>
    </r>
    <r>
      <rPr>
        <sz val="10"/>
        <rFont val="맑은 고딕"/>
        <family val="0"/>
        <charset val="1"/>
      </rPr>
      <t xml:space="preserve">)</t>
    </r>
  </si>
  <si>
    <t xml:space="preserve">단가 - 가설 화장실 (원/대)</t>
  </si>
  <si>
    <t xml:space="preserve">가설 사무실 적용기준 (직접노무비 구간별)</t>
  </si>
  <si>
    <t xml:space="preserve">※ 침목·적치대·JIG·정반·SCRAP BOX 손료는 공통가설 기준(3-8 사.): 침목 5TON당 1, PIPE 적치대 10TON당 1(100A 미만), 정반 30TON당 1, SCRAP BOX 30M(반경)당 1, JIG 10TON당 1.</t>
  </si>
  <si>
    <t xml:space="preserve">직접노무비 구간</t>
  </si>
  <si>
    <t xml:space="preserve">하한(원)</t>
  </si>
  <si>
    <t xml:space="preserve">조립식(㎡)
수급자</t>
  </si>
  <si>
    <t xml:space="preserve">조립식(㎡)
창고</t>
  </si>
  <si>
    <t xml:space="preserve">컨테이너(대)
사무실</t>
  </si>
  <si>
    <t xml:space="preserve">컨테이너(대)
창고</t>
  </si>
  <si>
    <t xml:space="preserve">컨테이너(대)
화장실</t>
  </si>
  <si>
    <r>
      <rPr>
        <sz val="10"/>
        <color rgb="FF0000FF"/>
        <rFont val="맑은 고딕"/>
        <family val="0"/>
        <charset val="1"/>
      </rPr>
      <t xml:space="preserve">1.5</t>
    </r>
    <r>
      <rPr>
        <sz val="10"/>
        <color rgb="FF0000FF"/>
        <rFont val="Noto Sans CJK SC"/>
        <family val="2"/>
        <charset val="1"/>
      </rPr>
      <t xml:space="preserve">억 미만</t>
    </r>
  </si>
  <si>
    <t xml:space="preserve">산# 7-6. 기자재 BOX 개곤 물량 산출</t>
  </si>
  <si>
    <r>
      <rPr>
        <sz val="10"/>
        <color rgb="FF0000FF"/>
        <rFont val="맑은 고딕"/>
        <family val="0"/>
        <charset val="1"/>
      </rPr>
      <t xml:space="preserve">1.5-3</t>
    </r>
    <r>
      <rPr>
        <sz val="10"/>
        <color rgb="FF0000FF"/>
        <rFont val="Noto Sans CJK SC"/>
        <family val="2"/>
        <charset val="1"/>
      </rPr>
      <t xml:space="preserve">억</t>
    </r>
  </si>
  <si>
    <r>
      <rPr>
        <sz val="10"/>
        <color rgb="FF0000FF"/>
        <rFont val="맑은 고딕"/>
        <family val="0"/>
        <charset val="1"/>
      </rPr>
      <t xml:space="preserve">3-9</t>
    </r>
    <r>
      <rPr>
        <sz val="10"/>
        <color rgb="FF0000FF"/>
        <rFont val="Noto Sans CJK SC"/>
        <family val="2"/>
        <charset val="1"/>
      </rPr>
      <t xml:space="preserve">억</t>
    </r>
  </si>
  <si>
    <r>
      <rPr>
        <sz val="10"/>
        <color rgb="FF0000FF"/>
        <rFont val="맑은 고딕"/>
        <family val="0"/>
        <charset val="1"/>
      </rPr>
      <t xml:space="preserve">9-30</t>
    </r>
    <r>
      <rPr>
        <sz val="10"/>
        <color rgb="FF0000FF"/>
        <rFont val="Noto Sans CJK SC"/>
        <family val="2"/>
        <charset val="1"/>
      </rPr>
      <t xml:space="preserve">억</t>
    </r>
  </si>
  <si>
    <r>
      <rPr>
        <sz val="10"/>
        <color rgb="FF0000FF"/>
        <rFont val="맑은 고딕"/>
        <family val="0"/>
        <charset val="1"/>
      </rPr>
      <t xml:space="preserve">30-90</t>
    </r>
    <r>
      <rPr>
        <sz val="10"/>
        <color rgb="FF0000FF"/>
        <rFont val="Noto Sans CJK SC"/>
        <family val="2"/>
        <charset val="1"/>
      </rPr>
      <t xml:space="preserve">억</t>
    </r>
  </si>
  <si>
    <r>
      <rPr>
        <sz val="10"/>
        <color rgb="FF0000FF"/>
        <rFont val="맑은 고딕"/>
        <family val="0"/>
        <charset val="1"/>
      </rPr>
      <t xml:space="preserve">90-150</t>
    </r>
    <r>
      <rPr>
        <sz val="10"/>
        <color rgb="FF0000FF"/>
        <rFont val="Noto Sans CJK SC"/>
        <family val="2"/>
        <charset val="1"/>
      </rPr>
      <t xml:space="preserve">억</t>
    </r>
  </si>
  <si>
    <t xml:space="preserve">  개곤비 보통인부 (0.02 MD/TON)</t>
  </si>
  <si>
    <r>
      <rPr>
        <sz val="10"/>
        <color rgb="FF0000FF"/>
        <rFont val="맑은 고딕"/>
        <family val="0"/>
        <charset val="1"/>
      </rPr>
      <t xml:space="preserve">150-300</t>
    </r>
    <r>
      <rPr>
        <sz val="10"/>
        <color rgb="FF0000FF"/>
        <rFont val="Noto Sans CJK SC"/>
        <family val="2"/>
        <charset val="1"/>
      </rPr>
      <t xml:space="preserve">억</t>
    </r>
  </si>
  <si>
    <t xml:space="preserve">  포장재 용적 (0.84 ㎥/TON)</t>
  </si>
  <si>
    <t xml:space="preserve">㎥</t>
  </si>
  <si>
    <r>
      <rPr>
        <sz val="10"/>
        <color rgb="FF0000FF"/>
        <rFont val="맑은 고딕"/>
        <family val="0"/>
        <charset val="1"/>
      </rPr>
      <t xml:space="preserve">300-500</t>
    </r>
    <r>
      <rPr>
        <sz val="10"/>
        <color rgb="FF0000FF"/>
        <rFont val="Noto Sans CJK SC"/>
        <family val="2"/>
        <charset val="1"/>
      </rPr>
      <t xml:space="preserve">억</t>
    </r>
  </si>
  <si>
    <t xml:space="preserve">  포장재 중량 (19.5 KG/TON)</t>
  </si>
  <si>
    <r>
      <rPr>
        <sz val="10"/>
        <color rgb="FF0000FF"/>
        <rFont val="맑은 고딕"/>
        <family val="0"/>
        <charset val="1"/>
      </rPr>
      <t xml:space="preserve">500</t>
    </r>
    <r>
      <rPr>
        <sz val="10"/>
        <color rgb="FF0000FF"/>
        <rFont val="Noto Sans CJK SC"/>
        <family val="2"/>
        <charset val="1"/>
      </rPr>
      <t xml:space="preserve">억 이상</t>
    </r>
  </si>
  <si>
    <t xml:space="preserve">※ 강재류·강재 STAND는 기본물량산출 '설치' 물량, 배관류는 배관집계 설치 T. 상하차비는 포장재 용적톤당 철구류 상하차비의 50%, 운반 4KM 이내(3-8 바.).</t>
  </si>
  <si>
    <r>
      <rPr>
        <i val="true"/>
        <sz val="10"/>
        <color rgb="FF666666"/>
        <rFont val="맑은 고딕"/>
        <family val="0"/>
        <charset val="1"/>
      </rPr>
      <t xml:space="preserve">NOTE: </t>
    </r>
    <r>
      <rPr>
        <i val="true"/>
        <sz val="10"/>
        <color rgb="FF666666"/>
        <rFont val="Noto Sans CJK SC"/>
        <family val="2"/>
        <charset val="1"/>
      </rPr>
      <t xml:space="preserve">직접노무비 </t>
    </r>
    <r>
      <rPr>
        <i val="true"/>
        <sz val="10"/>
        <color rgb="FF666666"/>
        <rFont val="맑은 고딕"/>
        <family val="0"/>
        <charset val="1"/>
      </rPr>
      <t xml:space="preserve">500</t>
    </r>
    <r>
      <rPr>
        <i val="true"/>
        <sz val="10"/>
        <color rgb="FF666666"/>
        <rFont val="Noto Sans CJK SC"/>
        <family val="2"/>
        <charset val="1"/>
      </rPr>
      <t xml:space="preserve">억원 및 공기 </t>
    </r>
    <r>
      <rPr>
        <i val="true"/>
        <sz val="10"/>
        <color rgb="FF666666"/>
        <rFont val="맑은 고딕"/>
        <family val="0"/>
        <charset val="1"/>
      </rPr>
      <t xml:space="preserve">1</t>
    </r>
    <r>
      <rPr>
        <i val="true"/>
        <sz val="10"/>
        <color rgb="FF666666"/>
        <rFont val="Noto Sans CJK SC"/>
        <family val="2"/>
        <charset val="1"/>
      </rPr>
      <t xml:space="preserve">년 이상 대상은 조립식 가설 사무실을 적용한다</t>
    </r>
    <r>
      <rPr>
        <i val="true"/>
        <sz val="10"/>
        <color rgb="FF666666"/>
        <rFont val="맑은 고딕"/>
        <family val="0"/>
        <charset val="1"/>
      </rPr>
      <t xml:space="preserve">. </t>
    </r>
    <r>
      <rPr>
        <i val="true"/>
        <sz val="10"/>
        <color rgb="FF666666"/>
        <rFont val="Noto Sans CJK SC"/>
        <family val="2"/>
        <charset val="1"/>
      </rPr>
      <t xml:space="preserve">특수한 경우 外 컨테이너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대</t>
    </r>
    <r>
      <rPr>
        <i val="true"/>
        <sz val="10"/>
        <color rgb="FF666666"/>
        <rFont val="맑은 고딕"/>
        <family val="0"/>
        <charset val="1"/>
      </rPr>
      <t xml:space="preserve">) </t>
    </r>
    <r>
      <rPr>
        <i val="true"/>
        <sz val="10"/>
        <color rgb="FF666666"/>
        <rFont val="Noto Sans CJK SC"/>
        <family val="2"/>
        <charset val="1"/>
      </rPr>
      <t xml:space="preserve">적용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</si>
  <si>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가설자재 월 손율 (개월별, %) - 25~35개월은 24개월 값 적용</t>
  </si>
  <si>
    <t xml:space="preserve">개월</t>
  </si>
  <si>
    <t xml:space="preserve">손율(%)</t>
  </si>
  <si>
    <t xml:space="preserve">산# 7-8. 비계면적 산출</t>
  </si>
  <si>
    <t xml:space="preserve">발판수량 계수 (단당)</t>
  </si>
  <si>
    <t xml:space="preserve">발판수량 = ROUNDUP(적용면적 x 단수 x 계수)  [1단=0.1829, 10단=1.829]</t>
  </si>
  <si>
    <t xml:space="preserve">Sector</t>
  </si>
  <si>
    <t xml:space="preserve">L (M)</t>
  </si>
  <si>
    <t xml:space="preserve">H (M)</t>
  </si>
  <si>
    <t xml:space="preserve">면수</t>
  </si>
  <si>
    <t xml:space="preserve">적용면적
(㎡)</t>
  </si>
  <si>
    <t xml:space="preserve">단수</t>
  </si>
  <si>
    <t xml:space="preserve">발판폭
(mm)</t>
  </si>
  <si>
    <t xml:space="preserve">발판수량
(EA)</t>
  </si>
  <si>
    <t xml:space="preserve">Sector 1</t>
  </si>
  <si>
    <r>
      <rPr>
        <sz val="10"/>
        <color rgb="FF0000FF"/>
        <rFont val="맑은 고딕"/>
        <family val="0"/>
        <charset val="1"/>
      </rPr>
      <t xml:space="preserve">Hood Ass'y 4430 Dia x 12200 L, Ø38 x 5t (248</t>
    </r>
    <r>
      <rPr>
        <sz val="10"/>
        <color rgb="FF0000FF"/>
        <rFont val="Noto Sans CJK SC"/>
        <family val="2"/>
        <charset val="1"/>
      </rPr>
      <t xml:space="preserve">개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</si>
  <si>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Sector 2</t>
  </si>
  <si>
    <t xml:space="preserve">Sector 3</t>
  </si>
  <si>
    <t xml:space="preserve">Sector 4</t>
  </si>
  <si>
    <t xml:space="preserve">Sector 5</t>
  </si>
  <si>
    <t xml:space="preserve">Sector 6</t>
  </si>
  <si>
    <t xml:space="preserve">Sector 7</t>
  </si>
  <si>
    <t xml:space="preserve">Sector 8</t>
  </si>
  <si>
    <t xml:space="preserve">Sector 9</t>
  </si>
  <si>
    <t xml:space="preserve">Sector 10</t>
  </si>
  <si>
    <t xml:space="preserve">Sector 11</t>
  </si>
  <si>
    <t xml:space="preserve">Sector 12</t>
  </si>
  <si>
    <t xml:space="preserve">Sector 13</t>
  </si>
  <si>
    <t xml:space="preserve">Sector 14</t>
  </si>
  <si>
    <t xml:space="preserve">Sector 15</t>
  </si>
  <si>
    <t xml:space="preserve">Sector 16</t>
  </si>
  <si>
    <t xml:space="preserve">Sector 17</t>
  </si>
  <si>
    <t xml:space="preserve">Sector 18</t>
  </si>
  <si>
    <t xml:space="preserve">Sector 19</t>
  </si>
  <si>
    <t xml:space="preserve">Sector 20</t>
  </si>
  <si>
    <t xml:space="preserve">Sector 21</t>
  </si>
  <si>
    <t xml:space="preserve">Sector 22</t>
  </si>
  <si>
    <t xml:space="preserve">Sector 23</t>
  </si>
  <si>
    <t xml:space="preserve">Sector 24</t>
  </si>
  <si>
    <t xml:space="preserve">Sector 25</t>
  </si>
  <si>
    <t xml:space="preserve">총계</t>
  </si>
  <si>
    <t xml:space="preserve">※ 강관비계매기 면적은 ROUNDUP(총계)로 7-1에 반영(원본 172→173M2). 안전발판 400x1829, 공기에 따른 개월수는 7-7 공기 산정(M12) 연동.</t>
  </si>
  <si>
    <t xml:space="preserve">부대기준 (용접봉량·산소 기준량, 용접기 상수, 운반 할증)</t>
  </si>
  <si>
    <t xml:space="preserve">파란 글씨=원본 양식/MANUAL 기준값. 수정 시 부대공사 시트가 자동 재계산됩니다.</t>
  </si>
  <si>
    <t xml:space="preserve">① 용접봉량 기준량 (설치공사, KG/TON)</t>
  </si>
  <si>
    <t xml:space="preserve">② 제작공사 용접봉량 (KG/TON, 참고)</t>
  </si>
  <si>
    <t xml:space="preserve">③ 산소 소요량 기준 (M3/TON)</t>
  </si>
  <si>
    <t xml:space="preserve">④ 용접기 상수</t>
  </si>
  <si>
    <t xml:space="preserve">⑤ 운반 할증 - 중량 (단중톤당, 초과)</t>
  </si>
  <si>
    <t xml:space="preserve">⑥ 운반 할증 - 장척물 (길이 M 초과)</t>
  </si>
  <si>
    <t xml:space="preserve">기준량</t>
  </si>
  <si>
    <t xml:space="preserve">공사별</t>
  </si>
  <si>
    <t xml:space="preserve">산소(M3/TON)</t>
  </si>
  <si>
    <t xml:space="preserve">항목</t>
  </si>
  <si>
    <t xml:space="preserve">하한(ton 초과)</t>
  </si>
  <si>
    <t xml:space="preserve">정부기준</t>
  </si>
  <si>
    <t xml:space="preserve">당사기준</t>
  </si>
  <si>
    <t xml:space="preserve">하한(M 초과)</t>
  </si>
  <si>
    <t xml:space="preserve">제철기계</t>
  </si>
  <si>
    <t xml:space="preserve">고로본체철피</t>
  </si>
  <si>
    <t xml:space="preserve">실용접장산출</t>
  </si>
  <si>
    <t xml:space="preserve">제작공사</t>
  </si>
  <si>
    <t xml:space="preserve">철골류 [제작]</t>
  </si>
  <si>
    <t xml:space="preserve">BUSTLE PIPE</t>
  </si>
  <si>
    <t xml:space="preserve">각 CHUTE류</t>
  </si>
  <si>
    <t xml:space="preserve">제관류 [제작]</t>
  </si>
  <si>
    <t xml:space="preserve">용접공량(MD/M)</t>
  </si>
  <si>
    <t xml:space="preserve">노정장입기기</t>
  </si>
  <si>
    <r>
      <rPr>
        <sz val="10"/>
        <color rgb="FF0000FF"/>
        <rFont val="맑은 고딕"/>
        <family val="0"/>
        <charset val="1"/>
      </rPr>
      <t xml:space="preserve">FRAME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</si>
  <si>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설치공사</t>
  </si>
  <si>
    <t xml:space="preserve">기기류 [설치]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</si>
  <si>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일 작업시간</t>
    </r>
    <r>
      <rPr>
        <sz val="10"/>
        <rFont val="맑은 고딕"/>
        <family val="0"/>
        <charset val="1"/>
      </rPr>
      <t xml:space="preserve">(HR/MD)</t>
    </r>
  </si>
  <si>
    <t xml:space="preserve">열풍로본체</t>
  </si>
  <si>
    <t xml:space="preserve">환 HOPPER류</t>
  </si>
  <si>
    <t xml:space="preserve">용접효율</t>
  </si>
  <si>
    <t xml:space="preserve">별도 협정료</t>
  </si>
  <si>
    <t xml:space="preserve">CROSS DOME</t>
  </si>
  <si>
    <t xml:space="preserve">각 HOPPER류</t>
  </si>
  <si>
    <r>
      <rPr>
        <sz val="10"/>
        <rFont val="맑은 고딕"/>
        <family val="0"/>
        <charset val="1"/>
      </rPr>
      <t xml:space="preserve">AC 200A </t>
    </r>
    <r>
      <rPr>
        <sz val="10"/>
        <rFont val="Noto Sans CJK SC"/>
        <family val="2"/>
        <charset val="1"/>
      </rPr>
      <t xml:space="preserve">사용 비율</t>
    </r>
  </si>
  <si>
    <t xml:space="preserve">열풍로 DECK</t>
  </si>
  <si>
    <t xml:space="preserve">환 CHUTE류</t>
  </si>
  <si>
    <t xml:space="preserve">배관류(1000A이상) [설치]</t>
  </si>
  <si>
    <r>
      <rPr>
        <sz val="10"/>
        <rFont val="맑은 고딕"/>
        <family val="0"/>
        <charset val="1"/>
      </rPr>
      <t xml:space="preserve">AC 300A </t>
    </r>
    <r>
      <rPr>
        <sz val="10"/>
        <rFont val="Noto Sans CJK SC"/>
        <family val="2"/>
        <charset val="1"/>
      </rPr>
      <t xml:space="preserve">사용 비율</t>
    </r>
  </si>
  <si>
    <t xml:space="preserve">제진기</t>
  </si>
  <si>
    <r>
      <rPr>
        <sz val="10"/>
        <color rgb="FF0000FF"/>
        <rFont val="맑은 고딕"/>
        <family val="0"/>
        <charset val="1"/>
      </rPr>
      <t xml:space="preserve">B/C [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</si>
  <si>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배관 TIG 용접 비율</t>
  </si>
  <si>
    <t xml:space="preserve">V/S</t>
  </si>
  <si>
    <r>
      <rPr>
        <sz val="10"/>
        <color rgb="FF0000FF"/>
        <rFont val="맑은 고딕"/>
        <family val="0"/>
        <charset val="1"/>
      </rPr>
      <t xml:space="preserve">HEATER&amp;TANK [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</si>
  <si>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※ 장척물 할증과 중량 할증이 중복되면 높은 1종만 적용. 적용: 상차·하차·운반.</t>
  </si>
  <si>
    <r>
      <rPr>
        <sz val="10"/>
        <color rgb="FF0000FF"/>
        <rFont val="맑은 고딕"/>
        <family val="0"/>
        <charset val="1"/>
      </rPr>
      <t xml:space="preserve">MILL LINE </t>
    </r>
    <r>
      <rPr>
        <sz val="10"/>
        <color rgb="FF0000FF"/>
        <rFont val="Noto Sans CJK SC"/>
        <family val="2"/>
        <charset val="1"/>
      </rPr>
      <t xml:space="preserve">기기</t>
    </r>
  </si>
  <si>
    <t xml:space="preserve">환 TANK류</t>
  </si>
  <si>
    <r>
      <rPr>
        <sz val="10"/>
        <color rgb="FF0000FF"/>
        <rFont val="맑은 고딕"/>
        <family val="0"/>
        <charset val="1"/>
      </rPr>
      <t xml:space="preserve">PUMP&amp;FAN [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</si>
  <si>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ROLLER TABLE</t>
  </si>
  <si>
    <t xml:space="preserve">각 TANK류</t>
  </si>
  <si>
    <r>
      <rPr>
        <sz val="10"/>
        <color rgb="FF0000FF"/>
        <rFont val="맑은 고딕"/>
        <family val="0"/>
        <charset val="1"/>
      </rPr>
      <t xml:space="preserve">CRANE [</t>
    </r>
    <r>
      <rPr>
        <sz val="10"/>
        <color rgb="FF0000FF"/>
        <rFont val="Noto Sans CJK SC"/>
        <family val="2"/>
        <charset val="1"/>
      </rPr>
      <t xml:space="preserve">설치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</si>
  <si>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주선기</t>
  </si>
  <si>
    <r>
      <rPr>
        <sz val="10"/>
        <color rgb="FF0000FF"/>
        <rFont val="맑은 고딕"/>
        <family val="0"/>
        <charset val="1"/>
      </rPr>
      <t xml:space="preserve">DECK 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</si>
  <si>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철거공사</t>
  </si>
  <si>
    <t xml:space="preserve">기기류 [철거]</t>
  </si>
  <si>
    <t xml:space="preserve">EDGE MILL</t>
  </si>
  <si>
    <t xml:space="preserve">전동 MUD GUN</t>
  </si>
  <si>
    <r>
      <rPr>
        <sz val="10"/>
        <color rgb="FF0000FF"/>
        <rFont val="맑은 고딕"/>
        <family val="0"/>
        <charset val="1"/>
      </rPr>
      <t xml:space="preserve">BASE PLATE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</si>
  <si>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혼선로</t>
  </si>
  <si>
    <t xml:space="preserve">배관류(1000A이상) [철거]</t>
  </si>
  <si>
    <t xml:space="preserve">GAS HOLDER</t>
  </si>
  <si>
    <t xml:space="preserve">※ 제작공사는 제작물량산출의 품셈 F06(전력)÷2.25x0.33으로 자동 산출(위 값과 일치).</t>
  </si>
  <si>
    <r>
      <rPr>
        <sz val="10"/>
        <color rgb="FF0000FF"/>
        <rFont val="맑은 고딕"/>
        <family val="0"/>
        <charset val="1"/>
      </rPr>
      <t xml:space="preserve">B/C [</t>
    </r>
    <r>
      <rPr>
        <sz val="10"/>
        <color rgb="FF0000FF"/>
        <rFont val="Noto Sans CJK SC"/>
        <family val="2"/>
        <charset val="1"/>
      </rPr>
      <t xml:space="preserve">철거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</si>
  <si>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가열로</t>
  </si>
  <si>
    <r>
      <rPr>
        <sz val="10"/>
        <color rgb="FF0000FF"/>
        <rFont val="맑은 고딕"/>
        <family val="0"/>
        <charset val="1"/>
      </rPr>
      <t xml:space="preserve">HEATER&amp;TANK [</t>
    </r>
    <r>
      <rPr>
        <sz val="10"/>
        <color rgb="FF0000FF"/>
        <rFont val="Noto Sans CJK SC"/>
        <family val="2"/>
        <charset val="1"/>
      </rPr>
      <t xml:space="preserve">철거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</si>
  <si>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균열로</t>
  </si>
  <si>
    <r>
      <rPr>
        <sz val="10"/>
        <color rgb="FF0000FF"/>
        <rFont val="맑은 고딕"/>
        <family val="0"/>
        <charset val="1"/>
      </rPr>
      <t xml:space="preserve">PUMP&amp;FAN [</t>
    </r>
    <r>
      <rPr>
        <sz val="10"/>
        <color rgb="FF0000FF"/>
        <rFont val="Noto Sans CJK SC"/>
        <family val="2"/>
        <charset val="1"/>
      </rPr>
      <t xml:space="preserve">철거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</si>
  <si>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가열로 부속기기</t>
  </si>
  <si>
    <r>
      <rPr>
        <sz val="10"/>
        <color rgb="FF0000FF"/>
        <rFont val="맑은 고딕"/>
        <family val="0"/>
        <charset val="1"/>
      </rPr>
      <t xml:space="preserve">CRANE [</t>
    </r>
    <r>
      <rPr>
        <sz val="10"/>
        <color rgb="FF0000FF"/>
        <rFont val="Noto Sans CJK SC"/>
        <family val="2"/>
        <charset val="1"/>
      </rPr>
      <t xml:space="preserve">철거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</si>
  <si>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운반기계</t>
  </si>
  <si>
    <t xml:space="preserve">B/C</t>
  </si>
  <si>
    <t xml:space="preserve">이설공사</t>
  </si>
  <si>
    <t xml:space="preserve">기기류 [이설]</t>
  </si>
  <si>
    <t xml:space="preserve">CRANE</t>
  </si>
  <si>
    <t xml:space="preserve">일반기계</t>
  </si>
  <si>
    <t xml:space="preserve">PUMP&amp;FAN</t>
  </si>
  <si>
    <t xml:space="preserve">배관류(1000A미만) [이설]</t>
  </si>
  <si>
    <t xml:space="preserve">COMPRESSOR</t>
  </si>
  <si>
    <t xml:space="preserve">배관류(1000A이상) [이설]</t>
  </si>
  <si>
    <r>
      <rPr>
        <sz val="10"/>
        <color rgb="FF0000FF"/>
        <rFont val="맑은 고딕"/>
        <family val="0"/>
        <charset val="1"/>
      </rPr>
      <t xml:space="preserve">EP </t>
    </r>
    <r>
      <rPr>
        <sz val="10"/>
        <color rgb="FF0000FF"/>
        <rFont val="Noto Sans CJK SC"/>
        <family val="2"/>
        <charset val="1"/>
      </rPr>
      <t xml:space="preserve">집진기</t>
    </r>
  </si>
  <si>
    <r>
      <rPr>
        <sz val="10"/>
        <color rgb="FF0000FF"/>
        <rFont val="맑은 고딕"/>
        <family val="0"/>
        <charset val="1"/>
      </rPr>
      <t xml:space="preserve">B/C [</t>
    </r>
    <r>
      <rPr>
        <sz val="10"/>
        <color rgb="FF0000FF"/>
        <rFont val="Noto Sans CJK SC"/>
        <family val="2"/>
        <charset val="1"/>
      </rPr>
      <t xml:space="preserve">이설</t>
    </r>
    <r>
      <rPr>
        <sz val="10"/>
        <color rgb="FF0000FF"/>
        <rFont val="맑은 고딕"/>
        <family val="0"/>
        <charset val="1"/>
      </rPr>
      <t xml:space="preserve">]</t>
    </r>
  </si>
  <si>
    <r>
      <rPr>
        <sz val="10"/>
        <color rgb="FF0000FF"/>
        <rFont val="맑은 고딕"/>
        <family val="0"/>
        <charset val="1"/>
      </rPr>
      <t xml:space="preserve">HEATER&amp;TANK [</t>
    </r>
    <r>
      <rPr>
        <sz val="10"/>
        <color rgb="FF0000FF"/>
        <rFont val="Noto Sans CJK SC"/>
        <family val="2"/>
        <charset val="1"/>
      </rPr>
      <t xml:space="preserve">이설</t>
    </r>
    <r>
      <rPr>
        <sz val="10"/>
        <color rgb="FF0000FF"/>
        <rFont val="맑은 고딕"/>
        <family val="0"/>
        <charset val="1"/>
      </rPr>
      <t xml:space="preserve">]</t>
    </r>
  </si>
  <si>
    <t xml:space="preserve">COOLING TOWER</t>
  </si>
  <si>
    <r>
      <rPr>
        <sz val="10"/>
        <color rgb="FF0000FF"/>
        <rFont val="맑은 고딕"/>
        <family val="0"/>
        <charset val="1"/>
      </rPr>
      <t xml:space="preserve">PUMP&amp;FAN [</t>
    </r>
    <r>
      <rPr>
        <sz val="10"/>
        <color rgb="FF0000FF"/>
        <rFont val="Noto Sans CJK SC"/>
        <family val="2"/>
        <charset val="1"/>
      </rPr>
      <t xml:space="preserve">이설</t>
    </r>
    <r>
      <rPr>
        <sz val="10"/>
        <color rgb="FF0000FF"/>
        <rFont val="맑은 고딕"/>
        <family val="0"/>
        <charset val="1"/>
      </rPr>
      <t xml:space="preserve">]</t>
    </r>
  </si>
  <si>
    <r>
      <rPr>
        <sz val="10"/>
        <color rgb="FF0000FF"/>
        <rFont val="맑은 고딕"/>
        <family val="0"/>
        <charset val="1"/>
      </rPr>
      <t xml:space="preserve">BAG FILTER(</t>
    </r>
    <r>
      <rPr>
        <sz val="10"/>
        <color rgb="FF0000FF"/>
        <rFont val="Noto Sans CJK SC"/>
        <family val="2"/>
        <charset val="1"/>
      </rPr>
      <t xml:space="preserve">구동부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</si>
  <si>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CRANE [</t>
    </r>
    <r>
      <rPr>
        <sz val="10"/>
        <color rgb="FF0000FF"/>
        <rFont val="Noto Sans CJK SC"/>
        <family val="2"/>
        <charset val="1"/>
      </rPr>
      <t xml:space="preserve">이설</t>
    </r>
    <r>
      <rPr>
        <sz val="10"/>
        <color rgb="FF0000FF"/>
        <rFont val="맑은 고딕"/>
        <family val="0"/>
        <charset val="1"/>
      </rPr>
      <t xml:space="preserve">]</t>
    </r>
  </si>
  <si>
    <r>
      <rPr>
        <sz val="10"/>
        <color rgb="FF0000FF"/>
        <rFont val="맑은 고딕"/>
        <family val="0"/>
        <charset val="1"/>
      </rPr>
      <t xml:space="preserve">BAG FILTER(</t>
    </r>
    <r>
      <rPr>
        <sz val="10"/>
        <color rgb="FF0000FF"/>
        <rFont val="Noto Sans CJK SC"/>
        <family val="2"/>
        <charset val="1"/>
      </rPr>
      <t xml:space="preserve">본체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</si>
  <si>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대차류</t>
  </si>
  <si>
    <r>
      <rPr>
        <sz val="10"/>
        <color rgb="FF0000FF"/>
        <rFont val="맑은 고딕"/>
        <family val="0"/>
        <charset val="1"/>
      </rPr>
      <t xml:space="preserve">DUCT(</t>
    </r>
    <r>
      <rPr>
        <sz val="10"/>
        <color rgb="FF0000FF"/>
        <rFont val="Noto Sans CJK SC"/>
        <family val="2"/>
        <charset val="1"/>
      </rPr>
      <t xml:space="preserve">용접식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</si>
  <si>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DUCT(FLANGE</t>
    </r>
    <r>
      <rPr>
        <sz val="10"/>
        <color rgb="FF0000FF"/>
        <rFont val="Noto Sans CJK SC"/>
        <family val="2"/>
        <charset val="1"/>
      </rPr>
      <t xml:space="preserve">식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</si>
  <si>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미산출</t>
  </si>
  <si>
    <t xml:space="preserve">COIL SKID</t>
  </si>
  <si>
    <t xml:space="preserve">COIL SKID(BOLTING)</t>
  </si>
  <si>
    <r>
      <rPr>
        <sz val="10"/>
        <color rgb="FF0000FF"/>
        <rFont val="맑은 고딕"/>
        <family val="0"/>
        <charset val="1"/>
      </rPr>
      <t xml:space="preserve">TANK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</si>
  <si>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TANK</t>
  </si>
  <si>
    <t xml:space="preserve">STORAGE TANK</t>
  </si>
  <si>
    <t xml:space="preserve">강재제작</t>
  </si>
  <si>
    <t xml:space="preserve">품셈 용접봉량</t>
  </si>
  <si>
    <t xml:space="preserve">배관</t>
  </si>
  <si>
    <t xml:space="preserve">배관 1000A 이상</t>
  </si>
  <si>
    <t xml:space="preserve">기타</t>
  </si>
  <si>
    <t xml:space="preserve">철물설치</t>
  </si>
  <si>
    <r>
      <rPr>
        <sz val="10"/>
        <color rgb="FF0000FF"/>
        <rFont val="맑은 고딕"/>
        <family val="0"/>
        <charset val="1"/>
      </rPr>
      <t xml:space="preserve">COVER</t>
    </r>
    <r>
      <rPr>
        <sz val="10"/>
        <color rgb="FF0000FF"/>
        <rFont val="Noto Sans CJK SC"/>
        <family val="2"/>
        <charset val="1"/>
      </rPr>
      <t xml:space="preserve">류</t>
    </r>
  </si>
  <si>
    <t xml:space="preserve">RAIL</t>
  </si>
  <si>
    <t xml:space="preserve">가설</t>
  </si>
  <si>
    <t xml:space="preserve">가설강재제작</t>
  </si>
  <si>
    <t xml:space="preserve">가설강재설치</t>
  </si>
  <si>
    <t xml:space="preserve">가설배관</t>
  </si>
  <si>
    <r>
      <rPr>
        <b val="true"/>
        <sz val="14"/>
        <rFont val="맑은 고딕"/>
        <family val="0"/>
        <charset val="1"/>
      </rPr>
      <t xml:space="preserve">5. </t>
    </r>
    <r>
      <rPr>
        <b val="true"/>
        <sz val="14"/>
        <rFont val="Noto Sans CJK SC"/>
        <family val="2"/>
        <charset val="1"/>
      </rPr>
      <t xml:space="preserve">보온 공사 </t>
    </r>
    <r>
      <rPr>
        <b val="true"/>
        <sz val="14"/>
        <rFont val="맑은 고딕"/>
        <family val="0"/>
        <charset val="1"/>
      </rPr>
      <t xml:space="preserve">- 5-2 </t>
    </r>
    <r>
      <rPr>
        <b val="true"/>
        <sz val="14"/>
        <rFont val="Noto Sans CJK SC"/>
        <family val="2"/>
        <charset val="1"/>
      </rPr>
      <t xml:space="preserve">배관보온 기본물량 </t>
    </r>
    <r>
      <rPr>
        <b val="true"/>
        <sz val="14"/>
        <rFont val="맑은 고딕"/>
        <family val="0"/>
        <charset val="1"/>
      </rPr>
      <t xml:space="preserve">/ 5-3 </t>
    </r>
    <r>
      <rPr>
        <b val="true"/>
        <sz val="14"/>
        <rFont val="Noto Sans CJK SC"/>
        <family val="2"/>
        <charset val="1"/>
      </rPr>
      <t xml:space="preserve">보온 자재집계</t>
    </r>
  </si>
  <si>
    <t xml:space="preserve">범례: 파란 글씨=입력(장소·구경·보온두께), 검정=수식. 물량은 배관기본물량에서 보온(INS.) FLAG=○ 인 라인만 집계합니다(배관집계 AC열).</t>
  </si>
  <si>
    <t xml:space="preserve">근거: MANUAL 3-3 보온공사(HANGER 간격, 할증율, 철선·STS BAND 산출), 원본 양식 5-2/5-3. 보온두께는 유체온도·연간사용시간별 경제 두께표(MANUAL 55p)로 입력.</t>
  </si>
  <si>
    <t xml:space="preserve">산# 5-2. 배관보온 기본물량 산출</t>
  </si>
  <si>
    <t xml:space="preserve">장소</t>
  </si>
  <si>
    <t xml:space="preserve">보온두께
(T)</t>
  </si>
  <si>
    <t xml:space="preserve">PIPE
(M)</t>
  </si>
  <si>
    <t xml:space="preserve">90° EL
(EA)</t>
  </si>
  <si>
    <t xml:space="preserve">45° EL
(EA)</t>
  </si>
  <si>
    <t xml:space="preserve">비규격 ELBOW
(M)</t>
  </si>
  <si>
    <t xml:space="preserve">TEE
(EA)</t>
  </si>
  <si>
    <t xml:space="preserve">FLANGE 2x1
(SET)</t>
  </si>
  <si>
    <t xml:space="preserve">GLOBE
(SET)</t>
  </si>
  <si>
    <t xml:space="preserve">GATE
(SET)</t>
  </si>
  <si>
    <t xml:space="preserve">BUTTERFLY
(SET)</t>
  </si>
  <si>
    <t xml:space="preserve">HANGER
(EA)</t>
  </si>
  <si>
    <t xml:space="preserve">FLG
(EA)</t>
  </si>
  <si>
    <t xml:space="preserve">V/V
(EA)</t>
  </si>
  <si>
    <t xml:space="preserve">보온적용
(FLG-2V)/2</t>
  </si>
  <si>
    <t xml:space="preserve">REMARKS</t>
  </si>
  <si>
    <r>
      <rPr>
        <i val="true"/>
        <sz val="10"/>
        <color rgb="FF666666"/>
        <rFont val="맑은 고딕"/>
        <family val="0"/>
        <charset val="1"/>
      </rPr>
      <t xml:space="preserve">※ HANGER = ROUNDUP(PIPE÷</t>
    </r>
    <r>
      <rPr>
        <i val="true"/>
        <sz val="10"/>
        <color rgb="FF666666"/>
        <rFont val="Noto Sans CJK SC"/>
        <family val="2"/>
        <charset val="1"/>
      </rPr>
      <t xml:space="preserve">간격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보온기준 ①</t>
    </r>
    <r>
      <rPr>
        <i val="true"/>
        <sz val="10"/>
        <color rgb="FF666666"/>
        <rFont val="맑은 고딕"/>
        <family val="0"/>
        <charset val="1"/>
      </rPr>
      <t xml:space="preserve">)). FLANGE 2x1(SET) = (FLG-2 x V/V)/2 (</t>
    </r>
    <r>
      <rPr>
        <i val="true"/>
        <sz val="10"/>
        <color rgb="FF666666"/>
        <rFont val="Noto Sans CJK SC"/>
        <family val="2"/>
        <charset val="1"/>
      </rPr>
      <t xml:space="preserve">음수는 </t>
    </r>
    <r>
      <rPr>
        <i val="true"/>
        <sz val="10"/>
        <color rgb="FF666666"/>
        <rFont val="맑은 고딕"/>
        <family val="0"/>
        <charset val="1"/>
      </rPr>
      <t xml:space="preserve">0, </t>
    </r>
    <r>
      <rPr>
        <i val="true"/>
        <sz val="10"/>
        <color rgb="FF666666"/>
        <rFont val="Noto Sans CJK SC"/>
        <family val="2"/>
        <charset val="1"/>
      </rPr>
      <t xml:space="preserve">원본 </t>
    </r>
    <r>
      <rPr>
        <i val="true"/>
        <sz val="10"/>
        <color rgb="FF666666"/>
        <rFont val="맑은 고딕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  <charset val="1"/>
      </rPr>
      <t xml:space="preserve">보온적용</t>
    </r>
    <r>
      <rPr>
        <i val="true"/>
        <sz val="10"/>
        <color rgb="FF666666"/>
        <rFont val="맑은 고딕"/>
        <family val="0"/>
        <charset val="1"/>
      </rPr>
      <t xml:space="preserve">' </t>
    </r>
    <r>
      <rPr>
        <i val="true"/>
        <sz val="10"/>
        <color rgb="FF666666"/>
        <rFont val="Noto Sans CJK SC"/>
        <family val="2"/>
        <charset val="1"/>
      </rPr>
      <t xml:space="preserve">열은 부호 포함</t>
    </r>
    <r>
      <rPr>
        <i val="true"/>
        <sz val="10"/>
        <color rgb="FF666666"/>
        <rFont val="맑은 고딕"/>
        <family val="0"/>
        <charset val="1"/>
      </rPr>
      <t xml:space="preserve">). </t>
    </r>
    <r>
      <rPr>
        <i val="true"/>
        <sz val="10"/>
        <color rgb="FF666666"/>
        <rFont val="Noto Sans CJK SC"/>
        <family val="2"/>
        <charset val="1"/>
      </rPr>
      <t xml:space="preserve">비규격 </t>
    </r>
    <r>
      <rPr>
        <i val="true"/>
        <sz val="10"/>
        <color rgb="FF666666"/>
        <rFont val="맑은 고딕"/>
        <family val="0"/>
        <charset val="1"/>
      </rPr>
      <t xml:space="preserve">ELBOW = </t>
    </r>
    <r>
      <rPr>
        <i val="true"/>
        <sz val="10"/>
        <color rgb="FF666666"/>
        <rFont val="Noto Sans CJK SC"/>
        <family val="2"/>
        <charset val="1"/>
      </rPr>
      <t xml:space="preserve">수량 </t>
    </r>
    <r>
      <rPr>
        <i val="true"/>
        <sz val="10"/>
        <color rgb="FF666666"/>
        <rFont val="맑은 고딕"/>
        <family val="0"/>
        <charset val="1"/>
      </rPr>
      <t xml:space="preserve">x </t>
    </r>
    <r>
      <rPr>
        <i val="true"/>
        <sz val="10"/>
        <color rgb="FF666666"/>
        <rFont val="Noto Sans CJK SC"/>
        <family val="2"/>
        <charset val="1"/>
      </rPr>
      <t xml:space="preserve">중심각</t>
    </r>
    <r>
      <rPr>
        <i val="true"/>
        <sz val="10"/>
        <color rgb="FF666666"/>
        <rFont val="맑은 고딕"/>
        <family val="0"/>
        <charset val="1"/>
      </rPr>
      <t xml:space="preserve">(rad) x (1.5 x DN) x 1.2.</t>
    </r>
  </si>
  <si>
    <t xml:space="preserve">※ 보온두께(D열)는 경제 보온두께표(보온기준 ⑦, 동파방지 급수)에서 자동 조회되며, 다른 두께는 직접 입력(수식 덮어쓰기)하세요. 150A 이상 FLANGE·VALVE 단위물량 DB는 40T부터 있어 30T는 40T 값으로 조회합니다.</t>
  </si>
  <si>
    <t xml:space="preserve">산# 5-3-A. FLANGE · VALVE 보온 상세 (구경·두께별 SET당 단위물량 x 수량)</t>
  </si>
  <si>
    <t xml:space="preserve">종류</t>
  </si>
  <si>
    <t xml:space="preserve">두께(T)</t>
  </si>
  <si>
    <t xml:space="preserve">수량
(SET)</t>
  </si>
  <si>
    <t xml:space="preserve">키</t>
  </si>
  <si>
    <t xml:space="preserve">L
(mm)</t>
  </si>
  <si>
    <t xml:space="preserve">호칭
(A)</t>
  </si>
  <si>
    <r>
      <rPr>
        <b val="true"/>
        <sz val="10"/>
        <color rgb="FFFFFFFF"/>
        <rFont val="맑은 고딕"/>
        <family val="0"/>
        <charset val="1"/>
      </rPr>
      <t xml:space="preserve">L.WOOL
(</t>
    </r>
    <r>
      <rPr>
        <b val="true"/>
        <sz val="10"/>
        <color rgb="FFFFFFFF"/>
        <rFont val="Noto Sans CJK SC"/>
        <family val="2"/>
        <charset val="1"/>
      </rPr>
      <t xml:space="preserve">㎥</t>
    </r>
    <r>
      <rPr>
        <b val="true"/>
        <sz val="10"/>
        <color rgb="FFFFFFFF"/>
        <rFont val="맑은 고딕"/>
        <family val="0"/>
        <charset val="1"/>
      </rPr>
      <t xml:space="preserve">/SET)</t>
    </r>
  </si>
  <si>
    <r>
      <rPr>
        <b val="true"/>
        <sz val="10"/>
        <color rgb="FFFFFFFF"/>
        <rFont val="맑은 고딕"/>
        <family val="0"/>
        <charset val="1"/>
      </rPr>
      <t xml:space="preserve">C/SH·S/C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/SET)</t>
    </r>
  </si>
  <si>
    <r>
      <rPr>
        <b val="true"/>
        <sz val="10"/>
        <color rgb="FFFFFFFF"/>
        <rFont val="맑은 고딕"/>
        <family val="0"/>
        <charset val="1"/>
      </rPr>
      <t xml:space="preserve">R.WOOL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/SET)</t>
    </r>
  </si>
  <si>
    <t xml:space="preserve">철선
(M/SET)</t>
  </si>
  <si>
    <r>
      <rPr>
        <b val="true"/>
        <sz val="10"/>
        <color rgb="FFFFFFFF"/>
        <rFont val="맑은 고딕"/>
        <family val="0"/>
        <charset val="1"/>
      </rPr>
      <t xml:space="preserve">INS </t>
    </r>
    <r>
      <rPr>
        <b val="true"/>
        <sz val="10"/>
        <color rgb="FFFFFFFF"/>
        <rFont val="Noto Sans CJK SC"/>
        <family val="2"/>
        <charset val="1"/>
      </rPr>
      <t xml:space="preserve">길이
</t>
    </r>
    <r>
      <rPr>
        <b val="true"/>
        <sz val="10"/>
        <color rgb="FFFFFFFF"/>
        <rFont val="맑은 고딕"/>
        <family val="0"/>
        <charset val="1"/>
      </rPr>
      <t xml:space="preserve">(M)</t>
    </r>
  </si>
  <si>
    <r>
      <rPr>
        <b val="true"/>
        <sz val="10"/>
        <color rgb="FFFFFFFF"/>
        <rFont val="맑은 고딕"/>
        <family val="0"/>
        <charset val="1"/>
      </rPr>
      <t xml:space="preserve">L.WOOL
(</t>
    </r>
    <r>
      <rPr>
        <b val="true"/>
        <sz val="10"/>
        <color rgb="FFFFFFFF"/>
        <rFont val="Noto Sans CJK SC"/>
        <family val="2"/>
        <charset val="1"/>
      </rPr>
      <t xml:space="preserve">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</si>
  <si>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S.C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</si>
  <si>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R.WOOL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</si>
  <si>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철선
(M)</t>
  </si>
  <si>
    <r>
      <rPr>
        <b val="true"/>
        <sz val="10"/>
        <color rgb="FFFFFFFF"/>
        <rFont val="맑은 고딕"/>
        <family val="0"/>
        <charset val="1"/>
      </rPr>
      <t xml:space="preserve">PIPE COVER
(</t>
    </r>
    <r>
      <rPr>
        <b val="true"/>
        <sz val="10"/>
        <color rgb="FFFFFFFF"/>
        <rFont val="Noto Sans CJK SC"/>
        <family val="2"/>
        <charset val="1"/>
      </rPr>
      <t xml:space="preserve">호칭</t>
    </r>
    <r>
      <rPr>
        <b val="true"/>
        <sz val="10"/>
        <color rgb="FFFFFFFF"/>
        <rFont val="맑은 고딕"/>
        <family val="0"/>
        <charset val="1"/>
      </rPr>
      <t xml:space="preserve">A x 50T)</t>
    </r>
  </si>
  <si>
    <r>
      <rPr>
        <b val="true"/>
        <sz val="10"/>
        <color rgb="FFFFFFFF"/>
        <rFont val="맑은 고딕"/>
        <family val="0"/>
        <charset val="1"/>
      </rPr>
      <t xml:space="preserve">COVER NET
(M, </t>
    </r>
    <r>
      <rPr>
        <b val="true"/>
        <sz val="10"/>
        <color rgb="FFFFFFFF"/>
        <rFont val="Noto Sans CJK SC"/>
        <family val="2"/>
        <charset val="1"/>
      </rPr>
      <t xml:space="preserve">올림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</si>
  <si>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FLANGE</t>
  </si>
  <si>
    <t xml:space="preserve">GLOBE</t>
  </si>
  <si>
    <t xml:space="preserve">GATE</t>
  </si>
  <si>
    <r>
      <rPr>
        <i val="true"/>
        <sz val="10"/>
        <color rgb="FF666666"/>
        <rFont val="맑은 고딕"/>
        <family val="0"/>
        <charset val="1"/>
      </rPr>
      <t xml:space="preserve">※ FLANGE·GLOBE</t>
    </r>
    <r>
      <rPr>
        <i val="true"/>
        <sz val="10"/>
        <color rgb="FF666666"/>
        <rFont val="Noto Sans CJK SC"/>
        <family val="2"/>
        <charset val="1"/>
      </rPr>
      <t xml:space="preserve">의 </t>
    </r>
    <r>
      <rPr>
        <i val="true"/>
        <sz val="10"/>
        <color rgb="FF666666"/>
        <rFont val="맑은 고딕"/>
        <family val="0"/>
        <charset val="1"/>
      </rPr>
      <t xml:space="preserve">PIPE COVER</t>
    </r>
    <r>
      <rPr>
        <i val="true"/>
        <sz val="10"/>
        <color rgb="FF666666"/>
        <rFont val="Noto Sans CJK SC"/>
        <family val="2"/>
        <charset val="1"/>
      </rPr>
      <t xml:space="preserve">는 호칭</t>
    </r>
    <r>
      <rPr>
        <i val="true"/>
        <sz val="10"/>
        <color rgb="FF666666"/>
        <rFont val="맑은 고딕"/>
        <family val="0"/>
        <charset val="1"/>
      </rPr>
      <t xml:space="preserve">A x 50T</t>
    </r>
    <r>
      <rPr>
        <i val="true"/>
        <sz val="10"/>
        <color rgb="FF666666"/>
        <rFont val="Noto Sans CJK SC"/>
        <family val="2"/>
        <charset val="1"/>
      </rPr>
      <t xml:space="preserve">로 소요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원본 양식</t>
    </r>
    <r>
      <rPr>
        <i val="true"/>
        <sz val="10"/>
        <color rgb="FF666666"/>
        <rFont val="맑은 고딕"/>
        <family val="0"/>
        <charset val="1"/>
      </rPr>
      <t xml:space="preserve">), GATE</t>
    </r>
    <r>
      <rPr>
        <i val="true"/>
        <sz val="10"/>
        <color rgb="FF666666"/>
        <rFont val="Noto Sans CJK SC"/>
        <family val="2"/>
        <charset val="1"/>
      </rPr>
      <t xml:space="preserve">는 </t>
    </r>
    <r>
      <rPr>
        <i val="true"/>
        <sz val="10"/>
        <color rgb="FF666666"/>
        <rFont val="맑은 고딕"/>
        <family val="0"/>
        <charset val="1"/>
      </rPr>
      <t xml:space="preserve">R.WOOL </t>
    </r>
    <r>
      <rPr>
        <i val="true"/>
        <sz val="10"/>
        <color rgb="FF666666"/>
        <rFont val="Noto Sans CJK SC"/>
        <family val="2"/>
        <charset val="1"/>
      </rPr>
      <t xml:space="preserve">면적</t>
    </r>
    <r>
      <rPr>
        <i val="true"/>
        <sz val="10"/>
        <color rgb="FF666666"/>
        <rFont val="맑은 고딕"/>
        <family val="0"/>
        <charset val="1"/>
      </rPr>
      <t xml:space="preserve">. </t>
    </r>
    <r>
      <rPr>
        <i val="true"/>
        <sz val="10"/>
        <color rgb="FF666666"/>
        <rFont val="Noto Sans CJK SC"/>
        <family val="2"/>
        <charset val="1"/>
      </rPr>
      <t xml:space="preserve">철선은 </t>
    </r>
    <r>
      <rPr>
        <i val="true"/>
        <sz val="10"/>
        <color rgb="FF666666"/>
        <rFont val="맑은 고딕"/>
        <family val="0"/>
        <charset val="1"/>
      </rPr>
      <t xml:space="preserve">FLANGE·GLOBE</t>
    </r>
    <r>
      <rPr>
        <i val="true"/>
        <sz val="10"/>
        <color rgb="FF666666"/>
        <rFont val="Noto Sans CJK SC"/>
        <family val="2"/>
        <charset val="1"/>
      </rPr>
      <t xml:space="preserve">만 집계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원본 양식 기준</t>
    </r>
    <r>
      <rPr>
        <i val="true"/>
        <sz val="10"/>
        <color rgb="FF666666"/>
        <rFont val="맑은 고딕"/>
        <family val="0"/>
        <charset val="1"/>
      </rPr>
      <t xml:space="preserve">). COVER NET</t>
    </r>
    <r>
      <rPr>
        <i val="true"/>
        <sz val="10"/>
        <color rgb="FF666666"/>
        <rFont val="Noto Sans CJK SC"/>
        <family val="2"/>
        <charset val="1"/>
      </rPr>
      <t xml:space="preserve">은 올림</t>
    </r>
    <r>
      <rPr>
        <i val="true"/>
        <sz val="10"/>
        <color rgb="FF666666"/>
        <rFont val="맑은 고딕"/>
        <family val="0"/>
        <charset val="1"/>
      </rPr>
      <t xml:space="preserve">(M).</t>
    </r>
  </si>
  <si>
    <t xml:space="preserve">산# 5-3-B. 구경별 보온 자재 산출 (NET / GROSS)</t>
  </si>
  <si>
    <t xml:space="preserve">PIPE COVER
ROCK WOOL(M)</t>
  </si>
  <si>
    <t xml:space="preserve">PIPE COVER
PERLITE(M)</t>
  </si>
  <si>
    <t xml:space="preserve">조립식 PIPE
SHEET NET(M)</t>
  </si>
  <si>
    <t xml:space="preserve">PIPE SHEET
GROSS(M)</t>
  </si>
  <si>
    <t xml:space="preserve">90D EL
SHEET NET</t>
  </si>
  <si>
    <t xml:space="preserve">90D EL
GROSS</t>
  </si>
  <si>
    <t xml:space="preserve">45D EL
SHEET NET</t>
  </si>
  <si>
    <t xml:space="preserve">45D EL
GROSS</t>
  </si>
  <si>
    <t xml:space="preserve">FLANGE
SHEET NET</t>
  </si>
  <si>
    <t xml:space="preserve">FLANGE
GROSS</t>
  </si>
  <si>
    <t xml:space="preserve">TEE
SHEET NET</t>
  </si>
  <si>
    <t xml:space="preserve">TEE
GROSS</t>
  </si>
  <si>
    <t xml:space="preserve">GLOBE
SHEET</t>
  </si>
  <si>
    <t xml:space="preserve">GATE
SHEET</t>
  </si>
  <si>
    <t xml:space="preserve">STS BAND
(M)</t>
  </si>
  <si>
    <t xml:space="preserve">BAND CLIP
(EA)</t>
  </si>
  <si>
    <t xml:space="preserve">철선
(M/M)</t>
  </si>
  <si>
    <t xml:space="preserve">산# 5-3. 보온 자재집계 (요약)</t>
  </si>
  <si>
    <t xml:space="preserve">DESCRIPTION</t>
  </si>
  <si>
    <t xml:space="preserve">규 격</t>
  </si>
  <si>
    <t xml:space="preserve">NET</t>
  </si>
  <si>
    <t xml:space="preserve">GROSS</t>
  </si>
  <si>
    <t xml:space="preserve">산  식 / 비고</t>
  </si>
  <si>
    <t xml:space="preserve">PIPE COVER (ROCK WOOL)</t>
  </si>
  <si>
    <t xml:space="preserve">옥내</t>
  </si>
  <si>
    <t xml:space="preserve">배관 NET + FLANGE·GLOBE 호칭 COVER(올림)</t>
  </si>
  <si>
    <t xml:space="preserve">PIPE COVER (PERLITE)</t>
  </si>
  <si>
    <t xml:space="preserve">x 1.025</t>
  </si>
  <si>
    <t xml:space="preserve">각 구경 ROUND(NET x 1.025) 합</t>
  </si>
  <si>
    <t xml:space="preserve">조립식 90D ELBOW SHEET</t>
  </si>
  <si>
    <t xml:space="preserve">x 1.05</t>
  </si>
  <si>
    <t xml:space="preserve">조립식 45D ELBOW SHEET</t>
  </si>
  <si>
    <t xml:space="preserve">조립식 FLANGE SHEET</t>
  </si>
  <si>
    <t xml:space="preserve">FLG - 2 x V/V</t>
  </si>
  <si>
    <t xml:space="preserve">조립식 TEE SHEET</t>
  </si>
  <si>
    <t xml:space="preserve">조립식 GLOBE VALVE SHEET</t>
  </si>
  <si>
    <t xml:space="preserve">조립식 GATE VALVE SHEET</t>
  </si>
  <si>
    <t xml:space="preserve">ROCK WOOL FELT (50T)</t>
  </si>
  <si>
    <t xml:space="preserve">x 1.035</t>
  </si>
  <si>
    <t xml:space="preserve">㎡</t>
  </si>
  <si>
    <t xml:space="preserve">GATE VALVE R.WOOL</t>
  </si>
  <si>
    <t xml:space="preserve">LOOSE WOOL</t>
  </si>
  <si>
    <r>
      <rPr>
        <sz val="10"/>
        <rFont val="맑은 고딕"/>
        <family val="0"/>
        <charset val="1"/>
      </rPr>
      <t xml:space="preserve">x 150KG/</t>
    </r>
    <r>
      <rPr>
        <sz val="10"/>
        <rFont val="Noto Sans CJK SC"/>
        <family val="2"/>
        <charset val="1"/>
      </rPr>
      <t xml:space="preserve">㎥ </t>
    </r>
    <r>
      <rPr>
        <sz val="10"/>
        <rFont val="맑은 고딕"/>
        <family val="0"/>
        <charset val="1"/>
      </rPr>
      <t xml:space="preserve">x 1.035</t>
    </r>
  </si>
  <si>
    <r>
      <rPr>
        <sz val="10"/>
        <rFont val="맑은 고딕"/>
        <family val="0"/>
        <charset val="1"/>
      </rPr>
      <t xml:space="preserve">L.WOOL(</t>
    </r>
    <r>
      <rPr>
        <sz val="10"/>
        <rFont val="Noto Sans CJK SC"/>
        <family val="2"/>
        <charset val="1"/>
      </rPr>
      <t xml:space="preserve">㎥</t>
    </r>
    <r>
      <rPr>
        <sz val="10"/>
        <rFont val="맑은 고딕"/>
        <family val="0"/>
        <charset val="1"/>
      </rPr>
      <t xml:space="preserve">) x </t>
    </r>
    <r>
      <rPr>
        <sz val="10"/>
        <rFont val="Noto Sans CJK SC"/>
        <family val="2"/>
        <charset val="1"/>
      </rPr>
      <t xml:space="preserve">밀도 </t>
    </r>
    <r>
      <rPr>
        <sz val="10"/>
        <rFont val="맑은 고딕"/>
        <family val="0"/>
        <charset val="1"/>
      </rPr>
      <t xml:space="preserve">(FLANGE+GLOBE+GATE)</t>
    </r>
  </si>
  <si>
    <t xml:space="preserve">아연도 철선 (#18)</t>
  </si>
  <si>
    <t xml:space="preserve">8.88KG/KM x 1.05</t>
  </si>
  <si>
    <t xml:space="preserve">M→KG</t>
  </si>
  <si>
    <r>
      <rPr>
        <sz val="10"/>
        <rFont val="맑은 고딕"/>
        <family val="0"/>
        <charset val="1"/>
      </rPr>
      <t xml:space="preserve">NET=</t>
    </r>
    <r>
      <rPr>
        <sz val="10"/>
        <rFont val="Noto Sans CJK SC"/>
        <family val="2"/>
        <charset val="1"/>
      </rPr>
      <t xml:space="preserve">길이</t>
    </r>
    <r>
      <rPr>
        <sz val="10"/>
        <rFont val="맑은 고딕"/>
        <family val="0"/>
        <charset val="1"/>
      </rPr>
      <t xml:space="preserve">(M), GROSS=KG (PIPE </t>
    </r>
    <r>
      <rPr>
        <sz val="10"/>
        <rFont val="Noto Sans CJK SC"/>
        <family val="2"/>
        <charset val="1"/>
      </rPr>
      <t xml:space="preserve">철선</t>
    </r>
    <r>
      <rPr>
        <sz val="10"/>
        <rFont val="맑은 고딕"/>
        <family val="0"/>
        <charset val="1"/>
      </rPr>
      <t xml:space="preserve">+FLANGE·GLOBE)</t>
    </r>
  </si>
  <si>
    <t xml:space="preserve">STS BAND</t>
  </si>
  <si>
    <t xml:space="preserve">0.3t x 13W</t>
  </si>
  <si>
    <t xml:space="preserve">[(OD+2T)xπ+150] x 3EA/M</t>
  </si>
  <si>
    <t xml:space="preserve">STS BAND CLIP</t>
  </si>
  <si>
    <t xml:space="preserve">13W x 1.05</t>
  </si>
  <si>
    <r>
      <rPr>
        <sz val="10"/>
        <rFont val="맑은 고딕"/>
        <family val="0"/>
        <charset val="1"/>
      </rPr>
      <t xml:space="preserve">PIPE </t>
    </r>
    <r>
      <rPr>
        <sz val="10"/>
        <rFont val="Noto Sans CJK SC"/>
        <family val="2"/>
        <charset val="1"/>
      </rPr>
      <t xml:space="preserve">총길이 </t>
    </r>
    <r>
      <rPr>
        <sz val="10"/>
        <rFont val="맑은 고딕"/>
        <family val="0"/>
        <charset val="1"/>
      </rPr>
      <t xml:space="preserve">x 3EA/M</t>
    </r>
  </si>
  <si>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  <charset val="1"/>
      </rPr>
      <t xml:space="preserve">참고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Noto Sans CJK SC"/>
        <family val="2"/>
        <charset val="1"/>
      </rPr>
      <t xml:space="preserve">비규격 </t>
    </r>
    <r>
      <rPr>
        <b val="true"/>
        <sz val="10"/>
        <rFont val="맑은 고딕"/>
        <family val="0"/>
        <charset val="1"/>
      </rPr>
      <t xml:space="preserve">ELBOW </t>
    </r>
    <r>
      <rPr>
        <b val="true"/>
        <sz val="10"/>
        <rFont val="Noto Sans CJK SC"/>
        <family val="2"/>
        <charset val="1"/>
      </rPr>
      <t xml:space="preserve">길이</t>
    </r>
  </si>
  <si>
    <t xml:space="preserve">별도 반영 필요 시 PIPE COVER에 가산</t>
  </si>
  <si>
    <t xml:space="preserve">※ 보온 두께(D열)는 유체 온도·연간 사용시간별 경제 두께표(MANUAL 55p)로 입력. 철선(M/M)은 보온기준 ③ 표(키 '구경|두께')에서 조회, 없으면 'DB확인'. 장소 옥내=ROCK WOOL, 옥외=PERLITE.</t>
  </si>
  <si>
    <t xml:space="preserve">보온기준 (HANGER 간격, 할증·상수, 철선, FLANGE/GLOBE/GATE 보온 단위물량)</t>
  </si>
  <si>
    <t xml:space="preserve">파란 글씨=원본 양식 값. 표에 없는 구경·두께는 해당 DB에 행을 추가하세요(키 형식 '구경|두께', 예 '100|50'). 현재 DB는 15·50·80·150·200·250·300A 중심으로 수록.</t>
  </si>
  <si>
    <r>
      <rPr>
        <b val="true"/>
        <sz val="10"/>
        <rFont val="맑은 고딕"/>
        <family val="0"/>
        <charset val="1"/>
      </rPr>
      <t xml:space="preserve">① HANGER </t>
    </r>
    <r>
      <rPr>
        <b val="true"/>
        <sz val="10"/>
        <rFont val="Noto Sans CJK SC"/>
        <family val="2"/>
        <charset val="1"/>
      </rPr>
      <t xml:space="preserve">간격</t>
    </r>
  </si>
  <si>
    <t xml:space="preserve">② 할증·상수</t>
  </si>
  <si>
    <r>
      <rPr>
        <b val="true"/>
        <sz val="10"/>
        <rFont val="맑은 고딕"/>
        <family val="0"/>
        <charset val="1"/>
      </rPr>
      <t xml:space="preserve">③ PIPE </t>
    </r>
    <r>
      <rPr>
        <b val="true"/>
        <sz val="10"/>
        <rFont val="Noto Sans CJK SC"/>
        <family val="2"/>
        <charset val="1"/>
      </rPr>
      <t xml:space="preserve">보온 철선</t>
    </r>
    <r>
      <rPr>
        <b val="true"/>
        <sz val="10"/>
        <rFont val="맑은 고딕"/>
        <family val="0"/>
        <charset val="1"/>
      </rPr>
      <t xml:space="preserve">(M/M) · LAGGING SHEET(</t>
    </r>
    <r>
      <rPr>
        <b val="true"/>
        <sz val="10"/>
        <rFont val="Noto Sans CJK SC"/>
        <family val="2"/>
        <charset val="1"/>
      </rPr>
      <t xml:space="preserve">㎡</t>
    </r>
    <r>
      <rPr>
        <b val="true"/>
        <sz val="10"/>
        <rFont val="맑은 고딕"/>
        <family val="0"/>
        <charset val="1"/>
      </rPr>
      <t xml:space="preserve">/M)  (</t>
    </r>
    <r>
      <rPr>
        <b val="true"/>
        <sz val="10"/>
        <rFont val="Noto Sans CJK SC"/>
        <family val="2"/>
        <charset val="1"/>
      </rPr>
      <t xml:space="preserve">키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Noto Sans CJK SC"/>
        <family val="2"/>
        <charset val="1"/>
      </rPr>
      <t xml:space="preserve">구경</t>
    </r>
    <r>
      <rPr>
        <b val="true"/>
        <sz val="10"/>
        <rFont val="맑은 고딕"/>
        <family val="0"/>
        <charset val="1"/>
      </rPr>
      <t xml:space="preserve">|</t>
    </r>
    <r>
      <rPr>
        <b val="true"/>
        <sz val="10"/>
        <rFont val="Noto Sans CJK SC"/>
        <family val="2"/>
        <charset val="1"/>
      </rPr>
      <t xml:space="preserve">두께</t>
    </r>
    <r>
      <rPr>
        <b val="true"/>
        <sz val="10"/>
        <rFont val="맑은 고딕"/>
        <family val="0"/>
        <charset val="1"/>
      </rPr>
      <t xml:space="preserve">, 50A </t>
    </r>
    <r>
      <rPr>
        <b val="true"/>
        <sz val="10"/>
        <rFont val="Noto Sans CJK SC"/>
        <family val="2"/>
        <charset val="1"/>
      </rPr>
      <t xml:space="preserve">이하는 </t>
    </r>
    <r>
      <rPr>
        <b val="true"/>
        <sz val="10"/>
        <rFont val="맑은 고딕"/>
        <family val="0"/>
        <charset val="1"/>
      </rPr>
      <t xml:space="preserve">50)</t>
    </r>
  </si>
  <si>
    <r>
      <rPr>
        <b val="true"/>
        <sz val="10"/>
        <rFont val="맑은 고딕"/>
        <family val="0"/>
        <charset val="1"/>
      </rPr>
      <t xml:space="preserve">④ FLANGE </t>
    </r>
    <r>
      <rPr>
        <b val="true"/>
        <sz val="10"/>
        <rFont val="Noto Sans CJK SC"/>
        <family val="2"/>
        <charset val="1"/>
      </rPr>
      <t xml:space="preserve">보온 </t>
    </r>
    <r>
      <rPr>
        <b val="true"/>
        <sz val="10"/>
        <rFont val="맑은 고딕"/>
        <family val="0"/>
        <charset val="1"/>
      </rPr>
      <t xml:space="preserve">(SET</t>
    </r>
    <r>
      <rPr>
        <b val="true"/>
        <sz val="10"/>
        <rFont val="Noto Sans CJK SC"/>
        <family val="2"/>
        <charset val="1"/>
      </rPr>
      <t xml:space="preserve">당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</si>
  <si>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⑤ GLOBE VALVE </t>
    </r>
    <r>
      <rPr>
        <b val="true"/>
        <sz val="10"/>
        <rFont val="Noto Sans CJK SC"/>
        <family val="2"/>
        <charset val="1"/>
      </rPr>
      <t xml:space="preserve">보온 </t>
    </r>
    <r>
      <rPr>
        <b val="true"/>
        <sz val="10"/>
        <rFont val="맑은 고딕"/>
        <family val="0"/>
        <charset val="1"/>
      </rPr>
      <t xml:space="preserve">(SET</t>
    </r>
    <r>
      <rPr>
        <b val="true"/>
        <sz val="10"/>
        <rFont val="Noto Sans CJK SC"/>
        <family val="2"/>
        <charset val="1"/>
      </rPr>
      <t xml:space="preserve">당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</si>
  <si>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⑥ GATE VALVE </t>
    </r>
    <r>
      <rPr>
        <b val="true"/>
        <sz val="10"/>
        <rFont val="Noto Sans CJK SC"/>
        <family val="2"/>
        <charset val="1"/>
      </rPr>
      <t xml:space="preserve">보온 </t>
    </r>
    <r>
      <rPr>
        <b val="true"/>
        <sz val="10"/>
        <rFont val="맑은 고딕"/>
        <family val="0"/>
        <charset val="1"/>
      </rPr>
      <t xml:space="preserve">(SET</t>
    </r>
    <r>
      <rPr>
        <b val="true"/>
        <sz val="10"/>
        <rFont val="Noto Sans CJK SC"/>
        <family val="2"/>
        <charset val="1"/>
      </rPr>
      <t xml:space="preserve">당</t>
    </r>
    <r>
      <rPr>
        <b val="true"/>
        <sz val="10"/>
        <rFont val="맑은 고딕"/>
        <family val="0"/>
        <charset val="1"/>
      </rPr>
      <t xml:space="preserve">)</t>
    </r>
  </si>
  <si>
    <t xml:space="preserve">⑦ 경제 보온두께 (A: 급수 정체기준, 3,000HR)</t>
  </si>
  <si>
    <t xml:space="preserve">간격(M)</t>
  </si>
  <si>
    <t xml:space="preserve">적용(M)</t>
  </si>
  <si>
    <t xml:space="preserve">철선(M/M)</t>
  </si>
  <si>
    <r>
      <rPr>
        <b val="true"/>
        <sz val="10"/>
        <color rgb="FFFFFFFF"/>
        <rFont val="맑은 고딕"/>
        <family val="0"/>
        <charset val="1"/>
      </rPr>
      <t xml:space="preserve">LAGGING(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/M)</t>
    </r>
  </si>
  <si>
    <r>
      <rPr>
        <b val="true"/>
        <sz val="10"/>
        <color rgb="FFFFFFFF"/>
        <rFont val="맑은 고딕"/>
        <family val="0"/>
        <charset val="1"/>
      </rPr>
      <t xml:space="preserve">C/SH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</si>
  <si>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S/C
(</t>
    </r>
    <r>
      <rPr>
        <b val="true"/>
        <sz val="10"/>
        <color rgb="FFFFFFFF"/>
        <rFont val="Noto Sans CJK SC"/>
        <family val="2"/>
        <charset val="1"/>
      </rPr>
      <t xml:space="preserve">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</si>
  <si>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H
(mm)</t>
  </si>
  <si>
    <t xml:space="preserve">옥외 PERLITE
(T)</t>
  </si>
  <si>
    <t xml:space="preserve">옥내 ROCK WOOL
(T)</t>
  </si>
  <si>
    <r>
      <rPr>
        <sz val="10"/>
        <rFont val="맑은 고딕"/>
        <family val="0"/>
        <charset val="1"/>
      </rPr>
      <t xml:space="preserve">PIPE COVER(ROCK WOOL, PERLITE) </t>
    </r>
    <r>
      <rPr>
        <sz val="10"/>
        <rFont val="Noto Sans CJK SC"/>
        <family val="2"/>
        <charset val="1"/>
      </rPr>
      <t xml:space="preserve">할증</t>
    </r>
  </si>
  <si>
    <t xml:space="preserve">50|30</t>
  </si>
  <si>
    <t xml:space="preserve">15|30</t>
  </si>
  <si>
    <t xml:space="preserve">조립식 PIPE SHEET 할증</t>
  </si>
  <si>
    <t xml:space="preserve">50|50</t>
  </si>
  <si>
    <t xml:space="preserve">15|40</t>
  </si>
  <si>
    <t xml:space="preserve">조립식 FITTING SHEET 할증(VALVE 外)</t>
  </si>
  <si>
    <t xml:space="preserve">65|30</t>
  </si>
  <si>
    <t xml:space="preserve">15|50</t>
  </si>
  <si>
    <r>
      <rPr>
        <sz val="10"/>
        <rFont val="맑은 고딕"/>
        <family val="0"/>
        <charset val="1"/>
      </rPr>
      <t xml:space="preserve">ROCK WOOL FELT·LOOSE WOOL </t>
    </r>
    <r>
      <rPr>
        <sz val="10"/>
        <rFont val="Noto Sans CJK SC"/>
        <family val="2"/>
        <charset val="1"/>
      </rPr>
      <t xml:space="preserve">할증</t>
    </r>
  </si>
  <si>
    <t xml:space="preserve">65|50</t>
  </si>
  <si>
    <t xml:space="preserve">15|65</t>
  </si>
  <si>
    <t xml:space="preserve">아연도 철선(#18) 할증</t>
  </si>
  <si>
    <t xml:space="preserve">80|30</t>
  </si>
  <si>
    <r>
      <rPr>
        <sz val="10"/>
        <rFont val="맑은 고딕"/>
        <family val="0"/>
        <charset val="1"/>
      </rPr>
      <t xml:space="preserve">STS BAND CLIP </t>
    </r>
    <r>
      <rPr>
        <sz val="10"/>
        <rFont val="Noto Sans CJK SC"/>
        <family val="2"/>
        <charset val="1"/>
      </rPr>
      <t xml:space="preserve">할증</t>
    </r>
  </si>
  <si>
    <t xml:space="preserve">80|50</t>
  </si>
  <si>
    <t xml:space="preserve">50|40</t>
  </si>
  <si>
    <t xml:space="preserve">철선(#18) 단위중량 (KG/KM)</t>
  </si>
  <si>
    <t xml:space="preserve">90|30</t>
  </si>
  <si>
    <r>
      <rPr>
        <sz val="10"/>
        <rFont val="맑은 고딕"/>
        <family val="0"/>
        <charset val="1"/>
      </rPr>
      <t xml:space="preserve">LOOSE WOOL </t>
    </r>
    <r>
      <rPr>
        <sz val="10"/>
        <rFont val="Noto Sans CJK SC"/>
        <family val="2"/>
        <charset val="1"/>
      </rPr>
      <t xml:space="preserve">밀도 </t>
    </r>
    <r>
      <rPr>
        <sz val="10"/>
        <rFont val="맑은 고딕"/>
        <family val="0"/>
        <charset val="1"/>
      </rPr>
      <t xml:space="preserve">(KG/</t>
    </r>
    <r>
      <rPr>
        <sz val="10"/>
        <rFont val="Noto Sans CJK SC"/>
        <family val="2"/>
        <charset val="1"/>
      </rPr>
      <t xml:space="preserve">㎥</t>
    </r>
    <r>
      <rPr>
        <sz val="10"/>
        <rFont val="맑은 고딕"/>
        <family val="0"/>
        <charset val="1"/>
      </rPr>
      <t xml:space="preserve">)</t>
    </r>
  </si>
  <si>
    <t xml:space="preserve">90|50</t>
  </si>
  <si>
    <t xml:space="preserve">50|65</t>
  </si>
  <si>
    <r>
      <rPr>
        <sz val="10"/>
        <rFont val="맑은 고딕"/>
        <family val="0"/>
        <charset val="1"/>
      </rPr>
      <t xml:space="preserve">STS BAND </t>
    </r>
    <r>
      <rPr>
        <sz val="10"/>
        <rFont val="Noto Sans CJK SC"/>
        <family val="2"/>
        <charset val="1"/>
      </rPr>
      <t xml:space="preserve">여유길이 </t>
    </r>
    <r>
      <rPr>
        <sz val="10"/>
        <rFont val="맑은 고딕"/>
        <family val="0"/>
        <charset val="1"/>
      </rPr>
      <t xml:space="preserve">(mm)</t>
    </r>
  </si>
  <si>
    <t xml:space="preserve">100|30</t>
  </si>
  <si>
    <t xml:space="preserve">50|75</t>
  </si>
  <si>
    <r>
      <rPr>
        <sz val="10"/>
        <rFont val="맑은 고딕"/>
        <family val="0"/>
        <charset val="1"/>
      </rPr>
      <t xml:space="preserve">STS BAND·CLIP </t>
    </r>
    <r>
      <rPr>
        <sz val="10"/>
        <rFont val="Noto Sans CJK SC"/>
        <family val="2"/>
        <charset val="1"/>
      </rPr>
      <t xml:space="preserve">개수 </t>
    </r>
    <r>
      <rPr>
        <sz val="10"/>
        <rFont val="맑은 고딕"/>
        <family val="0"/>
        <charset val="1"/>
      </rPr>
      <t xml:space="preserve">(EA/M)</t>
    </r>
  </si>
  <si>
    <t xml:space="preserve">100|50</t>
  </si>
  <si>
    <t xml:space="preserve">50|90</t>
  </si>
  <si>
    <r>
      <rPr>
        <sz val="10"/>
        <rFont val="맑은 고딕"/>
        <family val="0"/>
        <charset val="1"/>
      </rPr>
      <t xml:space="preserve">ELBOW </t>
    </r>
    <r>
      <rPr>
        <sz val="10"/>
        <rFont val="Noto Sans CJK SC"/>
        <family val="2"/>
        <charset val="1"/>
      </rPr>
      <t xml:space="preserve">곡률반경 계수 </t>
    </r>
    <r>
      <rPr>
        <sz val="10"/>
        <rFont val="맑은 고딕"/>
        <family val="0"/>
        <charset val="1"/>
      </rPr>
      <t xml:space="preserve">(LR=1.5 x DN)</t>
    </r>
  </si>
  <si>
    <t xml:space="preserve">125|30</t>
  </si>
  <si>
    <t xml:space="preserve">비규격 ELBOW 할증(손실)</t>
  </si>
  <si>
    <t xml:space="preserve">125|50</t>
  </si>
  <si>
    <t xml:space="preserve">80|40</t>
  </si>
  <si>
    <r>
      <rPr>
        <sz val="10"/>
        <rFont val="맑은 고딕"/>
        <family val="0"/>
        <charset val="1"/>
      </rPr>
      <t xml:space="preserve">FLANGE·VALVE </t>
    </r>
    <r>
      <rPr>
        <sz val="10"/>
        <rFont val="Noto Sans CJK SC"/>
        <family val="2"/>
        <charset val="1"/>
      </rPr>
      <t xml:space="preserve">철선 상수 </t>
    </r>
    <r>
      <rPr>
        <sz val="10"/>
        <rFont val="맑은 고딕"/>
        <family val="0"/>
        <charset val="1"/>
      </rPr>
      <t xml:space="preserve">(M/SET)</t>
    </r>
  </si>
  <si>
    <t xml:space="preserve">150|30</t>
  </si>
  <si>
    <t xml:space="preserve">150|50</t>
  </si>
  <si>
    <t xml:space="preserve">80|65</t>
  </si>
  <si>
    <t xml:space="preserve">200|30</t>
  </si>
  <si>
    <t xml:space="preserve">80|75</t>
  </si>
  <si>
    <t xml:space="preserve">200|50</t>
  </si>
  <si>
    <t xml:space="preserve">80|90</t>
  </si>
  <si>
    <t xml:space="preserve">250|30</t>
  </si>
  <si>
    <t xml:space="preserve">150|40</t>
  </si>
  <si>
    <r>
      <rPr>
        <i val="true"/>
        <sz val="10"/>
        <color rgb="FF666666"/>
        <rFont val="맑은 고딕"/>
        <family val="0"/>
        <charset val="1"/>
      </rPr>
      <t xml:space="preserve">※ 0 = </t>
    </r>
    <r>
      <rPr>
        <i val="true"/>
        <sz val="10"/>
        <color rgb="FF666666"/>
        <rFont val="Noto Sans CJK SC"/>
        <family val="2"/>
        <charset val="1"/>
      </rPr>
      <t xml:space="preserve">보온 불필요 </t>
    </r>
    <r>
      <rPr>
        <i val="true"/>
        <sz val="10"/>
        <color rgb="FF666666"/>
        <rFont val="맑은 고딕"/>
        <family val="0"/>
        <charset val="1"/>
      </rPr>
      <t xml:space="preserve">(MANUAL 55p). </t>
    </r>
    <r>
      <rPr>
        <i val="true"/>
        <sz val="10"/>
        <color rgb="FF666666"/>
        <rFont val="Noto Sans CJK SC"/>
        <family val="2"/>
        <charset val="1"/>
      </rPr>
      <t xml:space="preserve">광양 </t>
    </r>
    <r>
      <rPr>
        <i val="true"/>
        <sz val="10"/>
        <color rgb="FF666666"/>
        <rFont val="맑은 고딕"/>
        <family val="0"/>
        <charset val="1"/>
      </rPr>
      <t xml:space="preserve">250A</t>
    </r>
    <r>
      <rPr>
        <i val="true"/>
        <sz val="10"/>
        <color rgb="FF666666"/>
        <rFont val="Noto Sans CJK SC"/>
        <family val="2"/>
        <charset val="1"/>
      </rPr>
      <t xml:space="preserve">는 미보온</t>
    </r>
    <r>
      <rPr>
        <i val="true"/>
        <sz val="10"/>
        <color rgb="FF666666"/>
        <rFont val="맑은 고딕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  <charset val="1"/>
      </rPr>
      <t xml:space="preserve">보온 </t>
    </r>
    <r>
      <rPr>
        <i val="true"/>
        <sz val="10"/>
        <color rgb="FF666666"/>
        <rFont val="맑은 고딕"/>
        <family val="0"/>
        <charset val="1"/>
      </rPr>
      <t xml:space="preserve">FLAG </t>
    </r>
    <r>
      <rPr>
        <i val="true"/>
        <sz val="10"/>
        <color rgb="FF666666"/>
        <rFont val="Noto Sans CJK SC"/>
        <family val="2"/>
        <charset val="1"/>
      </rPr>
      <t xml:space="preserve">자동 판정에서 제외</t>
    </r>
    <r>
      <rPr>
        <i val="true"/>
        <sz val="10"/>
        <color rgb="FF666666"/>
        <rFont val="맑은 고딕"/>
        <family val="0"/>
        <charset val="1"/>
      </rPr>
      <t xml:space="preserve">).</t>
    </r>
  </si>
  <si>
    <t xml:space="preserve">250|50</t>
  </si>
  <si>
    <t xml:space="preserve">300|30</t>
  </si>
  <si>
    <t xml:space="preserve">150|65</t>
  </si>
  <si>
    <t xml:space="preserve">300|50</t>
  </si>
  <si>
    <t xml:space="preserve">150|75</t>
  </si>
  <si>
    <t xml:space="preserve">350|30</t>
  </si>
  <si>
    <t xml:space="preserve">150|85</t>
  </si>
  <si>
    <t xml:space="preserve">150|90</t>
  </si>
  <si>
    <t xml:space="preserve">※ 철선(M/SET) = 2π x (OD+2T)/1000 + 0.83 (원본 표와 일치). 원본 표 오기 정정: FLANGE 150A 50T L.WOOL 0.08→0.008, 250A 75T 0.18→0.018.</t>
  </si>
  <si>
    <t xml:space="preserve">350|50</t>
  </si>
  <si>
    <t xml:space="preserve">150|100</t>
  </si>
  <si>
    <t xml:space="preserve">400|30</t>
  </si>
  <si>
    <t xml:space="preserve">200|40</t>
  </si>
  <si>
    <t xml:space="preserve">400|50</t>
  </si>
  <si>
    <t xml:space="preserve">450|30</t>
  </si>
  <si>
    <t xml:space="preserve">200|65</t>
  </si>
  <si>
    <t xml:space="preserve">450|50</t>
  </si>
  <si>
    <t xml:space="preserve">200|75</t>
  </si>
  <si>
    <t xml:space="preserve">500|30</t>
  </si>
  <si>
    <t xml:space="preserve">200|85</t>
  </si>
  <si>
    <t xml:space="preserve">200|90</t>
  </si>
  <si>
    <t xml:space="preserve">500|50</t>
  </si>
  <si>
    <t xml:space="preserve">200|125</t>
  </si>
  <si>
    <t xml:space="preserve">200|100</t>
  </si>
  <si>
    <t xml:space="preserve">600|30</t>
  </si>
  <si>
    <t xml:space="preserve">250|40</t>
  </si>
  <si>
    <t xml:space="preserve">600|50</t>
  </si>
  <si>
    <t xml:space="preserve">650|30</t>
  </si>
  <si>
    <t xml:space="preserve">250|65</t>
  </si>
  <si>
    <t xml:space="preserve">650|50</t>
  </si>
  <si>
    <t xml:space="preserve">250|75</t>
  </si>
  <si>
    <t xml:space="preserve">700|30</t>
  </si>
  <si>
    <t xml:space="preserve">250|85</t>
  </si>
  <si>
    <t xml:space="preserve">250|90</t>
  </si>
  <si>
    <t xml:space="preserve">700|50</t>
  </si>
  <si>
    <t xml:space="preserve">250|100</t>
  </si>
  <si>
    <t xml:space="preserve">250|125</t>
  </si>
  <si>
    <t xml:space="preserve">300|40</t>
  </si>
  <si>
    <t xml:space="preserve">300|65</t>
  </si>
  <si>
    <t xml:space="preserve">300|75</t>
  </si>
  <si>
    <t xml:space="preserve">300|85</t>
  </si>
  <si>
    <t xml:space="preserve">300|90</t>
  </si>
  <si>
    <t xml:space="preserve">300|100</t>
  </si>
  <si>
    <t xml:space="preserve">300|125</t>
  </si>
  <si>
    <t xml:space="preserve">배관기준 (단중표 / 합금강 재질할증 / 촬영매수 / 품셈코드 / 적용 상수)</t>
  </si>
  <si>
    <t xml:space="preserve">파란 글씨=매뉴얼 기준값. 근거: 3-2 배관공사 첨부 #2(단위환산표), 합금강 할증표, 3-4 아. 비파괴검사, 5-7 63공종 배관.</t>
  </si>
  <si>
    <t xml:space="preserve">① 배관 단중 (KG/M)</t>
  </si>
  <si>
    <t xml:space="preserve">② 합금강 재질 할증 (%, 구경 컬럼: 50=50A이하, 사이 구경은 다음 큰 컬럼 적용)</t>
  </si>
  <si>
    <t xml:space="preserve">③ 촬영매수/JOINT</t>
  </si>
  <si>
    <t xml:space="preserve">④ 품셈 순번 (W6311 / W6312)</t>
  </si>
  <si>
    <t xml:space="preserve">⑤ 적용 상수</t>
  </si>
  <si>
    <t xml:space="preserve">⑥ 용접용 ARGON 소요량 (ℓ/JOINT, 6M당 개소)</t>
  </si>
  <si>
    <r>
      <rPr>
        <b val="true"/>
        <sz val="10"/>
        <rFont val="맑은 고딕"/>
        <family val="0"/>
        <charset val="1"/>
      </rPr>
      <t xml:space="preserve">PLATE </t>
    </r>
    <r>
      <rPr>
        <b val="true"/>
        <sz val="10"/>
        <rFont val="Noto Sans CJK SC"/>
        <family val="2"/>
        <charset val="1"/>
      </rPr>
      <t xml:space="preserve">용접용 </t>
    </r>
    <r>
      <rPr>
        <b val="true"/>
        <sz val="10"/>
        <rFont val="맑은 고딕"/>
        <family val="0"/>
        <charset val="1"/>
      </rPr>
      <t xml:space="preserve">ARGON (ℓ/M)</t>
    </r>
  </si>
  <si>
    <t xml:space="preserve">외경(mm)</t>
  </si>
  <si>
    <t xml:space="preserve">SCH80</t>
  </si>
  <si>
    <t xml:space="preserve">SCH160</t>
  </si>
  <si>
    <t xml:space="preserve">재질군 \ 구경(A)</t>
  </si>
  <si>
    <t xml:space="preserve">하한구경(A)</t>
  </si>
  <si>
    <t xml:space="preserve">촬영매수</t>
  </si>
  <si>
    <t xml:space="preserve">W6311</t>
  </si>
  <si>
    <t xml:space="preserve">탄소강관
6M당 개소</t>
  </si>
  <si>
    <r>
      <rPr>
        <b val="true"/>
        <sz val="10"/>
        <color rgb="FFFFFFFF"/>
        <rFont val="맑은 고딕"/>
        <family val="0"/>
        <charset val="1"/>
      </rPr>
      <t xml:space="preserve">STS</t>
    </r>
    <r>
      <rPr>
        <b val="true"/>
        <sz val="10"/>
        <color rgb="FFFFFFFF"/>
        <rFont val="Noto Sans CJK SC"/>
        <family val="2"/>
        <charset val="1"/>
      </rPr>
      <t xml:space="preserve">강관
</t>
    </r>
    <r>
      <rPr>
        <b val="true"/>
        <sz val="10"/>
        <color rgb="FFFFFFFF"/>
        <rFont val="맑은 고딕"/>
        <family val="0"/>
        <charset val="1"/>
      </rPr>
      <t xml:space="preserve">6M</t>
    </r>
    <r>
      <rPr>
        <b val="true"/>
        <sz val="10"/>
        <color rgb="FFFFFFFF"/>
        <rFont val="Noto Sans CJK SC"/>
        <family val="2"/>
        <charset val="1"/>
      </rPr>
      <t xml:space="preserve">당 개소</t>
    </r>
  </si>
  <si>
    <t xml:space="preserve">ℓ/M</t>
  </si>
  <si>
    <r>
      <rPr>
        <sz val="10"/>
        <color rgb="FF0000FF"/>
        <rFont val="맑은 고딕"/>
        <family val="0"/>
        <charset val="1"/>
      </rPr>
      <t xml:space="preserve">Mo/Cr</t>
    </r>
    <r>
      <rPr>
        <sz val="10"/>
        <color rgb="FF0000FF"/>
        <rFont val="Noto Sans CJK SC"/>
        <family val="2"/>
        <charset val="1"/>
      </rPr>
      <t xml:space="preserve">합금강</t>
    </r>
    <r>
      <rPr>
        <sz val="10"/>
        <color rgb="FF0000FF"/>
        <rFont val="맑은 고딕"/>
        <family val="0"/>
        <charset val="1"/>
      </rPr>
      <t xml:space="preserve">(A335-P1,P2,P3,P11,P12)</t>
    </r>
  </si>
  <si>
    <r>
      <rPr>
        <sz val="10"/>
        <rFont val="맑은 고딕"/>
        <family val="0"/>
        <charset val="1"/>
      </rPr>
      <t xml:space="preserve">A01 FITTING</t>
    </r>
    <r>
      <rPr>
        <sz val="10"/>
        <rFont val="Noto Sans CJK SC"/>
        <family val="2"/>
        <charset val="1"/>
      </rPr>
      <t xml:space="preserve">할증 최소 적용구경</t>
    </r>
    <r>
      <rPr>
        <sz val="10"/>
        <rFont val="맑은 고딕"/>
        <family val="0"/>
        <charset val="1"/>
      </rPr>
      <t xml:space="preserve">(A)</t>
    </r>
  </si>
  <si>
    <t xml:space="preserve">원본 4-1 집계표 15A 공란 패턴 기준 (확인 필요)</t>
  </si>
  <si>
    <r>
      <rPr>
        <sz val="10"/>
        <color rgb="FF0000FF"/>
        <rFont val="맑은 고딕"/>
        <family val="0"/>
        <charset val="1"/>
      </rPr>
      <t xml:space="preserve">Cr</t>
    </r>
    <r>
      <rPr>
        <sz val="10"/>
        <color rgb="FF0000FF"/>
        <rFont val="Noto Sans CJK SC"/>
        <family val="2"/>
        <charset val="1"/>
      </rPr>
      <t xml:space="preserve">합금강</t>
    </r>
    <r>
      <rPr>
        <sz val="10"/>
        <color rgb="FF0000FF"/>
        <rFont val="맑은 고딕"/>
        <family val="0"/>
        <charset val="1"/>
      </rPr>
      <t xml:space="preserve">(A335-P3b,P21,P22,P5bc)</t>
    </r>
  </si>
  <si>
    <r>
      <rPr>
        <sz val="10"/>
        <rFont val="맑은 고딕"/>
        <family val="0"/>
        <charset val="1"/>
      </rPr>
      <t xml:space="preserve">A01 </t>
    </r>
    <r>
      <rPr>
        <sz val="10"/>
        <rFont val="Noto Sans CJK SC"/>
        <family val="2"/>
        <charset val="1"/>
      </rPr>
      <t xml:space="preserve">기준 </t>
    </r>
    <r>
      <rPr>
        <sz val="10"/>
        <rFont val="맑은 고딕"/>
        <family val="0"/>
        <charset val="1"/>
      </rPr>
      <t xml:space="preserve">FITTING </t>
    </r>
    <r>
      <rPr>
        <sz val="10"/>
        <rFont val="Noto Sans CJK SC"/>
        <family val="2"/>
        <charset val="1"/>
      </rPr>
      <t xml:space="preserve">비율</t>
    </r>
  </si>
  <si>
    <r>
      <rPr>
        <sz val="10"/>
        <rFont val="맑은 고딕"/>
        <family val="0"/>
        <charset val="1"/>
      </rPr>
      <t xml:space="preserve">3-2 </t>
    </r>
    <r>
      <rPr>
        <sz val="10"/>
        <rFont val="Noto Sans CJK SC"/>
        <family val="2"/>
        <charset val="1"/>
      </rPr>
      <t xml:space="preserve">다</t>
    </r>
    <r>
      <rPr>
        <sz val="10"/>
        <rFont val="맑은 고딕"/>
        <family val="0"/>
        <charset val="1"/>
      </rPr>
      <t xml:space="preserve">. 4) FITTING</t>
    </r>
    <r>
      <rPr>
        <sz val="10"/>
        <rFont val="Noto Sans CJK SC"/>
        <family val="2"/>
        <charset val="1"/>
      </rPr>
      <t xml:space="preserve">중량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전체중량</t>
    </r>
    <r>
      <rPr>
        <sz val="10"/>
        <rFont val="맑은 고딕"/>
        <family val="0"/>
        <charset val="1"/>
      </rPr>
      <t xml:space="preserve">-0.3</t>
    </r>
  </si>
  <si>
    <r>
      <rPr>
        <sz val="10"/>
        <color rgb="FF0000FF"/>
        <rFont val="맑은 고딕"/>
        <family val="0"/>
        <charset val="1"/>
      </rPr>
      <t xml:space="preserve">Cr</t>
    </r>
    <r>
      <rPr>
        <sz val="10"/>
        <color rgb="FF0000FF"/>
        <rFont val="Noto Sans CJK SC"/>
        <family val="2"/>
        <charset val="1"/>
      </rPr>
      <t xml:space="preserve">합금강</t>
    </r>
    <r>
      <rPr>
        <sz val="10"/>
        <color rgb="FF0000FF"/>
        <rFont val="맑은 고딕"/>
        <family val="0"/>
        <charset val="1"/>
      </rPr>
      <t xml:space="preserve">(A335-P7,P9)/Ni</t>
    </r>
    <r>
      <rPr>
        <sz val="10"/>
        <color rgb="FF0000FF"/>
        <rFont val="Noto Sans CJK SC"/>
        <family val="2"/>
        <charset val="1"/>
      </rPr>
      <t xml:space="preserve">합금강</t>
    </r>
    <r>
      <rPr>
        <sz val="10"/>
        <color rgb="FF0000FF"/>
        <rFont val="맑은 고딕"/>
        <family val="0"/>
        <charset val="1"/>
      </rPr>
      <t xml:space="preserve">(A333-Gr3)</t>
    </r>
  </si>
  <si>
    <r>
      <rPr>
        <sz val="10"/>
        <rFont val="맑은 고딕"/>
        <family val="0"/>
        <charset val="1"/>
      </rPr>
      <t xml:space="preserve">JOINT </t>
    </r>
    <r>
      <rPr>
        <sz val="10"/>
        <rFont val="Noto Sans CJK SC"/>
        <family val="2"/>
        <charset val="1"/>
      </rPr>
      <t xml:space="preserve">산출 길이</t>
    </r>
    <r>
      <rPr>
        <sz val="10"/>
        <rFont val="맑은 고딕"/>
        <family val="0"/>
        <charset val="1"/>
      </rPr>
      <t xml:space="preserve">(M/</t>
    </r>
    <r>
      <rPr>
        <sz val="10"/>
        <rFont val="Noto Sans CJK SC"/>
        <family val="2"/>
        <charset val="1"/>
      </rPr>
      <t xml:space="preserve">개소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</si>
  <si>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3-4 </t>
    </r>
    <r>
      <rPr>
        <sz val="10"/>
        <rFont val="Noto Sans CJK SC"/>
        <family val="2"/>
        <charset val="1"/>
      </rPr>
      <t xml:space="preserve">아</t>
    </r>
    <r>
      <rPr>
        <sz val="10"/>
        <rFont val="맑은 고딕"/>
        <family val="0"/>
        <charset val="1"/>
      </rPr>
      <t xml:space="preserve">. 4) {</t>
    </r>
    <r>
      <rPr>
        <sz val="10"/>
        <rFont val="Noto Sans CJK SC"/>
        <family val="2"/>
        <charset val="1"/>
      </rPr>
      <t xml:space="preserve">물량</t>
    </r>
    <r>
      <rPr>
        <sz val="10"/>
        <rFont val="맑은 고딕"/>
        <family val="0"/>
        <charset val="1"/>
      </rPr>
      <t xml:space="preserve">÷</t>
    </r>
    <r>
      <rPr>
        <sz val="10"/>
        <rFont val="Noto Sans CJK SC"/>
        <family val="2"/>
        <charset val="1"/>
      </rPr>
      <t xml:space="preserve">단중</t>
    </r>
    <r>
      <rPr>
        <sz val="10"/>
        <rFont val="맑은 고딕"/>
        <family val="0"/>
        <charset val="1"/>
      </rPr>
      <t xml:space="preserve">}÷(3M/</t>
    </r>
    <r>
      <rPr>
        <sz val="10"/>
        <rFont val="Noto Sans CJK SC"/>
        <family val="2"/>
        <charset val="1"/>
      </rPr>
      <t xml:space="preserve">개소</t>
    </r>
    <r>
      <rPr>
        <sz val="10"/>
        <rFont val="맑은 고딕"/>
        <family val="0"/>
        <charset val="1"/>
      </rPr>
      <t xml:space="preserve">)</t>
    </r>
  </si>
  <si>
    <t xml:space="preserve">스텐레스강(Type304,309,310,316)</t>
  </si>
  <si>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적용계수</t>
    </r>
  </si>
  <si>
    <r>
      <rPr>
        <sz val="10"/>
        <rFont val="맑은 고딕"/>
        <family val="0"/>
        <charset val="1"/>
      </rPr>
      <t xml:space="preserve">3-4 </t>
    </r>
    <r>
      <rPr>
        <sz val="10"/>
        <rFont val="Noto Sans CJK SC"/>
        <family val="2"/>
        <charset val="1"/>
      </rPr>
      <t xml:space="preserve">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예시 </t>
    </r>
    <r>
      <rPr>
        <sz val="10"/>
        <rFont val="맑은 고딕"/>
        <family val="0"/>
        <charset val="1"/>
      </rPr>
      <t xml:space="preserve">x 1/3</t>
    </r>
  </si>
  <si>
    <t xml:space="preserve">동,황동,Everdur</t>
  </si>
  <si>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병 용량</t>
    </r>
    <r>
      <rPr>
        <sz val="10"/>
        <rFont val="맑은 고딕"/>
        <family val="0"/>
        <charset val="1"/>
      </rPr>
      <t xml:space="preserve">(L/</t>
    </r>
    <r>
      <rPr>
        <sz val="10"/>
        <rFont val="Noto Sans CJK SC"/>
        <family val="2"/>
        <charset val="1"/>
      </rPr>
      <t xml:space="preserve">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</si>
  <si>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6-6 </t>
    </r>
    <r>
      <rPr>
        <sz val="10"/>
        <rFont val="Noto Sans CJK SC"/>
        <family val="2"/>
        <charset val="1"/>
      </rPr>
      <t xml:space="preserve">마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예시</t>
    </r>
  </si>
  <si>
    <t xml:space="preserve">저온용합금강(A333-Gr1,Gr4,Gr9)</t>
  </si>
  <si>
    <r>
      <rPr>
        <sz val="10"/>
        <rFont val="맑은 고딕"/>
        <family val="0"/>
        <charset val="1"/>
      </rPr>
      <t xml:space="preserve">RT </t>
    </r>
    <r>
      <rPr>
        <sz val="10"/>
        <rFont val="Noto Sans CJK SC"/>
        <family val="2"/>
        <charset val="1"/>
      </rPr>
      <t xml:space="preserve">기본 적용률</t>
    </r>
  </si>
  <si>
    <r>
      <rPr>
        <sz val="10"/>
        <rFont val="맑은 고딕"/>
        <family val="0"/>
        <charset val="1"/>
      </rPr>
      <t xml:space="preserve">NDT 10% (10K </t>
    </r>
    <r>
      <rPr>
        <sz val="10"/>
        <rFont val="Noto Sans CJK SC"/>
        <family val="2"/>
        <charset val="1"/>
      </rPr>
      <t xml:space="preserve">미만 기준</t>
    </r>
    <r>
      <rPr>
        <sz val="10"/>
        <rFont val="맑은 고딕"/>
        <family val="0"/>
        <charset val="1"/>
      </rPr>
      <t xml:space="preserve">)</t>
    </r>
  </si>
  <si>
    <t xml:space="preserve">Hastelloy,Titanium,Ni(99%)</t>
  </si>
  <si>
    <t xml:space="preserve">철거 B01 (철거재 미사용)</t>
  </si>
  <si>
    <t xml:space="preserve">원본 4-1 집계표</t>
  </si>
  <si>
    <t xml:space="preserve">스텐인레스강(Type321&amp;347)/Cu-Ni,Monel,Inconel,Alloy20</t>
  </si>
  <si>
    <t xml:space="preserve">공통 C04</t>
  </si>
  <si>
    <t xml:space="preserve">공통할증 시트 C04 연동 (제강본동 0.15)</t>
  </si>
  <si>
    <t xml:space="preserve">알루미늄</t>
  </si>
  <si>
    <r>
      <rPr>
        <sz val="10"/>
        <rFont val="맑은 고딕"/>
        <family val="0"/>
        <charset val="1"/>
      </rPr>
      <t xml:space="preserve">S.W </t>
    </r>
    <r>
      <rPr>
        <sz val="10"/>
        <rFont val="Noto Sans CJK SC"/>
        <family val="2"/>
        <charset val="1"/>
      </rPr>
      <t xml:space="preserve">경계 구경</t>
    </r>
    <r>
      <rPr>
        <sz val="10"/>
        <rFont val="맑은 고딕"/>
        <family val="0"/>
        <charset val="1"/>
      </rPr>
      <t xml:space="preserve">(A </t>
    </r>
    <r>
      <rPr>
        <sz val="10"/>
        <rFont val="Noto Sans CJK SC"/>
        <family val="2"/>
        <charset val="1"/>
      </rPr>
      <t xml:space="preserve">이하는 </t>
    </r>
    <r>
      <rPr>
        <sz val="10"/>
        <rFont val="맑은 고딕"/>
        <family val="0"/>
        <charset val="1"/>
      </rPr>
      <t xml:space="preserve">PT </t>
    </r>
    <r>
      <rPr>
        <sz val="10"/>
        <rFont val="Noto Sans CJK SC"/>
        <family val="2"/>
        <charset val="1"/>
      </rPr>
      <t xml:space="preserve">적용</t>
    </r>
    <r>
      <rPr>
        <sz val="10"/>
        <rFont val="맑은 고딕"/>
        <family val="0"/>
        <charset val="1"/>
      </rPr>
      <t xml:space="preserve">)</t>
    </r>
  </si>
  <si>
    <t xml:space="preserve">첨부 #1 비파괴시험: 냉각수·AIR·정수 등 S.W 40A이하 PT</t>
  </si>
  <si>
    <r>
      <rPr>
        <sz val="10"/>
        <rFont val="맑은 고딕"/>
        <family val="0"/>
        <charset val="1"/>
      </rPr>
      <t xml:space="preserve">S.W PT </t>
    </r>
    <r>
      <rPr>
        <sz val="10"/>
        <rFont val="Noto Sans CJK SC"/>
        <family val="2"/>
        <charset val="1"/>
      </rPr>
      <t xml:space="preserve">적용률</t>
    </r>
  </si>
  <si>
    <t xml:space="preserve">현행 PT 10% 적용</t>
  </si>
  <si>
    <t xml:space="preserve">본(6M)단위 자재소요 적용 구경(A 이상)</t>
  </si>
  <si>
    <t xml:space="preserve">일반사항 5. 3) 650A 이상 탄소강관·합금강관 본단위</t>
  </si>
  <si>
    <t xml:space="preserve">본 길이(M)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</si>
  <si>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본 </t>
    </r>
    <r>
      <rPr>
        <sz val="10"/>
        <rFont val="맑은 고딕"/>
        <family val="0"/>
        <charset val="1"/>
      </rPr>
      <t xml:space="preserve">= 6M</t>
    </r>
  </si>
  <si>
    <t xml:space="preserve">보온 적용 시 도장 제외 (Y/N)</t>
  </si>
  <si>
    <r>
      <rPr>
        <sz val="10"/>
        <rFont val="맑은 고딕"/>
        <family val="0"/>
        <charset val="1"/>
      </rPr>
      <t xml:space="preserve">MANUAL 3-5 </t>
    </r>
    <r>
      <rPr>
        <sz val="10"/>
        <rFont val="Noto Sans CJK SC"/>
        <family val="2"/>
        <charset val="1"/>
      </rPr>
      <t xml:space="preserve">나</t>
    </r>
    <r>
      <rPr>
        <sz val="10"/>
        <rFont val="맑은 고딕"/>
        <family val="0"/>
        <charset val="1"/>
      </rPr>
      <t xml:space="preserve">. 2) </t>
    </r>
    <r>
      <rPr>
        <sz val="10"/>
        <rFont val="Noto Sans CJK SC"/>
        <family val="2"/>
        <charset val="1"/>
      </rPr>
      <t xml:space="preserve">보온적용물량 도장 비적용</t>
    </r>
  </si>
  <si>
    <t xml:space="preserve">※ 표에 없는 구경은 다음 큰 구경 값 적용(예: 32A→40A, 6~10A→15A). 300A 초과는 '확인'. 탄소강관 x 1/3, STS강관 x 100%.</t>
  </si>
  <si>
    <r>
      <rPr>
        <b val="true"/>
        <sz val="13"/>
        <rFont val="맑은 고딕"/>
        <family val="0"/>
        <charset val="1"/>
      </rPr>
      <t xml:space="preserve">PIPE SIZE &amp; SPEC'</t>
    </r>
    <r>
      <rPr>
        <b val="true"/>
        <sz val="13"/>
        <rFont val="Noto Sans CJK SC"/>
        <family val="2"/>
        <charset val="1"/>
      </rPr>
      <t xml:space="preserve">별 단중표 </t>
    </r>
    <r>
      <rPr>
        <b val="true"/>
        <sz val="13"/>
        <rFont val="맑은 고딕"/>
        <family val="0"/>
        <charset val="1"/>
      </rPr>
      <t xml:space="preserve">(KG/M)</t>
    </r>
  </si>
  <si>
    <t xml:space="preserve">파란 글씨=원본 단중표. 재질계열(SPPS/STS304/STS316)과 SCH로 단중을 조회합니다. 빈 칸=해당 규격 없음. 650A SPP·700A 이상은 SPP 단중만 있음.</t>
  </si>
  <si>
    <t xml:space="preserve">SPPS370</t>
  </si>
  <si>
    <t xml:space="preserve">STS316</t>
  </si>
  <si>
    <t xml:space="preserve">KSD3507</t>
  </si>
  <si>
    <t xml:space="preserve">SCH10</t>
  </si>
  <si>
    <t xml:space="preserve">SCH20</t>
  </si>
  <si>
    <t xml:space="preserve">SCH60</t>
  </si>
  <si>
    <t xml:space="preserve">SCH120</t>
  </si>
  <si>
    <t xml:space="preserve">SCH5</t>
  </si>
  <si>
    <t xml:space="preserve">SPPS|SCH10</t>
  </si>
  <si>
    <t xml:space="preserve">SPPS|SCH20</t>
  </si>
  <si>
    <t xml:space="preserve">SPPS|SCH40</t>
  </si>
  <si>
    <t xml:space="preserve">SPPS|SCH60</t>
  </si>
  <si>
    <t xml:space="preserve">SPPS|SCH80</t>
  </si>
  <si>
    <t xml:space="preserve">SPPS|SCH120</t>
  </si>
  <si>
    <t xml:space="preserve">SPPS|SCH160</t>
  </si>
  <si>
    <t xml:space="preserve">STS304|SCH5</t>
  </si>
  <si>
    <t xml:space="preserve">STS304|SCH10</t>
  </si>
  <si>
    <t xml:space="preserve">STS304|SCH20</t>
  </si>
  <si>
    <t xml:space="preserve">STS304|SCH40</t>
  </si>
  <si>
    <t xml:space="preserve">STS304|SCH80</t>
  </si>
  <si>
    <t xml:space="preserve">STS304|SCH120</t>
  </si>
  <si>
    <t xml:space="preserve">STS304|SCH160</t>
  </si>
  <si>
    <t xml:space="preserve">STS316|SCH5</t>
  </si>
  <si>
    <t xml:space="preserve">STS316|SCH10</t>
  </si>
  <si>
    <t xml:space="preserve">STS316|SCH20</t>
  </si>
  <si>
    <t xml:space="preserve">STS316|SCH40</t>
  </si>
  <si>
    <t xml:space="preserve">STS316|SCH80</t>
  </si>
  <si>
    <t xml:space="preserve">STS316|SCH120</t>
  </si>
  <si>
    <t xml:space="preserve">STS316|SCH160</t>
  </si>
  <si>
    <t xml:space="preserve">※ 원본 표에서 350A 이상 STS304/316은 SCH40~160 4개 값만 제공(SCH5~20 없음). 650A SPP(127)와 700A 이상 SPP는 기존 단위중량표 값.</t>
  </si>
  <si>
    <r>
      <rPr>
        <i val="true"/>
        <sz val="10"/>
        <color rgb="FF666666"/>
        <rFont val="맑은 고딕"/>
        <family val="0"/>
        <charset val="1"/>
      </rPr>
      <t xml:space="preserve">※ 1500A </t>
    </r>
    <r>
      <rPr>
        <i val="true"/>
        <sz val="10"/>
        <color rgb="FF666666"/>
        <rFont val="Noto Sans CJK SC"/>
        <family val="2"/>
        <charset val="1"/>
      </rPr>
      <t xml:space="preserve">외경</t>
    </r>
    <r>
      <rPr>
        <i val="true"/>
        <sz val="10"/>
        <color rgb="FF666666"/>
        <rFont val="맑은 고딕"/>
        <family val="0"/>
        <charset val="1"/>
      </rPr>
      <t xml:space="preserve">: </t>
    </r>
    <r>
      <rPr>
        <i val="true"/>
        <sz val="10"/>
        <color rgb="FF666666"/>
        <rFont val="Noto Sans CJK SC"/>
        <family val="2"/>
        <charset val="1"/>
      </rPr>
      <t xml:space="preserve">원본 표 </t>
    </r>
    <r>
      <rPr>
        <i val="true"/>
        <sz val="10"/>
        <color rgb="FF666666"/>
        <rFont val="맑은 고딕"/>
        <family val="0"/>
        <charset val="1"/>
      </rPr>
      <t xml:space="preserve">1574.0(</t>
    </r>
    <r>
      <rPr>
        <i val="true"/>
        <sz val="10"/>
        <color rgb="FF666666"/>
        <rFont val="Noto Sans CJK SC"/>
        <family val="2"/>
        <charset val="1"/>
      </rPr>
      <t xml:space="preserve">오기로 판단</t>
    </r>
    <r>
      <rPr>
        <i val="true"/>
        <sz val="10"/>
        <color rgb="FF666666"/>
        <rFont val="맑은 고딕"/>
        <family val="0"/>
        <charset val="1"/>
      </rPr>
      <t xml:space="preserve">), </t>
    </r>
    <r>
      <rPr>
        <i val="true"/>
        <sz val="10"/>
        <color rgb="FF666666"/>
        <rFont val="Noto Sans CJK SC"/>
        <family val="2"/>
        <charset val="1"/>
      </rPr>
      <t xml:space="preserve">단중 </t>
    </r>
    <r>
      <rPr>
        <i val="true"/>
        <sz val="10"/>
        <color rgb="FF666666"/>
        <rFont val="맑은 고딕"/>
        <family val="0"/>
        <charset val="1"/>
      </rPr>
      <t xml:space="preserve">488KG/M</t>
    </r>
    <r>
      <rPr>
        <i val="true"/>
        <sz val="10"/>
        <color rgb="FF666666"/>
        <rFont val="Noto Sans CJK SC"/>
        <family val="2"/>
        <charset val="1"/>
      </rPr>
      <t xml:space="preserve">과 맞는 </t>
    </r>
    <r>
      <rPr>
        <i val="true"/>
        <sz val="10"/>
        <color rgb="FF666666"/>
        <rFont val="맑은 고딕"/>
        <family val="0"/>
        <charset val="1"/>
      </rPr>
      <t xml:space="preserve">1524.0</t>
    </r>
    <r>
      <rPr>
        <i val="true"/>
        <sz val="10"/>
        <color rgb="FF666666"/>
        <rFont val="Noto Sans CJK SC"/>
        <family val="2"/>
        <charset val="1"/>
      </rPr>
      <t xml:space="preserve">을 배관기준에 적용</t>
    </r>
    <r>
      <rPr>
        <i val="true"/>
        <sz val="10"/>
        <color rgb="FF666666"/>
        <rFont val="맑은 고딕"/>
        <family val="0"/>
        <charset val="1"/>
      </rPr>
      <t xml:space="preserve">(PT </t>
    </r>
    <r>
      <rPr>
        <i val="true"/>
        <sz val="10"/>
        <color rgb="FF666666"/>
        <rFont val="Noto Sans CJK SC"/>
        <family val="2"/>
        <charset val="1"/>
      </rPr>
      <t xml:space="preserve">길이 산정용</t>
    </r>
    <r>
      <rPr>
        <i val="true"/>
        <sz val="10"/>
        <color rgb="FF666666"/>
        <rFont val="맑은 고딕"/>
        <family val="0"/>
        <charset val="1"/>
      </rPr>
      <t xml:space="preserve">).</t>
    </r>
  </si>
  <si>
    <t xml:space="preserve">공통 할증 (C 할증) 산출</t>
  </si>
  <si>
    <t xml:space="preserve">범례: 파란 글씨=입력, 검정=수식. 적용율(C열)이 C04는 배관기준(공통 C04)으로 연동됩니다. C 할증은 같은 군끼리 가산(합계), 타 군(A·B)과는 곱합니다.</t>
  </si>
  <si>
    <t xml:space="preserve">항목명</t>
  </si>
  <si>
    <t xml:space="preserve">적용율</t>
  </si>
  <si>
    <t xml:space="preserve">산식 / 내용</t>
  </si>
  <si>
    <t xml:space="preserve">입력 1</t>
  </si>
  <si>
    <t xml:space="preserve">입력 2</t>
  </si>
  <si>
    <t xml:space="preserve">입력 3</t>
  </si>
  <si>
    <t xml:space="preserve">입력 4</t>
  </si>
  <si>
    <t xml:space="preserve">입력 5</t>
  </si>
  <si>
    <t xml:space="preserve">C02</t>
  </si>
  <si>
    <t xml:space="preserve">고소/지하/활선 할증</t>
  </si>
  <si>
    <t xml:space="preserve">고소비계 및 옥외장소 있을 시, 품셈 참고 (기본물량산출 고소할증 최대값 자동 연동)</t>
  </si>
  <si>
    <t xml:space="preserve">C03</t>
  </si>
  <si>
    <t xml:space="preserve">단선/차단 할증</t>
  </si>
  <si>
    <t xml:space="preserve">작업중 열차 통과시, 품셈 참고</t>
  </si>
  <si>
    <t xml:space="preserve">유해지역 할증</t>
  </si>
  <si>
    <t xml:space="preserve">고온·고압 0.3 / 고열·위험물 등의 실내 0.2 / 정화조·축전지·유해 Gas 지역 0.1 / 제선 0.1 / 제강본동 0.15</t>
  </si>
  <si>
    <t xml:space="preserve">적용 지역</t>
  </si>
  <si>
    <t xml:space="preserve">제강본동</t>
  </si>
  <si>
    <t xml:space="preserve">C06</t>
  </si>
  <si>
    <t xml:space="preserve">작업시간 제한 할증</t>
  </si>
  <si>
    <t xml:space="preserve">휴전, 단수, 선로사용 중지 등 작업시간 제한시, 품셈 참고</t>
  </si>
  <si>
    <t xml:space="preserve">C07</t>
  </si>
  <si>
    <t xml:space="preserve">연장할증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</si>
  <si>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연장작업시간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작업시간</t>
    </r>
    <r>
      <rPr>
        <sz val="10"/>
        <rFont val="맑은 고딕"/>
        <family val="0"/>
        <charset val="1"/>
      </rPr>
      <t xml:space="preserve">) x 50%</t>
    </r>
  </si>
  <si>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  <charset val="1"/>
      </rPr>
      <t xml:space="preserve">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연장 작업시간</t>
    </r>
  </si>
  <si>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  <charset val="1"/>
      </rPr>
      <t xml:space="preserve">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작업시간</t>
    </r>
  </si>
  <si>
    <t xml:space="preserve">C08</t>
  </si>
  <si>
    <r>
      <rPr>
        <sz val="10"/>
        <rFont val="맑은 고딕"/>
        <family val="0"/>
        <charset val="1"/>
      </rPr>
      <t xml:space="preserve">SD/</t>
    </r>
    <r>
      <rPr>
        <sz val="10"/>
        <rFont val="Noto Sans CJK SC"/>
        <family val="2"/>
        <charset val="1"/>
      </rPr>
      <t xml:space="preserve">야간할증</t>
    </r>
  </si>
  <si>
    <t xml:space="preserve">C08-1 + C08-2 + C08-3</t>
  </si>
  <si>
    <t xml:space="preserve">C08-1</t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</si>
  <si>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  <charset val="1"/>
      </rPr>
      <t xml:space="preserve">평일 야간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</si>
  <si>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작업능률 저하 </t>
    </r>
    <r>
      <rPr>
        <sz val="10"/>
        <rFont val="맑은 고딕"/>
        <family val="0"/>
        <charset val="1"/>
      </rPr>
      <t xml:space="preserve">25% x </t>
    </r>
    <r>
      <rPr>
        <sz val="10"/>
        <rFont val="Noto Sans CJK SC"/>
        <family val="2"/>
        <charset val="1"/>
      </rPr>
      <t xml:space="preserve">야간작업 </t>
    </r>
    <r>
      <rPr>
        <sz val="10"/>
        <rFont val="맑은 고딕"/>
        <family val="0"/>
        <charset val="1"/>
      </rPr>
      <t xml:space="preserve">50%) x (</t>
    </r>
    <r>
      <rPr>
        <sz val="10"/>
        <rFont val="Noto Sans CJK SC"/>
        <family val="2"/>
        <charset val="1"/>
      </rPr>
      <t xml:space="preserve">야간시간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순수작업시간</t>
    </r>
    <r>
      <rPr>
        <sz val="10"/>
        <rFont val="맑은 고딕"/>
        <family val="0"/>
        <charset val="1"/>
      </rPr>
      <t xml:space="preserve">) x 7 [1</t>
    </r>
    <r>
      <rPr>
        <sz val="10"/>
        <rFont val="Noto Sans CJK SC"/>
        <family val="2"/>
        <charset val="1"/>
      </rPr>
      <t xml:space="preserve">주</t>
    </r>
    <r>
      <rPr>
        <sz val="10"/>
        <rFont val="맑은 고딕"/>
        <family val="0"/>
        <charset val="1"/>
      </rPr>
      <t xml:space="preserve">]</t>
    </r>
  </si>
  <si>
    <t xml:space="preserve">시업</t>
  </si>
  <si>
    <t xml:space="preserve">종업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</si>
  <si>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평일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작업시간</t>
    </r>
  </si>
  <si>
    <t xml:space="preserve">야간시간</t>
  </si>
  <si>
    <t xml:space="preserve">C08-2</t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</si>
  <si>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  <charset val="1"/>
      </rPr>
      <t xml:space="preserve">토요일 연장</t>
    </r>
  </si>
  <si>
    <r>
      <rPr>
        <sz val="10"/>
        <rFont val="맑은 고딕"/>
        <family val="0"/>
        <charset val="1"/>
      </rPr>
      <t xml:space="preserve">[(</t>
    </r>
    <r>
      <rPr>
        <sz val="10"/>
        <rFont val="Noto Sans CJK SC"/>
        <family val="2"/>
        <charset val="1"/>
      </rPr>
      <t xml:space="preserve">토요일 연장작업시간 </t>
    </r>
    <r>
      <rPr>
        <sz val="10"/>
        <rFont val="맑은 고딕"/>
        <family val="0"/>
        <charset val="1"/>
      </rPr>
      <t xml:space="preserve">x </t>
    </r>
    <r>
      <rPr>
        <sz val="10"/>
        <rFont val="Noto Sans CJK SC"/>
        <family val="2"/>
        <charset val="1"/>
      </rPr>
      <t xml:space="preserve">연장근로 </t>
    </r>
    <r>
      <rPr>
        <sz val="10"/>
        <rFont val="맑은 고딕"/>
        <family val="0"/>
        <charset val="1"/>
      </rPr>
      <t xml:space="preserve">50%)] / (</t>
    </r>
    <r>
      <rPr>
        <sz val="10"/>
        <rFont val="Noto Sans CJK SC"/>
        <family val="2"/>
        <charset val="1"/>
      </rPr>
      <t xml:space="preserve">총 근로 </t>
    </r>
    <r>
      <rPr>
        <sz val="10"/>
        <rFont val="맑은 고딕"/>
        <family val="0"/>
        <charset val="1"/>
      </rPr>
      <t xml:space="preserve">40 + </t>
    </r>
    <r>
      <rPr>
        <sz val="10"/>
        <rFont val="Noto Sans CJK SC"/>
        <family val="2"/>
        <charset val="1"/>
      </rPr>
      <t xml:space="preserve">토요일 연장작업시간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</si>
  <si>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작업시간</t>
    </r>
  </si>
  <si>
    <t xml:space="preserve">C08-3</t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</si>
  <si>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  <charset val="1"/>
      </rPr>
      <t xml:space="preserve">휴일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</si>
  <si>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휴일 일수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총 공사일수</t>
    </r>
    <r>
      <rPr>
        <sz val="10"/>
        <rFont val="맑은 고딕"/>
        <family val="0"/>
        <charset val="1"/>
      </rPr>
      <t xml:space="preserve">) x </t>
    </r>
    <r>
      <rPr>
        <sz val="10"/>
        <rFont val="Noto Sans CJK SC"/>
        <family val="2"/>
        <charset val="1"/>
      </rPr>
      <t xml:space="preserve">휴일근로 </t>
    </r>
    <r>
      <rPr>
        <sz val="10"/>
        <rFont val="맑은 고딕"/>
        <family val="0"/>
        <charset val="1"/>
      </rPr>
      <t xml:space="preserve">50% x (</t>
    </r>
    <r>
      <rPr>
        <sz val="10"/>
        <rFont val="Noto Sans CJK SC"/>
        <family val="2"/>
        <charset val="1"/>
      </rPr>
      <t xml:space="preserve">일요일 작업시간 </t>
    </r>
    <r>
      <rPr>
        <sz val="10"/>
        <rFont val="맑은 고딕"/>
        <family val="0"/>
        <charset val="1"/>
      </rPr>
      <t xml:space="preserve">/ 8hr)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</si>
  <si>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휴일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작업시간</t>
    </r>
  </si>
  <si>
    <t xml:space="preserve">휴일 일수</t>
  </si>
  <si>
    <t xml:space="preserve">총 공사일수</t>
  </si>
  <si>
    <t xml:space="preserve">C09</t>
  </si>
  <si>
    <t xml:space="preserve">휴일할증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</si>
  <si>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휴일일수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총 공사일수</t>
    </r>
    <r>
      <rPr>
        <sz val="10"/>
        <rFont val="맑은 고딕"/>
        <family val="0"/>
        <charset val="1"/>
      </rPr>
      <t xml:space="preserve">) x 50%  [</t>
    </r>
    <r>
      <rPr>
        <sz val="10"/>
        <rFont val="Noto Sans CJK SC"/>
        <family val="2"/>
        <charset val="1"/>
      </rPr>
      <t xml:space="preserve">휴일 작업시간이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이면 </t>
    </r>
    <r>
      <rPr>
        <sz val="10"/>
        <rFont val="맑은 고딕"/>
        <family val="0"/>
        <charset val="1"/>
      </rPr>
      <t xml:space="preserve">0 - </t>
    </r>
    <r>
      <rPr>
        <sz val="10"/>
        <rFont val="Noto Sans CJK SC"/>
        <family val="2"/>
        <charset val="1"/>
      </rPr>
      <t xml:space="preserve">원본 양식 예시 기준</t>
    </r>
    <r>
      <rPr>
        <sz val="10"/>
        <rFont val="맑은 고딕"/>
        <family val="0"/>
        <charset val="1"/>
      </rPr>
      <t xml:space="preserve">]</t>
    </r>
  </si>
  <si>
    <t xml:space="preserve">C10</t>
  </si>
  <si>
    <t xml:space="preserve">소음/협소/조업간섭/돌발</t>
  </si>
  <si>
    <r>
      <rPr>
        <sz val="10"/>
        <rFont val="맑은 고딕"/>
        <family val="0"/>
        <charset val="1"/>
      </rPr>
      <t xml:space="preserve">2HR </t>
    </r>
    <r>
      <rPr>
        <sz val="10"/>
        <rFont val="Noto Sans CJK SC"/>
        <family val="2"/>
        <charset val="1"/>
      </rPr>
      <t xml:space="preserve">이상</t>
    </r>
    <r>
      <rPr>
        <sz val="10"/>
        <rFont val="맑은 고딕"/>
        <family val="0"/>
        <charset val="1"/>
      </rPr>
      <t xml:space="preserve">: 0.2 / 0.5~2HR: 0.1  (x </t>
    </r>
    <r>
      <rPr>
        <sz val="10"/>
        <rFont val="Noto Sans CJK SC"/>
        <family val="2"/>
        <charset val="1"/>
      </rPr>
      <t xml:space="preserve">간섭물량</t>
    </r>
    <r>
      <rPr>
        <sz val="10"/>
        <rFont val="맑은 고딕"/>
        <family val="0"/>
        <charset val="1"/>
      </rPr>
      <t xml:space="preserve">%)</t>
    </r>
  </si>
  <si>
    <t xml:space="preserve">간섭시간(1일 기준, HR)</t>
  </si>
  <si>
    <t xml:space="preserve">간섭물량(%)</t>
  </si>
  <si>
    <t xml:space="preserve">합계</t>
  </si>
  <si>
    <r>
      <rPr>
        <b val="true"/>
        <sz val="10"/>
        <rFont val="맑은 고딕"/>
        <family val="0"/>
        <charset val="1"/>
      </rPr>
      <t xml:space="preserve">C </t>
    </r>
    <r>
      <rPr>
        <b val="true"/>
        <sz val="10"/>
        <rFont val="Noto Sans CJK SC"/>
        <family val="2"/>
        <charset val="1"/>
      </rPr>
      <t xml:space="preserve">할증</t>
    </r>
  </si>
  <si>
    <r>
      <rPr>
        <b val="true"/>
        <sz val="10"/>
        <rFont val="맑은 고딕"/>
        <family val="0"/>
        <charset val="1"/>
      </rPr>
      <t xml:space="preserve">C04 </t>
    </r>
    <r>
      <rPr>
        <b val="true"/>
        <sz val="10"/>
        <rFont val="Noto Sans CJK SC"/>
        <family val="2"/>
        <charset val="1"/>
      </rPr>
      <t xml:space="preserve">유해지역 할증율 기준</t>
    </r>
  </si>
  <si>
    <t xml:space="preserve">지역/구분</t>
  </si>
  <si>
    <t xml:space="preserve">고온,고압</t>
  </si>
  <si>
    <t xml:space="preserve">위험물(실내)</t>
  </si>
  <si>
    <t xml:space="preserve">유해 Gas</t>
  </si>
  <si>
    <t xml:space="preserve">제선</t>
  </si>
  <si>
    <t xml:space="preserve">※ 본 공사(2제강 4전로)는 제강본동 0.15 기본 적용(원본 4-1 집계표 C04=0.15와 일치). 원본 양식 예시는 '제선 0.1(10%)'.</t>
  </si>
  <si>
    <t xml:space="preserve">※ 중복 가산: A, B, C 할증은 같은 군은 가산, 다른 군은 곱함 → W = 기본품 x (1+ΣA) x (1+ΣB) x (1+ΣC).</t>
  </si>
  <si>
    <t xml:space="preserve">기준표 (기계 적산설계 MANUAL 3-7 장비공사 / 3-8 가설공사 근거)</t>
  </si>
  <si>
    <t xml:space="preserve">파란 글씨 = 매뉴얼 기준값(입력). 변경 시 전 시트 자동 재계산.</t>
  </si>
  <si>
    <t xml:space="preserve">① 장비 TON/DAY (설치단중 기준, 매뉴얼 3-7 가.)</t>
  </si>
  <si>
    <t xml:space="preserve">하한(ton, 초과)</t>
  </si>
  <si>
    <t xml:space="preserve">상한(ton, 이하)</t>
  </si>
  <si>
    <t xml:space="preserve">이상</t>
  </si>
  <si>
    <t xml:space="preserve">② 작업구분별 장비계수 (설치 100%, 철거 50%, 이설 125%)</t>
  </si>
  <si>
    <t xml:space="preserve">계수</t>
  </si>
  <si>
    <t xml:space="preserve">③ 고소할증 C02 계수 (설치높이 m, 하한 이상)</t>
  </si>
  <si>
    <t xml:space="preserve">하한높이(m)</t>
  </si>
  <si>
    <t xml:space="preserve">비계 구분</t>
  </si>
  <si>
    <t xml:space="preserve">비계 계수</t>
  </si>
  <si>
    <t xml:space="preserve">고소작업차 구분</t>
  </si>
  <si>
    <t xml:space="preserve">고소작업차 계수</t>
  </si>
  <si>
    <t xml:space="preserve">A</t>
  </si>
  <si>
    <t xml:space="preserve">A'</t>
  </si>
  <si>
    <t xml:space="preserve">B</t>
  </si>
  <si>
    <t xml:space="preserve">B'</t>
  </si>
  <si>
    <t xml:space="preserve">C</t>
  </si>
  <si>
    <t xml:space="preserve">C'</t>
  </si>
  <si>
    <t xml:space="preserve">D</t>
  </si>
  <si>
    <t xml:space="preserve">D'</t>
  </si>
  <si>
    <t xml:space="preserve">E</t>
  </si>
  <si>
    <t xml:space="preserve">E'</t>
  </si>
  <si>
    <t xml:space="preserve">F</t>
  </si>
  <si>
    <t xml:space="preserve">F'</t>
  </si>
  <si>
    <t xml:space="preserve">G</t>
  </si>
  <si>
    <t xml:space="preserve">G'</t>
  </si>
  <si>
    <t xml:space="preserve">H</t>
  </si>
  <si>
    <t xml:space="preserve">H'</t>
  </si>
  <si>
    <t xml:space="preserve">④ 기타 기준</t>
  </si>
  <si>
    <t xml:space="preserve">구내운반 적용비율(성품현장소운반)</t>
  </si>
  <si>
    <t xml:space="preserve">장비 1일 작업시간(HR)</t>
  </si>
  <si>
    <t xml:space="preserve">최소 장비 임대시간(HR)</t>
  </si>
  <si>
    <r>
      <rPr>
        <i val="true"/>
        <sz val="10"/>
        <color rgb="FF666666"/>
        <rFont val="맑은 고딕"/>
        <family val="0"/>
        <charset val="1"/>
      </rPr>
      <t xml:space="preserve">※ 3-7 </t>
    </r>
    <r>
      <rPr>
        <i val="true"/>
        <sz val="10"/>
        <color rgb="FF666666"/>
        <rFont val="Noto Sans CJK SC"/>
        <family val="2"/>
        <charset val="1"/>
      </rPr>
      <t xml:space="preserve">가</t>
    </r>
    <r>
      <rPr>
        <i val="true"/>
        <sz val="10"/>
        <color rgb="FF666666"/>
        <rFont val="맑은 고딕"/>
        <family val="0"/>
        <charset val="1"/>
      </rPr>
      <t xml:space="preserve">.: </t>
    </r>
    <r>
      <rPr>
        <i val="true"/>
        <sz val="10"/>
        <color rgb="FF666666"/>
        <rFont val="Noto Sans CJK SC"/>
        <family val="2"/>
        <charset val="1"/>
      </rPr>
      <t xml:space="preserve">산출 지상장비 사용시간 </t>
    </r>
    <r>
      <rPr>
        <i val="true"/>
        <sz val="10"/>
        <color rgb="FF666666"/>
        <rFont val="맑은 고딕"/>
        <family val="0"/>
        <charset val="1"/>
      </rPr>
      <t xml:space="preserve">4</t>
    </r>
    <r>
      <rPr>
        <i val="true"/>
        <sz val="10"/>
        <color rgb="FF666666"/>
        <rFont val="Noto Sans CJK SC"/>
        <family val="2"/>
        <charset val="1"/>
      </rPr>
      <t xml:space="preserve">시간 미만이면 반일대 </t>
    </r>
    <r>
      <rPr>
        <i val="true"/>
        <sz val="10"/>
        <color rgb="FF666666"/>
        <rFont val="맑은 고딕"/>
        <family val="0"/>
        <charset val="1"/>
      </rPr>
      <t xml:space="preserve">4</t>
    </r>
    <r>
      <rPr>
        <i val="true"/>
        <sz val="10"/>
        <color rgb="FF666666"/>
        <rFont val="Noto Sans CJK SC"/>
        <family val="2"/>
        <charset val="1"/>
      </rPr>
      <t xml:space="preserve">시간 적용</t>
    </r>
    <r>
      <rPr>
        <i val="true"/>
        <sz val="10"/>
        <color rgb="FF666666"/>
        <rFont val="맑은 고딕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  <charset val="1"/>
      </rPr>
      <t xml:space="preserve">설치단중 </t>
    </r>
    <r>
      <rPr>
        <i val="true"/>
        <sz val="10"/>
        <color rgb="FF666666"/>
        <rFont val="맑은 고딕"/>
        <family val="0"/>
        <charset val="1"/>
      </rPr>
      <t xml:space="preserve">30kg </t>
    </r>
    <r>
      <rPr>
        <i val="true"/>
        <sz val="10"/>
        <color rgb="FF666666"/>
        <rFont val="Noto Sans CJK SC"/>
        <family val="2"/>
        <charset val="1"/>
      </rPr>
      <t xml:space="preserve">이상만 장비비 계상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</si>
  <si>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검토사항 및 수정내역</t>
  </si>
  <si>
    <t xml:space="preserve">내용</t>
  </si>
  <si>
    <t xml:space="preserve">조치</t>
  </si>
  <si>
    <t xml:space="preserve">결정사항 (답변)</t>
  </si>
  <si>
    <t xml:space="preserve">수정 반영</t>
  </si>
  <si>
    <r>
      <rPr>
        <sz val="10"/>
        <rFont val="맑은 고딕"/>
        <family val="0"/>
        <charset val="1"/>
      </rPr>
      <t xml:space="preserve">DECK SUPPORT(8.318ton): </t>
    </r>
    <r>
      <rPr>
        <sz val="10"/>
        <rFont val="Noto Sans CJK SC"/>
        <family val="2"/>
        <charset val="1"/>
      </rPr>
      <t xml:space="preserve">원본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강재류 </t>
    </r>
    <r>
      <rPr>
        <sz val="10"/>
        <rFont val="맑은 고딕"/>
        <family val="0"/>
        <charset val="1"/>
      </rPr>
      <t xml:space="preserve">1.0-5.0TON </t>
    </r>
    <r>
      <rPr>
        <sz val="10"/>
        <rFont val="Noto Sans CJK SC"/>
        <family val="2"/>
        <charset val="1"/>
      </rPr>
      <t xml:space="preserve">이설</t>
    </r>
    <r>
      <rPr>
        <sz val="10"/>
        <rFont val="맑은 고딕"/>
        <family val="0"/>
        <charset val="1"/>
      </rPr>
      <t xml:space="preserve">' → '5.0-10.0TON </t>
    </r>
    <r>
      <rPr>
        <sz val="10"/>
        <rFont val="Noto Sans CJK SC"/>
        <family val="2"/>
        <charset val="1"/>
      </rPr>
      <t xml:space="preserve">이설</t>
    </r>
    <r>
      <rPr>
        <sz val="10"/>
        <rFont val="맑은 고딕"/>
        <family val="0"/>
        <charset val="1"/>
      </rPr>
      <t xml:space="preserve">'. W5931 A01 0 → -0.2 (K·T</t>
    </r>
    <r>
      <rPr>
        <sz val="10"/>
        <rFont val="Noto Sans CJK SC"/>
        <family val="2"/>
        <charset val="1"/>
      </rPr>
      <t xml:space="preserve">열 자동 판정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장비일수</t>
    </r>
    <r>
      <rPr>
        <sz val="10"/>
        <rFont val="맑은 고딕"/>
        <family val="0"/>
        <charset val="1"/>
      </rPr>
      <t xml:space="preserve">(23TON/DAY)</t>
    </r>
    <r>
      <rPr>
        <sz val="10"/>
        <rFont val="Noto Sans CJK SC"/>
        <family val="2"/>
        <charset val="1"/>
      </rPr>
      <t xml:space="preserve">는 변동 없음</t>
    </r>
    <r>
      <rPr>
        <sz val="10"/>
        <rFont val="맑은 고딕"/>
        <family val="0"/>
        <charset val="1"/>
      </rPr>
      <t xml:space="preserve">.</t>
    </r>
  </si>
  <si>
    <t xml:space="preserve">반영 완료</t>
  </si>
  <si>
    <t xml:space="preserve">입력 필요</t>
  </si>
  <si>
    <t xml:space="preserve">설치높이(P열) 전 항목 공란 → 고소할증 C02 미판정. 도면 기준 높이 입력 시 R열 자동 산정.</t>
  </si>
  <si>
    <t xml:space="preserve">도면 확인 후 입력</t>
  </si>
  <si>
    <t xml:space="preserve">검토</t>
  </si>
  <si>
    <r>
      <rPr>
        <sz val="10"/>
        <rFont val="맑은 고딕"/>
        <family val="0"/>
        <charset val="1"/>
      </rPr>
      <t xml:space="preserve">LANCE PIPE </t>
    </r>
    <r>
      <rPr>
        <sz val="10"/>
        <rFont val="Noto Sans CJK SC"/>
        <family val="2"/>
        <charset val="1"/>
      </rPr>
      <t xml:space="preserve">설비계열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현재 철골류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강재류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수냉 </t>
    </r>
    <r>
      <rPr>
        <sz val="10"/>
        <rFont val="맑은 고딕"/>
        <family val="0"/>
        <charset val="1"/>
      </rPr>
      <t xml:space="preserve">Lance </t>
    </r>
    <r>
      <rPr>
        <sz val="10"/>
        <rFont val="Noto Sans CJK SC"/>
        <family val="2"/>
        <charset val="1"/>
      </rPr>
      <t xml:space="preserve">등 기기 성격이면 </t>
    </r>
    <r>
      <rPr>
        <sz val="10"/>
        <rFont val="맑은 고딕"/>
        <family val="0"/>
        <charset val="1"/>
      </rPr>
      <t xml:space="preserve">I</t>
    </r>
    <r>
      <rPr>
        <sz val="10"/>
        <rFont val="Noto Sans CJK SC"/>
        <family val="2"/>
        <charset val="1"/>
      </rPr>
      <t xml:space="preserve">열을 기기류로 변경</t>
    </r>
    <r>
      <rPr>
        <sz val="10"/>
        <rFont val="맑은 고딕"/>
        <family val="0"/>
        <charset val="1"/>
      </rPr>
      <t xml:space="preserve">(TON/DAY </t>
    </r>
    <r>
      <rPr>
        <sz val="10"/>
        <rFont val="Noto Sans CJK SC"/>
        <family val="2"/>
        <charset val="1"/>
      </rPr>
      <t xml:space="preserve">및 품 재검토</t>
    </r>
    <r>
      <rPr>
        <sz val="10"/>
        <rFont val="맑은 고딕"/>
        <family val="0"/>
        <charset val="1"/>
      </rPr>
      <t xml:space="preserve">).</t>
    </r>
  </si>
  <si>
    <t xml:space="preserve">설계자 판단</t>
  </si>
  <si>
    <t xml:space="preserve">운반: 철골류 신설분(1.5ton) 성품하차/구내운반 반영 여부(V열 노란셀). 철거 HOOD 38ton 폐기 시 철거재 운반 Y 지정. 이설은 인접 이설(B03)이면 별도 운반 미반영.</t>
  </si>
  <si>
    <t xml:space="preserve">확인 후 Y/N</t>
  </si>
  <si>
    <t xml:space="preserve">철골류 0.5ton 미만: 용접장 30M 초과 시만 A01=0.3, A02=0.2 (S열 Y 지정).</t>
  </si>
  <si>
    <t xml:space="preserve">용접장 확인</t>
  </si>
  <si>
    <t xml:space="preserve">참고</t>
  </si>
  <si>
    <t xml:space="preserve">원본 총중량 표기 131.20ton은 항목별 반올림 합계이며, 수식 합계는 131.136ton.</t>
  </si>
  <si>
    <t xml:space="preserve">원본 우측 고소할증 표의 '5.04' 값은 용도가 불분명하여 계수로 사용하지 않음(C02 계수는 A~H 표 기준).</t>
  </si>
  <si>
    <t xml:space="preserve">필요 시 확인</t>
  </si>
  <si>
    <t xml:space="preserve">검증</t>
  </si>
  <si>
    <t xml:space="preserve">기본물량산출 Y열(수정-원본 장비일수 차이)이 전 행 0 → 원본 계산과 일치. 합계 5.81일 → 6일 x 8HR = 48HR.</t>
  </si>
  <si>
    <t xml:space="preserve">완료</t>
  </si>
  <si>
    <t xml:space="preserve">제작(추가)</t>
  </si>
  <si>
    <t xml:space="preserve">양식 오류 정정: PLATE 16T 기준량 16.924 → 15.924 (수식 2000/(16x7.85)), H.T BOLT 할증 일반볼트 5% → 고장력볼트 3% (매뉴얼 일반사항 5.).</t>
  </si>
  <si>
    <t xml:space="preserve">형강 도장 기준량은 매뉴얼 3-5 다. 표 값 사용. 원본 양식의 CHANNEL 값(30.357/23.123/27.664)은 표(30.58/23.424/27.888)와 달라 표 기준으로 산출.</t>
  </si>
  <si>
    <t xml:space="preserve">표 기준 적용</t>
  </si>
  <si>
    <t xml:space="preserve">표 오기 정정 6건(제작기준 시트 K11 참조). PDF 원문에 오기가 있어 규격·단중 일치로 판단해 정정했으므로 원본 확인 권장.</t>
  </si>
  <si>
    <t xml:space="preserve">확인 권장</t>
  </si>
  <si>
    <t xml:space="preserve">적용 품셈: 제작단중(SET당) 기준으로 0.5/2.5/5TON 구간 판정 → W6151 코드 자동 매칭, 555 입력SHEET 수량(TON) 자동 연동(공장만).</t>
  </si>
  <si>
    <t xml:space="preserve">확인 필요</t>
  </si>
  <si>
    <r>
      <rPr>
        <sz val="10"/>
        <rFont val="맑은 고딕"/>
        <family val="0"/>
        <charset val="1"/>
      </rPr>
      <t xml:space="preserve">545_</t>
    </r>
    <r>
      <rPr>
        <sz val="10"/>
        <rFont val="Noto Sans CJK SC"/>
        <family val="2"/>
        <charset val="1"/>
      </rPr>
      <t xml:space="preserve">설치공사 입력</t>
    </r>
    <r>
      <rPr>
        <sz val="10"/>
        <rFont val="맑은 고딕"/>
        <family val="0"/>
        <charset val="1"/>
      </rPr>
      <t xml:space="preserve">SHEET</t>
    </r>
    <r>
      <rPr>
        <sz val="10"/>
        <rFont val="Noto Sans CJK SC"/>
        <family val="2"/>
        <charset val="1"/>
      </rPr>
      <t xml:space="preserve">는 강재류 조립설치 </t>
    </r>
    <r>
      <rPr>
        <sz val="10"/>
        <rFont val="맑은 고딕"/>
        <family val="0"/>
        <charset val="1"/>
      </rPr>
      <t xml:space="preserve">0.5TON </t>
    </r>
    <r>
      <rPr>
        <sz val="10"/>
        <rFont val="Noto Sans CJK SC"/>
        <family val="2"/>
        <charset val="1"/>
      </rPr>
      <t xml:space="preserve">미만 </t>
    </r>
    <r>
      <rPr>
        <sz val="10"/>
        <rFont val="맑은 고딕"/>
        <family val="0"/>
        <charset val="1"/>
      </rPr>
      <t xml:space="preserve">A01=-0.3, 0.5-1TON A01=-0.15</t>
    </r>
    <r>
      <rPr>
        <sz val="10"/>
        <rFont val="Noto Sans CJK SC"/>
        <family val="2"/>
        <charset val="1"/>
      </rPr>
      <t xml:space="preserve">이나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요주의 </t>
    </r>
    <r>
      <rPr>
        <sz val="10"/>
        <rFont val="맑은 고딕"/>
        <family val="0"/>
        <charset val="1"/>
      </rPr>
      <t xml:space="preserve">Work Code(</t>
    </r>
    <r>
      <rPr>
        <sz val="10"/>
        <rFont val="Noto Sans CJK SC"/>
        <family val="2"/>
        <charset val="1"/>
      </rPr>
      <t xml:space="preserve">매뉴얼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는 </t>
    </r>
    <r>
      <rPr>
        <sz val="10"/>
        <rFont val="맑은 고딕"/>
        <family val="0"/>
        <charset val="1"/>
      </rPr>
      <t xml:space="preserve">+0.3/+0.15</t>
    </r>
    <r>
      <rPr>
        <sz val="10"/>
        <rFont val="Noto Sans CJK SC"/>
        <family val="2"/>
        <charset val="1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부호 불일치 확인 필요</t>
    </r>
    <r>
      <rPr>
        <sz val="10"/>
        <rFont val="맑은 고딕"/>
        <family val="0"/>
        <charset val="1"/>
      </rPr>
      <t xml:space="preserve">.</t>
    </r>
  </si>
  <si>
    <t xml:space="preserve">기준 확인</t>
  </si>
  <si>
    <t xml:space="preserve">배관(추가)</t>
  </si>
  <si>
    <t xml:space="preserve">배관 시트 구성: 배관기본물량(4-2 소재) → 배관집계(4-1 P/F·할증·품셈코드) → 배관부가물량(4-3~4-6 NDT·ARGON·도장·소재), 배관기준(DB). 합금강 재질할증표(이미지)는 배관기준 ②에 반영, F01=값/100.</t>
  </si>
  <si>
    <t xml:space="preserve">원본 4-1 집계표 옥외 5K이상 값을 직접중량으로 시드 입력 → A01 재현 확인(50A 0.215, 150A -0.066, 200A 0.394, 300A 0.502). 250A는 반올림 차이(0.067 vs 0.066), 15A는 원본 공란(최소 적용구경 50A 기준).</t>
  </si>
  <si>
    <t xml:space="preserve">시드 교체 필요</t>
  </si>
  <si>
    <t xml:space="preserve">철거 배관: 매뉴얼 3-2 다. 7)은 철거품(W6351)에 두께할증·기계실할증만 적용하나, 원본 집계표는 설치품 코드(W6312)+A01+B01(-0.8) 적용. 현재 원본 방식 유지.</t>
  </si>
  <si>
    <r>
      <rPr>
        <sz val="10"/>
        <rFont val="맑은 고딕"/>
        <family val="0"/>
        <charset val="1"/>
      </rPr>
      <t xml:space="preserve">A01 </t>
    </r>
    <r>
      <rPr>
        <sz val="10"/>
        <rFont val="Noto Sans CJK SC"/>
        <family val="2"/>
        <charset val="1"/>
      </rPr>
      <t xml:space="preserve">최소 적용구경</t>
    </r>
    <r>
      <rPr>
        <sz val="10"/>
        <rFont val="맑은 고딕"/>
        <family val="0"/>
        <charset val="1"/>
      </rPr>
      <t xml:space="preserve">(50A)</t>
    </r>
    <r>
      <rPr>
        <sz val="10"/>
        <rFont val="Noto Sans CJK SC"/>
        <family val="2"/>
        <charset val="1"/>
      </rPr>
      <t xml:space="preserve">은 원본 </t>
    </r>
    <r>
      <rPr>
        <sz val="10"/>
        <rFont val="맑은 고딕"/>
        <family val="0"/>
        <charset val="1"/>
      </rPr>
      <t xml:space="preserve">15A </t>
    </r>
    <r>
      <rPr>
        <sz val="10"/>
        <rFont val="Noto Sans CJK SC"/>
        <family val="2"/>
        <charset val="1"/>
      </rPr>
      <t xml:space="preserve">공란 패턴에서 추정한 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매뉴얼에는 구경 제한이 없어 배관기준 </t>
    </r>
    <r>
      <rPr>
        <sz val="10"/>
        <rFont val="맑은 고딕"/>
        <family val="0"/>
        <charset val="1"/>
      </rPr>
      <t xml:space="preserve">AG5</t>
    </r>
    <r>
      <rPr>
        <sz val="10"/>
        <rFont val="Noto Sans CJK SC"/>
        <family val="2"/>
        <charset val="1"/>
      </rPr>
      <t xml:space="preserve">로 조정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</si>
  <si>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소요량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갱신 양식</t>
    </r>
    <r>
      <rPr>
        <sz val="10"/>
        <rFont val="맑은 고딕"/>
        <family val="0"/>
        <charset val="1"/>
      </rPr>
      <t xml:space="preserve">(4-5) </t>
    </r>
    <r>
      <rPr>
        <sz val="10"/>
        <rFont val="Noto Sans CJK SC"/>
        <family val="2"/>
        <charset val="1"/>
      </rPr>
      <t xml:space="preserve">반영 → 배관</t>
    </r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시트 신설</t>
    </r>
    <r>
      <rPr>
        <sz val="10"/>
        <rFont val="맑은 고딕"/>
        <family val="0"/>
        <charset val="1"/>
      </rPr>
      <t xml:space="preserve">. JOINT=ROUNDUP(</t>
    </r>
    <r>
      <rPr>
        <sz val="10"/>
        <rFont val="Noto Sans CJK SC"/>
        <family val="2"/>
        <charset val="1"/>
      </rPr>
      <t xml:space="preserve">물량</t>
    </r>
    <r>
      <rPr>
        <sz val="10"/>
        <rFont val="맑은 고딕"/>
        <family val="0"/>
        <charset val="1"/>
      </rPr>
      <t xml:space="preserve">÷(</t>
    </r>
    <r>
      <rPr>
        <sz val="10"/>
        <rFont val="Noto Sans CJK SC"/>
        <family val="2"/>
        <charset val="1"/>
      </rPr>
      <t xml:space="preserve">단중</t>
    </r>
    <r>
      <rPr>
        <sz val="10"/>
        <rFont val="맑은 고딕"/>
        <family val="0"/>
        <charset val="1"/>
      </rPr>
      <t xml:space="preserve">x6M)), ℓ=JOINT x ℓ/JOINT x (</t>
    </r>
    <r>
      <rPr>
        <sz val="10"/>
        <rFont val="Noto Sans CJK SC"/>
        <family val="2"/>
        <charset val="1"/>
      </rPr>
      <t xml:space="preserve">탄소강 </t>
    </r>
    <r>
      <rPr>
        <sz val="10"/>
        <rFont val="맑은 고딕"/>
        <family val="0"/>
        <charset val="1"/>
      </rPr>
      <t xml:space="preserve">1/3, STS 100%) x 6M</t>
    </r>
    <r>
      <rPr>
        <sz val="10"/>
        <rFont val="Noto Sans CJK SC"/>
        <family val="2"/>
        <charset val="1"/>
      </rPr>
      <t xml:space="preserve">당 개소</t>
    </r>
    <r>
      <rPr>
        <sz val="10"/>
        <rFont val="맑은 고딕"/>
        <family val="0"/>
        <charset val="1"/>
      </rPr>
      <t xml:space="preserve">. ℓ/JOINT·</t>
    </r>
    <r>
      <rPr>
        <sz val="10"/>
        <rFont val="Noto Sans CJK SC"/>
        <family val="2"/>
        <charset val="1"/>
      </rPr>
      <t xml:space="preserve">개소 표는 배관기준 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</si>
  <si>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A05 </t>
    </r>
    <r>
      <rPr>
        <sz val="10"/>
        <rFont val="Noto Sans CJK SC"/>
        <family val="2"/>
        <charset val="1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이미지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는 컬럼 정렬이 깨져 </t>
    </r>
    <r>
      <rPr>
        <sz val="10"/>
        <rFont val="맑은 고딕"/>
        <family val="0"/>
        <charset val="1"/>
      </rPr>
      <t xml:space="preserve">SCH</t>
    </r>
    <r>
      <rPr>
        <sz val="10"/>
        <rFont val="Noto Sans CJK SC"/>
        <family val="2"/>
        <charset val="1"/>
      </rPr>
      <t xml:space="preserve">별 대응을 확정할 수 없어 단중비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실제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기준</t>
    </r>
    <r>
      <rPr>
        <sz val="10"/>
        <rFont val="맑은 고딕"/>
        <family val="0"/>
        <charset val="1"/>
      </rPr>
      <t xml:space="preserve">-1)</t>
    </r>
    <r>
      <rPr>
        <sz val="10"/>
        <rFont val="Noto Sans CJK SC"/>
        <family val="2"/>
        <charset val="1"/>
      </rPr>
      <t xml:space="preserve">로 산출합니다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표 외 재질은 배관집계 </t>
    </r>
    <r>
      <rPr>
        <sz val="10"/>
        <rFont val="맑은 고딕"/>
        <family val="0"/>
        <charset val="1"/>
      </rPr>
      <t xml:space="preserve">AA·AB(</t>
    </r>
    <r>
      <rPr>
        <sz val="10"/>
        <rFont val="Noto Sans CJK SC"/>
        <family val="2"/>
        <charset val="1"/>
      </rPr>
      <t xml:space="preserve">기준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실제 단중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에 입력하면 </t>
    </r>
    <r>
      <rPr>
        <sz val="10"/>
        <rFont val="맑은 고딕"/>
        <family val="0"/>
        <charset val="1"/>
      </rPr>
      <t xml:space="preserve">A05</t>
    </r>
    <r>
      <rPr>
        <sz val="10"/>
        <rFont val="Noto Sans CJK SC"/>
        <family val="2"/>
        <charset val="1"/>
      </rPr>
      <t xml:space="preserve">가 우선 계산됩니다</t>
    </r>
    <r>
      <rPr>
        <sz val="10"/>
        <rFont val="맑은 고딕"/>
        <family val="0"/>
        <charset val="1"/>
      </rPr>
      <t xml:space="preserve">. F01</t>
    </r>
    <r>
      <rPr>
        <sz val="10"/>
        <rFont val="Noto Sans CJK SC"/>
        <family val="2"/>
        <charset val="1"/>
      </rPr>
      <t xml:space="preserve">은 합금강 할증표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원본 </t>
    </r>
    <r>
      <rPr>
        <sz val="10"/>
        <rFont val="맑은 고딕"/>
        <family val="0"/>
        <charset val="1"/>
      </rPr>
      <t xml:space="preserve">F01 </t>
    </r>
    <r>
      <rPr>
        <sz val="10"/>
        <rFont val="Noto Sans CJK SC"/>
        <family val="2"/>
        <charset val="1"/>
      </rPr>
      <t xml:space="preserve">표와 동일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알루미늄 </t>
    </r>
    <r>
      <rPr>
        <sz val="10"/>
        <rFont val="맑은 고딕"/>
        <family val="0"/>
        <charset val="1"/>
      </rPr>
      <t xml:space="preserve">80A</t>
    </r>
    <r>
      <rPr>
        <sz val="10"/>
        <rFont val="Noto Sans CJK SC"/>
        <family val="2"/>
        <charset val="1"/>
      </rPr>
      <t xml:space="preserve">만 </t>
    </r>
    <r>
      <rPr>
        <sz val="10"/>
        <rFont val="맑은 고딕"/>
        <family val="0"/>
        <charset val="1"/>
      </rPr>
      <t xml:space="preserve">76.9% vs 0.76 </t>
    </r>
    <r>
      <rPr>
        <sz val="10"/>
        <rFont val="Noto Sans CJK SC"/>
        <family val="2"/>
        <charset val="1"/>
      </rPr>
      <t xml:space="preserve">차이</t>
    </r>
    <r>
      <rPr>
        <sz val="10"/>
        <rFont val="맑은 고딕"/>
        <family val="0"/>
        <charset val="1"/>
      </rPr>
      <t xml:space="preserve">).</t>
    </r>
  </si>
  <si>
    <t xml:space="preserve">확인</t>
  </si>
  <si>
    <t xml:space="preserve">갱신</t>
  </si>
  <si>
    <t xml:space="preserve">배관 GROSS 물량: 할증율표·SPP 단위중량표(6A~1500A) 반영. 단중표를 1500A까지 확장, 배관소재집계 시트 신설(Gross 물량 집계 갱신 양식): PIPE(M)=ROUNDUP, EA/SET=ROUND, 650A 이상 본(6M)단위, STS/SUS 재질은 STS 강관 5%. 4-2를 갱신 양식 소재 내역(70개 라인)으로 교체, 4-1 집계재질(U열)로 FITTING·VALVE를 배관 재질에 귀속, 도장 길이 ROUNDUP(0).</t>
  </si>
  <si>
    <r>
      <rPr>
        <sz val="10"/>
        <rFont val="맑은 고딕"/>
        <family val="0"/>
        <charset val="1"/>
      </rPr>
      <t xml:space="preserve">1500A </t>
    </r>
    <r>
      <rPr>
        <sz val="10"/>
        <rFont val="Noto Sans CJK SC"/>
        <family val="2"/>
        <charset val="1"/>
      </rPr>
      <t xml:space="preserve">외경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매뉴얼 표는 </t>
    </r>
    <r>
      <rPr>
        <sz val="10"/>
        <rFont val="맑은 고딕"/>
        <family val="0"/>
        <charset val="1"/>
      </rPr>
      <t xml:space="preserve">1574.0</t>
    </r>
    <r>
      <rPr>
        <sz val="10"/>
        <rFont val="Noto Sans CJK SC"/>
        <family val="2"/>
        <charset val="1"/>
      </rPr>
      <t xml:space="preserve">으로 기재되어 있으나 단중 </t>
    </r>
    <r>
      <rPr>
        <sz val="10"/>
        <rFont val="맑은 고딕"/>
        <family val="0"/>
        <charset val="1"/>
      </rPr>
      <t xml:space="preserve">488kg/M</t>
    </r>
    <r>
      <rPr>
        <sz val="10"/>
        <rFont val="Noto Sans CJK SC"/>
        <family val="2"/>
        <charset val="1"/>
      </rPr>
      <t xml:space="preserve">과 부합하는 값은 </t>
    </r>
    <r>
      <rPr>
        <sz val="10"/>
        <rFont val="맑은 고딕"/>
        <family val="0"/>
        <charset val="1"/>
      </rPr>
      <t xml:space="preserve">1524.0 → 1524.0 </t>
    </r>
    <r>
      <rPr>
        <sz val="10"/>
        <rFont val="Noto Sans CJK SC"/>
        <family val="2"/>
        <charset val="1"/>
      </rPr>
      <t xml:space="preserve">적용</t>
    </r>
    <r>
      <rPr>
        <sz val="10"/>
        <rFont val="맑은 고딕"/>
        <family val="0"/>
        <charset val="1"/>
      </rPr>
      <t xml:space="preserve">(PT </t>
    </r>
    <r>
      <rPr>
        <sz val="10"/>
        <rFont val="Noto Sans CJK SC"/>
        <family val="2"/>
        <charset val="1"/>
      </rPr>
      <t xml:space="preserve">길이 산정용</t>
    </r>
    <r>
      <rPr>
        <sz val="10"/>
        <rFont val="맑은 고딕"/>
        <family val="0"/>
        <charset val="1"/>
      </rPr>
      <t xml:space="preserve">). 700A </t>
    </r>
    <r>
      <rPr>
        <sz val="10"/>
        <rFont val="Noto Sans CJK SC"/>
        <family val="2"/>
        <charset val="1"/>
      </rPr>
      <t xml:space="preserve">이상은 </t>
    </r>
    <r>
      <rPr>
        <sz val="10"/>
        <rFont val="맑은 고딕"/>
        <family val="0"/>
        <charset val="1"/>
      </rPr>
      <t xml:space="preserve">SPP </t>
    </r>
    <r>
      <rPr>
        <sz val="10"/>
        <rFont val="Noto Sans CJK SC"/>
        <family val="2"/>
        <charset val="1"/>
      </rPr>
      <t xml:space="preserve">단중만 있어 </t>
    </r>
    <r>
      <rPr>
        <sz val="10"/>
        <rFont val="맑은 고딕"/>
        <family val="0"/>
        <charset val="1"/>
      </rPr>
      <t xml:space="preserve">SCH40 </t>
    </r>
    <r>
      <rPr>
        <sz val="10"/>
        <rFont val="Noto Sans CJK SC"/>
        <family val="2"/>
        <charset val="1"/>
      </rPr>
      <t xml:space="preserve">등 선택 시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  <charset val="1"/>
      </rPr>
      <t xml:space="preserve">확인 표시</t>
    </r>
    <r>
      <rPr>
        <sz val="10"/>
        <rFont val="맑은 고딕"/>
        <family val="0"/>
        <charset val="1"/>
      </rPr>
      <t xml:space="preserve">.</t>
    </r>
  </si>
  <si>
    <t xml:space="preserve">비파괴검사: S.W는 PT 적용. 냉각수·AIR·정수 등 10K 미만 S.W 40A 이하는 현행 PT 10%. 배관부가물량에서 40A 이하 → PT 10%(RT 0), 40A 초과 → RT 10%로 자동 전환(경계·적용률은 배관기준 AG13~14).</t>
  </si>
  <si>
    <r>
      <rPr>
        <sz val="10"/>
        <rFont val="맑은 고딕"/>
        <family val="0"/>
        <charset val="1"/>
      </rPr>
      <t xml:space="preserve">4-5 </t>
    </r>
    <r>
      <rPr>
        <sz val="10"/>
        <rFont val="Noto Sans CJK SC"/>
        <family val="2"/>
        <charset val="1"/>
      </rPr>
      <t xml:space="preserve">예시의 </t>
    </r>
    <r>
      <rPr>
        <sz val="10"/>
        <rFont val="맑은 고딕"/>
        <family val="0"/>
        <charset val="1"/>
      </rPr>
      <t xml:space="preserve">300A STS304 </t>
    </r>
    <r>
      <rPr>
        <sz val="10"/>
        <rFont val="Noto Sans CJK SC"/>
        <family val="2"/>
        <charset val="1"/>
      </rPr>
      <t xml:space="preserve">행은 ℓ가 공란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합계 </t>
    </r>
    <r>
      <rPr>
        <sz val="10"/>
        <rFont val="맑은 고딕"/>
        <family val="0"/>
        <charset val="1"/>
      </rPr>
      <t xml:space="preserve">11,044ℓ=2BT)</t>
    </r>
    <r>
      <rPr>
        <sz val="10"/>
        <rFont val="Noto Sans CJK SC"/>
        <family val="2"/>
        <charset val="1"/>
      </rPr>
      <t xml:space="preserve">입니다</t>
    </r>
    <r>
      <rPr>
        <sz val="10"/>
        <rFont val="맑은 고딕"/>
        <family val="0"/>
        <charset val="1"/>
      </rPr>
      <t xml:space="preserve">. STS</t>
    </r>
    <r>
      <rPr>
        <sz val="10"/>
        <rFont val="Noto Sans CJK SC"/>
        <family val="2"/>
        <charset val="1"/>
      </rPr>
      <t xml:space="preserve">강관 </t>
    </r>
    <r>
      <rPr>
        <sz val="10"/>
        <rFont val="맑은 고딕"/>
        <family val="0"/>
        <charset val="1"/>
      </rPr>
      <t xml:space="preserve">100% </t>
    </r>
    <r>
      <rPr>
        <sz val="10"/>
        <rFont val="Noto Sans CJK SC"/>
        <family val="2"/>
        <charset val="1"/>
      </rPr>
      <t xml:space="preserve">적용으로 산정하면 </t>
    </r>
    <r>
      <rPr>
        <sz val="10"/>
        <rFont val="맑은 고딕"/>
        <family val="0"/>
        <charset val="1"/>
      </rPr>
      <t xml:space="preserve">+31,560ℓ(</t>
    </r>
    <r>
      <rPr>
        <sz val="10"/>
        <rFont val="Noto Sans CJK SC"/>
        <family val="2"/>
        <charset val="1"/>
      </rPr>
      <t xml:space="preserve">합계 </t>
    </r>
    <r>
      <rPr>
        <sz val="10"/>
        <rFont val="맑은 고딕"/>
        <family val="0"/>
        <charset val="1"/>
      </rPr>
      <t xml:space="preserve">42,604ℓ=7BT). </t>
    </r>
    <r>
      <rPr>
        <sz val="10"/>
        <rFont val="Noto Sans CJK SC"/>
        <family val="2"/>
        <charset val="1"/>
      </rPr>
      <t xml:space="preserve">예시 누락인지 기준인지 확인 필요</t>
    </r>
    <r>
      <rPr>
        <sz val="10"/>
        <rFont val="맑은 고딕"/>
        <family val="0"/>
        <charset val="1"/>
      </rPr>
      <t xml:space="preserve">.</t>
    </r>
  </si>
  <si>
    <t xml:space="preserve">도장 규칙 반영 (ARGON STS 확인 필요)</t>
  </si>
  <si>
    <r>
      <rPr>
        <sz val="10"/>
        <rFont val="맑은 고딕"/>
        <family val="0"/>
        <charset val="1"/>
      </rPr>
      <t xml:space="preserve">STS304 </t>
    </r>
    <r>
      <rPr>
        <sz val="10"/>
        <rFont val="Noto Sans CJK SC"/>
        <family val="2"/>
        <charset val="1"/>
      </rPr>
      <t xml:space="preserve">배관은 도장 비적용</t>
    </r>
    <r>
      <rPr>
        <sz val="10"/>
        <rFont val="맑은 고딕"/>
        <family val="0"/>
        <charset val="1"/>
      </rPr>
      <t xml:space="preserve">(MANUAL 3-5 </t>
    </r>
    <r>
      <rPr>
        <sz val="10"/>
        <rFont val="Noto Sans CJK SC"/>
        <family val="2"/>
        <charset val="1"/>
      </rPr>
      <t xml:space="preserve">나</t>
    </r>
    <r>
      <rPr>
        <sz val="10"/>
        <rFont val="맑은 고딕"/>
        <family val="0"/>
        <charset val="1"/>
      </rPr>
      <t xml:space="preserve">. 1) </t>
    </r>
    <r>
      <rPr>
        <sz val="10"/>
        <rFont val="Noto Sans CJK SC"/>
        <family val="2"/>
        <charset val="1"/>
      </rPr>
      <t xml:space="preserve">재질별</t>
    </r>
    <r>
      <rPr>
        <sz val="10"/>
        <rFont val="맑은 고딕"/>
        <family val="0"/>
        <charset val="1"/>
      </rPr>
      <t xml:space="preserve">: STS·ALLOY STEEL </t>
    </r>
    <r>
      <rPr>
        <sz val="10"/>
        <rFont val="Noto Sans CJK SC"/>
        <family val="2"/>
        <charset val="1"/>
      </rPr>
      <t xml:space="preserve">비적용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  <charset val="1"/>
      </rPr>
      <t xml:space="preserve">대신 무도장 배관 표식도장</t>
    </r>
    <r>
      <rPr>
        <sz val="10"/>
        <rFont val="맑은 고딕"/>
        <family val="0"/>
        <charset val="1"/>
      </rPr>
      <t xml:space="preserve">(3-5 </t>
    </r>
    <r>
      <rPr>
        <sz val="10"/>
        <rFont val="Noto Sans CJK SC"/>
        <family val="2"/>
        <charset val="1"/>
      </rPr>
      <t xml:space="preserve">나</t>
    </r>
    <r>
      <rPr>
        <sz val="10"/>
        <rFont val="맑은 고딕"/>
        <family val="0"/>
        <charset val="1"/>
      </rPr>
      <t xml:space="preserve">. 4)</t>
    </r>
    <r>
      <rPr>
        <sz val="10"/>
        <rFont val="Noto Sans CJK SC"/>
        <family val="2"/>
        <charset val="1"/>
      </rPr>
      <t xml:space="preserve">을 설계 반영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보온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매설 배관도 도장 비적용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특기시방서 요구 시 </t>
    </r>
    <r>
      <rPr>
        <sz val="10"/>
        <rFont val="맑은 고딕"/>
        <family val="0"/>
        <charset val="1"/>
      </rPr>
      <t xml:space="preserve">6-7</t>
    </r>
    <r>
      <rPr>
        <sz val="10"/>
        <rFont val="Noto Sans CJK SC"/>
        <family val="2"/>
        <charset val="1"/>
      </rPr>
      <t xml:space="preserve">항 특수도장 별도 계상</t>
    </r>
    <r>
      <rPr>
        <sz val="10"/>
        <rFont val="맑은 고딕"/>
        <family val="0"/>
        <charset val="1"/>
      </rPr>
      <t xml:space="preserve">. → </t>
    </r>
    <r>
      <rPr>
        <sz val="10"/>
        <rFont val="Noto Sans CJK SC"/>
        <family val="2"/>
        <charset val="1"/>
      </rPr>
      <t xml:space="preserve">배관기본물량 도장적용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무도장 판정 및 배관부가물량 표식도장 개소에 반영</t>
    </r>
    <r>
      <rPr>
        <sz val="10"/>
        <rFont val="맑은 고딕"/>
        <family val="0"/>
        <charset val="1"/>
      </rPr>
      <t xml:space="preserve">. ※ </t>
    </r>
    <r>
      <rPr>
        <sz val="10"/>
        <rFont val="Noto Sans CJK SC"/>
        <family val="2"/>
        <charset val="1"/>
      </rPr>
      <t xml:space="preserve">제공된 답변은 </t>
    </r>
    <r>
      <rPr>
        <sz val="10"/>
        <rFont val="맑은 고딕"/>
        <family val="0"/>
        <charset val="1"/>
      </rPr>
      <t xml:space="preserve">'STS </t>
    </r>
    <r>
      <rPr>
        <sz val="10"/>
        <rFont val="Noto Sans CJK SC"/>
        <family val="2"/>
        <charset val="1"/>
      </rPr>
      <t xml:space="preserve">도장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관련이며</t>
    </r>
    <r>
      <rPr>
        <sz val="10"/>
        <rFont val="맑은 고딕"/>
        <family val="0"/>
        <charset val="1"/>
      </rPr>
      <t xml:space="preserve">, 4-5 ARGON</t>
    </r>
    <r>
      <rPr>
        <sz val="10"/>
        <rFont val="Noto Sans CJK SC"/>
        <family val="2"/>
        <charset val="1"/>
      </rPr>
      <t xml:space="preserve">에서 </t>
    </r>
    <r>
      <rPr>
        <sz val="10"/>
        <rFont val="맑은 고딕"/>
        <family val="0"/>
        <charset val="1"/>
      </rPr>
      <t xml:space="preserve">300A STS304 </t>
    </r>
    <r>
      <rPr>
        <sz val="10"/>
        <rFont val="Noto Sans CJK SC"/>
        <family val="2"/>
        <charset val="1"/>
      </rPr>
      <t xml:space="preserve">행</t>
    </r>
    <r>
      <rPr>
        <sz val="10"/>
        <rFont val="맑은 고딕"/>
        <family val="0"/>
        <charset val="1"/>
      </rPr>
      <t xml:space="preserve">(ℓ </t>
    </r>
    <r>
      <rPr>
        <sz val="10"/>
        <rFont val="Noto Sans CJK SC"/>
        <family val="2"/>
        <charset val="1"/>
      </rPr>
      <t xml:space="preserve">공란</t>
    </r>
    <r>
      <rPr>
        <sz val="10"/>
        <rFont val="맑은 고딕"/>
        <family val="0"/>
        <charset val="1"/>
      </rPr>
      <t xml:space="preserve">, +31,560ℓ) </t>
    </r>
    <r>
      <rPr>
        <sz val="10"/>
        <rFont val="Noto Sans CJK SC"/>
        <family val="2"/>
        <charset val="1"/>
      </rPr>
      <t xml:space="preserve">처리 여부는 별도 확인이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</si>
  <si>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ARGON </t>
    </r>
    <r>
      <rPr>
        <sz val="10"/>
        <rFont val="Noto Sans CJK SC"/>
        <family val="2"/>
        <charset val="1"/>
      </rPr>
      <t xml:space="preserve">표에 없는 구경</t>
    </r>
    <r>
      <rPr>
        <sz val="10"/>
        <rFont val="맑은 고딕"/>
        <family val="0"/>
        <charset val="1"/>
      </rPr>
      <t xml:space="preserve">: 32A→40A, 6~10A→15A(</t>
    </r>
    <r>
      <rPr>
        <sz val="10"/>
        <rFont val="Noto Sans CJK SC"/>
        <family val="2"/>
        <charset val="1"/>
      </rPr>
      <t xml:space="preserve">다음 큰 구경</t>
    </r>
    <r>
      <rPr>
        <sz val="10"/>
        <rFont val="맑은 고딕"/>
        <family val="0"/>
        <charset val="1"/>
      </rPr>
      <t xml:space="preserve">), 350A </t>
    </r>
    <r>
      <rPr>
        <sz val="10"/>
        <rFont val="Noto Sans CJK SC"/>
        <family val="2"/>
        <charset val="1"/>
      </rPr>
      <t xml:space="preserve">이상은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확인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표시</t>
    </r>
    <r>
      <rPr>
        <sz val="10"/>
        <rFont val="맑은 고딕"/>
        <family val="0"/>
        <charset val="1"/>
      </rPr>
      <t xml:space="preserve">. 4-5 </t>
    </r>
    <r>
      <rPr>
        <sz val="10"/>
        <rFont val="Noto Sans CJK SC"/>
        <family val="2"/>
        <charset val="1"/>
      </rPr>
      <t xml:space="preserve">물량은 </t>
    </r>
    <r>
      <rPr>
        <sz val="10"/>
        <rFont val="맑은 고딕"/>
        <family val="0"/>
        <charset val="1"/>
      </rPr>
      <t xml:space="preserve">T(PIPE+FITTING) </t>
    </r>
    <r>
      <rPr>
        <sz val="10"/>
        <rFont val="Noto Sans CJK SC"/>
        <family val="2"/>
        <charset val="1"/>
      </rPr>
      <t xml:space="preserve">기준이며 </t>
    </r>
    <r>
      <rPr>
        <sz val="10"/>
        <rFont val="맑은 고딕"/>
        <family val="0"/>
        <charset val="1"/>
      </rPr>
      <t xml:space="preserve">4-3</t>
    </r>
    <r>
      <rPr>
        <sz val="10"/>
        <rFont val="Noto Sans CJK SC"/>
        <family val="2"/>
        <charset val="1"/>
      </rPr>
      <t xml:space="preserve">의 </t>
    </r>
    <r>
      <rPr>
        <sz val="10"/>
        <rFont val="맑은 고딕"/>
        <family val="0"/>
        <charset val="1"/>
      </rPr>
      <t xml:space="preserve">JOINT</t>
    </r>
    <r>
      <rPr>
        <sz val="10"/>
        <rFont val="Noto Sans CJK SC"/>
        <family val="2"/>
        <charset val="1"/>
      </rPr>
      <t xml:space="preserve">수</t>
    </r>
    <r>
      <rPr>
        <sz val="10"/>
        <rFont val="맑은 고딕"/>
        <family val="0"/>
        <charset val="1"/>
      </rPr>
      <t xml:space="preserve">(PIPE </t>
    </r>
    <r>
      <rPr>
        <sz val="10"/>
        <rFont val="Noto Sans CJK SC"/>
        <family val="2"/>
        <charset val="1"/>
      </rPr>
      <t xml:space="preserve">길이</t>
    </r>
    <r>
      <rPr>
        <sz val="10"/>
        <rFont val="맑은 고딕"/>
        <family val="0"/>
        <charset val="1"/>
      </rPr>
      <t xml:space="preserve">÷3M)</t>
    </r>
    <r>
      <rPr>
        <sz val="10"/>
        <rFont val="Noto Sans CJK SC"/>
        <family val="2"/>
        <charset val="1"/>
      </rPr>
      <t xml:space="preserve">와 산출 기준이 다릅니다</t>
    </r>
    <r>
      <rPr>
        <sz val="10"/>
        <rFont val="맑은 고딕"/>
        <family val="0"/>
        <charset val="1"/>
      </rPr>
      <t xml:space="preserve">.</t>
    </r>
  </si>
  <si>
    <t xml:space="preserve">도장(추가)</t>
  </si>
  <si>
    <t xml:space="preserve">도장면적집계 시트(산#6) 신설: 강재류 설치·이설(기본물량산출), 제작(제작물량산출 도장 NET/GROSS), 배관(배관부가물량 도장면적) 자동 연동. 중방식 SYSTEM 기준(사급·MAKER 5%, 소재 공급분 1급·PRIMER 뿜칠 GROSS/중도·상도 NET/보수 5%).</t>
  </si>
  <si>
    <t xml:space="preserve">원본 양식의 배관 공사 행 '20/7/45'는 내화도료(PSM) 50·100·200MM 열 값으로 해석해 입력값으로 유지했습니다. 다른 의미라면 알려주세요. 일반 조합페인트(녹막이 2회) 열은 양식에 없어 중방식 기준만 반영했습니다.</t>
  </si>
  <si>
    <t xml:space="preserve">부대(추가)</t>
  </si>
  <si>
    <t xml:space="preserve">부대공사 시트 신설: 부대용접산소장비(7-1 용접봉량, 7-2 산소, 7-3 장비시간), 부대운반SCRAP(7-4 운반, 7-5 SCRAP, 운반 할증), 부대기준(기준량·상수·할증표). 7-6~7-9는 양식 수령 후 작성 예정.</t>
  </si>
  <si>
    <t xml:space="preserve">산소 기준량: 원본 예시는 강재류 설치에 '기기류 [설치] 2.4'(102M3), 기기강재류 철거에 배관 철거 3.3(142M3)을 사용했으나, 본 시트 기본값은 표준 품종(강재류 [설치] 5.4, 강재류 [철거] 2.7). 품종 드롭다운으로 원본 방식 선택 가능.</t>
  </si>
  <si>
    <r>
      <rPr>
        <sz val="10"/>
        <rFont val="맑은 고딕"/>
        <family val="0"/>
        <charset val="1"/>
      </rPr>
      <t xml:space="preserve">7-3 WELDER </t>
    </r>
    <r>
      <rPr>
        <sz val="10"/>
        <rFont val="Noto Sans CJK SC"/>
        <family val="2"/>
        <charset val="1"/>
      </rPr>
      <t xml:space="preserve">적용시간은 정수 버림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원본 </t>
    </r>
    <r>
      <rPr>
        <sz val="10"/>
        <rFont val="맑은 고딕"/>
        <family val="0"/>
        <charset val="1"/>
      </rPr>
      <t xml:space="preserve">254/109/34HR </t>
    </r>
    <r>
      <rPr>
        <sz val="10"/>
        <rFont val="Noto Sans CJK SC"/>
        <family val="2"/>
        <charset val="1"/>
      </rPr>
      <t xml:space="preserve">방식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제작 용접봉은 </t>
    </r>
    <r>
      <rPr>
        <sz val="10"/>
        <rFont val="맑은 고딕"/>
        <family val="0"/>
        <charset val="1"/>
      </rPr>
      <t xml:space="preserve">555 </t>
    </r>
    <r>
      <rPr>
        <sz val="10"/>
        <rFont val="Noto Sans CJK SC"/>
        <family val="2"/>
        <charset val="1"/>
      </rPr>
      <t xml:space="preserve">품셈 </t>
    </r>
    <r>
      <rPr>
        <sz val="10"/>
        <rFont val="맑은 고딕"/>
        <family val="0"/>
        <charset val="1"/>
      </rPr>
      <t xml:space="preserve">F06(</t>
    </r>
    <r>
      <rPr>
        <sz val="10"/>
        <rFont val="Noto Sans CJK SC"/>
        <family val="2"/>
        <charset val="1"/>
      </rPr>
      <t xml:space="preserve">전력</t>
    </r>
    <r>
      <rPr>
        <sz val="10"/>
        <rFont val="맑은 고딕"/>
        <family val="0"/>
        <charset val="1"/>
      </rPr>
      <t xml:space="preserve">)÷2.25x0.33</t>
    </r>
    <r>
      <rPr>
        <sz val="10"/>
        <rFont val="Noto Sans CJK SC"/>
        <family val="2"/>
        <charset val="1"/>
      </rPr>
      <t xml:space="preserve">으로 산정</t>
    </r>
    <r>
      <rPr>
        <sz val="10"/>
        <rFont val="맑은 고딕"/>
        <family val="0"/>
        <charset val="1"/>
      </rPr>
      <t xml:space="preserve">(MANUAL </t>
    </r>
    <r>
      <rPr>
        <sz val="10"/>
        <rFont val="Noto Sans CJK SC"/>
        <family val="2"/>
        <charset val="1"/>
      </rPr>
      <t xml:space="preserve">기준량과 일치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배관 용접봉 </t>
    </r>
    <r>
      <rPr>
        <sz val="10"/>
        <rFont val="맑은 고딕"/>
        <family val="0"/>
        <charset val="1"/>
      </rPr>
      <t xml:space="preserve">TIG 1/3(6-6 </t>
    </r>
    <r>
      <rPr>
        <sz val="10"/>
        <rFont val="Noto Sans CJK SC"/>
        <family val="2"/>
        <charset val="1"/>
      </rPr>
      <t xml:space="preserve">예시</t>
    </r>
    <r>
      <rPr>
        <sz val="10"/>
        <rFont val="맑은 고딕"/>
        <family val="0"/>
        <charset val="1"/>
      </rPr>
      <t xml:space="preserve">).</t>
    </r>
  </si>
  <si>
    <t xml:space="preserve">단중표(갱신)</t>
  </si>
  <si>
    <t xml:space="preserve">배관단중표 시트 신설: SPP·SPPS370(SCH10~160)·STS304/316(SCH5~160) 전체 표 반영. 배관기본물량 단중, 배관집계 A05, 배관ARGON 단중이 재질계열(STS304/316/SPPS)+SCH로 조회됩니다(SCH 목록 확장).</t>
  </si>
  <si>
    <t xml:space="preserve">공통할증(추가)</t>
  </si>
  <si>
    <t xml:space="preserve">공통할증 시트 신설(C02~C10 산식 포함). C04는 배관기준 AG12로 연동. C09는 원본 예시(휴일 일수 있어도 0%)에 맞춰 휴일 작업시간이 0이면 0으로 처리, C08-1의 'x 7 [1주]'는 원본 산식 그대로 적용.</t>
  </si>
  <si>
    <r>
      <rPr>
        <sz val="10"/>
        <rFont val="맑은 고딕"/>
        <family val="0"/>
        <charset val="1"/>
      </rPr>
      <t xml:space="preserve">FLAG </t>
    </r>
    <r>
      <rPr>
        <sz val="10"/>
        <rFont val="Noto Sans CJK SC"/>
        <family val="2"/>
        <charset val="1"/>
      </rPr>
      <t xml:space="preserve">일괄적용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추가</t>
    </r>
    <r>
      <rPr>
        <sz val="10"/>
        <rFont val="맑은 고딕"/>
        <family val="0"/>
        <charset val="1"/>
      </rPr>
      <t xml:space="preserve">)</t>
    </r>
  </si>
  <si>
    <t xml:space="preserve">배관집계 AC~AH열(보온·N.D.T·산세·FLUSHING·PAINT·SUPPLY)에서 ○/× 체크 → 배관기본물량 라인에 키(구분·장소·압력·재질·구경)로 자동 조회 → 도장적용(보온 시 제외·STS/매설 제외), JOINT/RT/PT(NDT 대상 길이), 산세배관 바탕처리 제외·운반, FLUSHING OIL 용적, 소재집계 SUPPLY 표시에 반영.</t>
  </si>
  <si>
    <t xml:space="preserve">원본 예시 FLAG는 INS ○와 PAINT ○가 동시에 체크되어 있어 보온 적용 배관은 도장 비적용 규칙에 따라 도장 제외됩니다(배관 도장면적 0). 보온 일부만 적용되는 경우 해당 구경 행을 보온/비보온으로 분리 입력하거나 배관기준 AG17을 N으로 변경하세요. SUPPLY(C/C) 값의 의미(공급구분)는 표시용으로만 사용합니다.</t>
  </si>
  <si>
    <t xml:space="preserve">결정 반영 (자동 판정)</t>
  </si>
  <si>
    <r>
      <rPr>
        <sz val="10"/>
        <rFont val="맑은 고딕"/>
        <family val="0"/>
        <charset val="1"/>
      </rPr>
      <t xml:space="preserve">STPG370S </t>
    </r>
    <r>
      <rPr>
        <sz val="10"/>
        <rFont val="Noto Sans CJK SC"/>
        <family val="2"/>
        <charset val="1"/>
      </rPr>
      <t xml:space="preserve">옥외 물배관은 관경에 따라 보온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도장 제외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또는 도장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보온 없음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중 하나만 적용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동파방지 보온</t>
    </r>
    <r>
      <rPr>
        <sz val="10"/>
        <rFont val="맑은 고딕"/>
        <family val="0"/>
        <charset val="1"/>
      </rPr>
      <t xml:space="preserve">(80℃ </t>
    </r>
    <r>
      <rPr>
        <sz val="10"/>
        <rFont val="Noto Sans CJK SC"/>
        <family val="2"/>
        <charset val="1"/>
      </rPr>
      <t xml:space="preserve">이하</t>
    </r>
    <r>
      <rPr>
        <sz val="10"/>
        <rFont val="맑은 고딕"/>
        <family val="0"/>
        <charset val="1"/>
      </rPr>
      <t xml:space="preserve">, 3,000HR): </t>
    </r>
    <r>
      <rPr>
        <sz val="10"/>
        <rFont val="Noto Sans CJK SC"/>
        <family val="2"/>
        <charset val="1"/>
      </rPr>
      <t xml:space="preserve">옥외 포항 </t>
    </r>
    <r>
      <rPr>
        <sz val="10"/>
        <rFont val="맑은 고딕"/>
        <family val="0"/>
        <charset val="1"/>
      </rPr>
      <t xml:space="preserve">250A </t>
    </r>
    <r>
      <rPr>
        <sz val="10"/>
        <rFont val="Noto Sans CJK SC"/>
        <family val="2"/>
        <charset val="1"/>
      </rPr>
      <t xml:space="preserve">이하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광양 </t>
    </r>
    <r>
      <rPr>
        <sz val="10"/>
        <rFont val="맑은 고딕"/>
        <family val="0"/>
        <charset val="1"/>
      </rPr>
      <t xml:space="preserve">200A </t>
    </r>
    <r>
      <rPr>
        <sz val="10"/>
        <rFont val="Noto Sans CJK SC"/>
        <family val="2"/>
        <charset val="1"/>
      </rPr>
      <t xml:space="preserve">이하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옥내 </t>
    </r>
    <r>
      <rPr>
        <sz val="10"/>
        <rFont val="맑은 고딕"/>
        <family val="0"/>
        <charset val="1"/>
      </rPr>
      <t xml:space="preserve">80A </t>
    </r>
    <r>
      <rPr>
        <sz val="10"/>
        <rFont val="Noto Sans CJK SC"/>
        <family val="2"/>
        <charset val="1"/>
      </rPr>
      <t xml:space="preserve">이하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매설 제외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  <charset val="1"/>
      </rPr>
      <t xml:space="preserve">보온재 옥외 </t>
    </r>
    <r>
      <rPr>
        <sz val="10"/>
        <rFont val="맑은 고딕"/>
        <family val="0"/>
        <charset val="1"/>
      </rPr>
      <t xml:space="preserve">PERLITE+</t>
    </r>
    <r>
      <rPr>
        <sz val="10"/>
        <rFont val="Noto Sans CJK SC"/>
        <family val="2"/>
        <charset val="1"/>
      </rPr>
      <t xml:space="preserve">착색 아연도강판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두께 </t>
    </r>
    <r>
      <rPr>
        <sz val="10"/>
        <rFont val="맑은 고딕"/>
        <family val="0"/>
        <charset val="1"/>
      </rPr>
      <t xml:space="preserve">15~80A 50T / 90~250A 30T / 300A </t>
    </r>
    <r>
      <rPr>
        <sz val="10"/>
        <rFont val="Noto Sans CJK SC"/>
        <family val="2"/>
        <charset val="1"/>
      </rPr>
      <t xml:space="preserve">이상 불필요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광양 </t>
    </r>
    <r>
      <rPr>
        <sz val="10"/>
        <rFont val="맑은 고딕"/>
        <family val="0"/>
        <charset val="1"/>
      </rPr>
      <t xml:space="preserve">250A </t>
    </r>
    <r>
      <rPr>
        <sz val="10"/>
        <rFont val="Noto Sans CJK SC"/>
        <family val="2"/>
        <charset val="1"/>
      </rPr>
      <t xml:space="preserve">미보온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보온 구간은 표식도장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보온 안 하는 큰 관경만 도장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바탕처리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하도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상도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회</t>
    </r>
    <r>
      <rPr>
        <sz val="10"/>
        <rFont val="맑은 고딕"/>
        <family val="0"/>
        <charset val="1"/>
      </rPr>
      <t xml:space="preserve">). → </t>
    </r>
    <r>
      <rPr>
        <sz val="10"/>
        <rFont val="Noto Sans CJK SC"/>
        <family val="2"/>
        <charset val="1"/>
      </rPr>
      <t xml:space="preserve">배관집계 보온</t>
    </r>
    <r>
      <rPr>
        <sz val="10"/>
        <rFont val="맑은 고딕"/>
        <family val="0"/>
        <charset val="1"/>
      </rPr>
      <t xml:space="preserve">·PAINT '</t>
    </r>
    <r>
      <rPr>
        <sz val="10"/>
        <rFont val="Noto Sans CJK SC"/>
        <family val="2"/>
        <charset val="1"/>
      </rPr>
      <t xml:space="preserve">자동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판정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지역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관경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과 보온물량 두께 자동 조회로 구현</t>
    </r>
    <r>
      <rPr>
        <sz val="10"/>
        <rFont val="맑은 고딕"/>
        <family val="0"/>
        <charset val="1"/>
      </rPr>
      <t xml:space="preserve">.</t>
    </r>
  </si>
  <si>
    <t xml:space="preserve">보온(추가)</t>
  </si>
  <si>
    <t xml:space="preserve">보온물량 시트 신설(5-2 기본물량, 5-3-A FLANGE·VALVE 상세, 5-3-B 구경별 자재, 5-3 요약)와 보온기준(HANGER·할증·철선·FLANGE/GLOBE/GATE 단위물량 DB). 배관기본물량의 보온 FLAG(○) 라인만 집계, 품명으로 90°/45°/비규격 ELBOW·FLANGE·VALVE·TEE를 자동 분류.</t>
  </si>
  <si>
    <t xml:space="preserve">원본 5-2 예시와 차이: ①비규격 ELBOW는 원본이 수량 미반영·R=임의 파이프 OD였으나 본 시트는 수량 x 중심각 x (1.5DN) x 1.2 ②250A 45LR 2EA와 150A GATE 2EA를 집계(원본은 제외) → 150A FLANGE 2x1 SET 3(원본 5) ③FLANGE SHEET EA = FLG-2xV/V(150A 10EA, 원본 8).</t>
  </si>
  <si>
    <r>
      <rPr>
        <sz val="10"/>
        <rFont val="맑은 고딕"/>
        <family val="0"/>
        <charset val="1"/>
      </rPr>
      <t xml:space="preserve">FLANGE </t>
    </r>
    <r>
      <rPr>
        <sz val="10"/>
        <rFont val="Noto Sans CJK SC"/>
        <family val="2"/>
        <charset val="1"/>
      </rPr>
      <t xml:space="preserve">표 오기 정정</t>
    </r>
    <r>
      <rPr>
        <sz val="10"/>
        <rFont val="맑은 고딕"/>
        <family val="0"/>
        <charset val="1"/>
      </rPr>
      <t xml:space="preserve">: 150A 50T L.WOOL 0.08→0.008, 250A 75T 0.18→0.018. </t>
    </r>
    <r>
      <rPr>
        <sz val="10"/>
        <rFont val="Noto Sans CJK SC"/>
        <family val="2"/>
        <charset val="1"/>
      </rPr>
      <t xml:space="preserve">원본 합계 </t>
    </r>
    <r>
      <rPr>
        <sz val="10"/>
        <rFont val="맑은 고딕"/>
        <family val="0"/>
        <charset val="1"/>
      </rPr>
      <t xml:space="preserve">L.WOOL 0.266(</t>
    </r>
    <r>
      <rPr>
        <sz val="10"/>
        <rFont val="Noto Sans CJK SC"/>
        <family val="2"/>
        <charset val="1"/>
      </rPr>
      <t xml:space="preserve">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에는 </t>
    </r>
    <r>
      <rPr>
        <sz val="10"/>
        <rFont val="맑은 고딕"/>
        <family val="0"/>
        <charset val="1"/>
      </rPr>
      <t xml:space="preserve">0.18</t>
    </r>
    <r>
      <rPr>
        <sz val="10"/>
        <rFont val="Noto Sans CJK SC"/>
        <family val="2"/>
        <charset val="1"/>
      </rPr>
      <t xml:space="preserve">이 포함되어 정정 시 약 </t>
    </r>
    <r>
      <rPr>
        <sz val="10"/>
        <rFont val="맑은 고딕"/>
        <family val="0"/>
        <charset val="1"/>
      </rPr>
      <t xml:space="preserve">0.104</t>
    </r>
    <r>
      <rPr>
        <sz val="10"/>
        <rFont val="Noto Sans CJK SC"/>
        <family val="2"/>
        <charset val="1"/>
      </rPr>
      <t xml:space="preserve">㎥</t>
    </r>
    <r>
      <rPr>
        <sz val="10"/>
        <rFont val="맑은 고딕"/>
        <family val="0"/>
        <charset val="1"/>
      </rPr>
      <t xml:space="preserve">. DB</t>
    </r>
    <r>
      <rPr>
        <sz val="10"/>
        <rFont val="Noto Sans CJK SC"/>
        <family val="2"/>
        <charset val="1"/>
      </rPr>
      <t xml:space="preserve">는 </t>
    </r>
    <r>
      <rPr>
        <sz val="10"/>
        <rFont val="맑은 고딕"/>
        <family val="0"/>
        <charset val="1"/>
      </rPr>
      <t xml:space="preserve">15·50·80·150·200·250·300A</t>
    </r>
    <r>
      <rPr>
        <sz val="10"/>
        <rFont val="Noto Sans CJK SC"/>
        <family val="2"/>
        <charset val="1"/>
      </rPr>
      <t xml:space="preserve">만 수록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그 외 구경은 보온기준에 행 추가</t>
    </r>
    <r>
      <rPr>
        <sz val="10"/>
        <rFont val="맑은 고딕"/>
        <family val="0"/>
        <charset val="1"/>
      </rPr>
      <t xml:space="preserve">).</t>
    </r>
  </si>
  <si>
    <t xml:space="preserve">보온 장소 기본값은 4-2 시드와 같은 '옥외'(PERLITE)입니다. 원본 5-2 예시(옥내, ROCK WOOL)와 같게 하려면 배관기본물량 장소와 보온물량 B열을 '옥내'로 변경하세요.</t>
  </si>
  <si>
    <t xml:space="preserve">결정 반영(추가)</t>
  </si>
  <si>
    <t xml:space="preserve">배관집계 보온·PAINT '자동' 판정(지역 AK2, 동파방지 AL2), 보온물량 두께 자동(보온기준 ⑦), 150A 이상 FLANGE·VALVE DB는 40T 미만을 40T로 조회, 무도장(보온·STS·매설) 표식도장 개소 산출(배관부가물량) 추가.</t>
  </si>
  <si>
    <t xml:space="preserve">부대가설공사 시트 신설: 7-1 가설공사 물량집계(사무실·창고·화장실·비계·침목·적치대·정반·SCRAP BOX·JIG·고철·BOX 개곤), 7-6 기자재 BOX 개곤, 7-7 공기·직접노무비(사무실 적용기준·월 손율), 7-8 비계면적(발판수량 계수).</t>
  </si>
  <si>
    <r>
      <rPr>
        <sz val="10"/>
        <rFont val="맑은 고딕"/>
        <family val="0"/>
        <charset val="1"/>
      </rPr>
      <t xml:space="preserve">7-7 </t>
    </r>
    <r>
      <rPr>
        <sz val="10"/>
        <rFont val="Noto Sans CJK SC"/>
        <family val="2"/>
        <charset val="1"/>
      </rPr>
      <t xml:space="preserve">입력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가정</t>
    </r>
    <r>
      <rPr>
        <sz val="10"/>
        <rFont val="맑은 고딕"/>
        <family val="0"/>
        <charset val="1"/>
      </rPr>
      <t xml:space="preserve">: ①</t>
    </r>
    <r>
      <rPr>
        <sz val="10"/>
        <rFont val="Noto Sans CJK SC"/>
        <family val="2"/>
        <charset val="1"/>
      </rPr>
      <t xml:space="preserve">직접노무비는 품셈 산출 후 입력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현재 </t>
    </r>
    <r>
      <rPr>
        <sz val="10"/>
        <rFont val="맑은 고딕"/>
        <family val="0"/>
        <charset val="1"/>
      </rPr>
      <t xml:space="preserve">1.5~3</t>
    </r>
    <r>
      <rPr>
        <sz val="10"/>
        <rFont val="Noto Sans CJK SC"/>
        <family val="2"/>
        <charset val="1"/>
      </rPr>
      <t xml:space="preserve">억 예시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억원</t>
    </r>
    <r>
      <rPr>
        <sz val="10"/>
        <rFont val="맑은 고딕"/>
        <family val="0"/>
        <charset val="1"/>
      </rPr>
      <t xml:space="preserve">) ②</t>
    </r>
    <r>
      <rPr>
        <sz val="10"/>
        <rFont val="Noto Sans CJK SC"/>
        <family val="2"/>
        <charset val="1"/>
      </rPr>
      <t xml:space="preserve">공사일수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장비사용일수 </t>
    </r>
    <r>
      <rPr>
        <sz val="10"/>
        <rFont val="맑은 고딕"/>
        <family val="0"/>
        <charset val="1"/>
      </rPr>
      <t xml:space="preserve">x 1.5(</t>
    </r>
    <r>
      <rPr>
        <sz val="10"/>
        <rFont val="Noto Sans CJK SC"/>
        <family val="2"/>
        <charset val="1"/>
      </rPr>
      <t xml:space="preserve">원본 </t>
    </r>
    <r>
      <rPr>
        <sz val="10"/>
        <rFont val="맑은 고딕"/>
        <family val="0"/>
        <charset val="1"/>
      </rPr>
      <t xml:space="preserve">33DAY→50</t>
    </r>
    <r>
      <rPr>
        <sz val="10"/>
        <rFont val="Noto Sans CJK SC"/>
        <family val="2"/>
        <charset val="1"/>
      </rPr>
      <t xml:space="preserve">일로 추정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변경 가능</t>
    </r>
    <r>
      <rPr>
        <sz val="10"/>
        <rFont val="맑은 고딕"/>
        <family val="0"/>
        <charset val="1"/>
      </rPr>
      <t xml:space="preserve">) ③</t>
    </r>
    <r>
      <rPr>
        <sz val="10"/>
        <rFont val="Noto Sans CJK SC"/>
        <family val="2"/>
        <charset val="1"/>
      </rPr>
      <t xml:space="preserve">공사개월</t>
    </r>
    <r>
      <rPr>
        <sz val="10"/>
        <rFont val="맑은 고딕"/>
        <family val="0"/>
        <charset val="1"/>
      </rPr>
      <t xml:space="preserve">=ROUNDUP(</t>
    </r>
    <r>
      <rPr>
        <sz val="10"/>
        <rFont val="Noto Sans CJK SC"/>
        <family val="2"/>
        <charset val="1"/>
      </rPr>
      <t xml:space="preserve">일수</t>
    </r>
    <r>
      <rPr>
        <sz val="10"/>
        <rFont val="맑은 고딕"/>
        <family val="0"/>
        <charset val="1"/>
      </rPr>
      <t xml:space="preserve">/21.5) </t>
    </r>
    <r>
      <rPr>
        <sz val="10"/>
        <rFont val="Noto Sans CJK SC"/>
        <family val="2"/>
        <charset val="1"/>
      </rPr>
      <t xml:space="preserve">직접입력 가능 ④손율은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  <charset val="1"/>
      </rPr>
      <t xml:space="preserve">개월 초과</t>
    </r>
    <r>
      <rPr>
        <sz val="10"/>
        <rFont val="맑은 고딕"/>
        <family val="0"/>
        <charset val="1"/>
      </rPr>
      <t xml:space="preserve">~36</t>
    </r>
    <r>
      <rPr>
        <sz val="10"/>
        <rFont val="Noto Sans CJK SC"/>
        <family val="2"/>
        <charset val="1"/>
      </rPr>
      <t xml:space="preserve">개월 미만 구간은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  <charset val="1"/>
      </rPr>
      <t xml:space="preserve">개월 값 적용</t>
    </r>
    <r>
      <rPr>
        <sz val="10"/>
        <rFont val="맑은 고딕"/>
        <family val="0"/>
        <charset val="1"/>
      </rPr>
      <t xml:space="preserve">. 7-9(</t>
    </r>
    <r>
      <rPr>
        <sz val="10"/>
        <rFont val="Noto Sans CJK SC"/>
        <family val="2"/>
        <charset val="1"/>
      </rPr>
      <t xml:space="preserve">기타공사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는 양식 수령 후 작성</t>
    </r>
    <r>
      <rPr>
        <sz val="10"/>
        <rFont val="맑은 고딕"/>
        <family val="0"/>
        <charset val="1"/>
      </rPr>
      <t xml:space="preserve">.</t>
    </r>
  </si>
  <si>
    <t xml:space="preserve">총량집계(추가)</t>
  </si>
  <si>
    <t xml:space="preserve">공사물량총량 시트(산#1) 신설: 설치·이설·철거 TON, 도장·용접·산소·ARGON·RT/PT·SCRAP, 투입 장비(집계 장비 매핑), WELDER, 가설공사, 기타공사(입력)를 전 시트에서 자동 집계.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</si>
</sst>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.000;\-#,##0.000;\-"/>
    <numFmt numFmtId="166" formatCode="\(#,##0.000\)"/>
    <numFmt numFmtId="167" formatCode="#,##0.0;\-#,##0.0;\-"/>
    <numFmt numFmtId="168" formatCode="#,##0;\-#,##0;\-"/>
    <numFmt numFmtId="169" formatCode="#,##0.00;\-#,##0.00;\-"/>
    <numFmt numFmtId="170" formatCode="#,##0"/>
    <numFmt numFmtId="171" formatCode="#,##0.000"/>
    <numFmt numFmtId="172" formatCode="0"/>
    <numFmt numFmtId="173" formatCode="0.00"/>
    <numFmt numFmtId="174" formatCode="0.000"/>
    <numFmt numFmtId="175" formatCode="0.0"/>
    <numFmt numFmtId="176" formatCode="0.00;\-0.00;\-"/>
    <numFmt numFmtId="177" formatCode="#,##0;\-#,##0;&quot;OK&quot;"/>
    <numFmt numFmtId="178" formatCode="0.000;\-0.000;\-"/>
    <numFmt numFmtId="179" formatCode="#,##0.0"/>
    <numFmt numFmtId="180" formatCode="#,##0.00"/>
    <numFmt numFmtId="181" formatCode="0.0%"/>
    <numFmt numFmtId="182" formatCode="#,##0.000;\-#,##0.000;&quot;OK&quot;"/>
    <numFmt numFmtId="183" formatCode="0.00000"/>
    <numFmt numFmtId="184" formatCode="0%"/>
    <numFmt numFmtId="185" formatCode="0%;\-0%;\-"/>
    <numFmt numFmtId="186" formatCode="0.0000"/>
    <numFmt numFmtId="187" formatCode="0;\-0;&quot;'-'&quot;"/>
    <numFmt numFmtId="188" formatCode="0;\-0;\-"/>
    <numFmt numFmtId="189" formatCode="0.00#"/>
    <numFmt numFmtId="190" formatCode="0.00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Noto Sans CJK SC"/>
      <family val="2"/>
      <charset val="1"/>
    </font>
    <font>
      <i val="true"/>
      <sz val="10"/>
      <color rgb="FF66666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sz val="10"/>
      <name val="Noto Sans CJK SC"/>
      <family val="2"/>
      <charset val="1"/>
    </font>
    <font>
      <sz val="9"/>
      <color rgb="FF666666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9"/>
      <color rgb="FF666666"/>
      <name val="맑은 고딕"/>
      <family val="0"/>
      <charset val="1"/>
    </font>
    <font>
      <i val="true"/>
      <sz val="10"/>
      <color rgb="FF666666"/>
      <name val="맑은 고딕"/>
      <family val="0"/>
      <charset val="1"/>
    </font>
    <font>
      <b val="true"/>
      <sz val="14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3"/>
      <name val="Noto Sans CJK SC"/>
      <family val="2"/>
      <charset val="1"/>
    </font>
    <font>
      <sz val="8"/>
      <name val="Noto Sans CJK SC"/>
      <family val="2"/>
      <charset val="1"/>
    </font>
    <font>
      <b val="true"/>
      <sz val="14"/>
      <name val="맑은 고딕"/>
      <family val="0"/>
      <charset val="1"/>
    </font>
    <font>
      <b val="true"/>
      <sz val="10"/>
      <color rgb="FFC00000"/>
      <name val="Noto Sans CJK SC"/>
      <family val="2"/>
      <charset val="1"/>
    </font>
    <font>
      <sz val="8"/>
      <color rgb="FF666666"/>
      <name val="Noto Sans CJK SC"/>
      <family val="2"/>
      <charset val="1"/>
    </font>
    <font>
      <sz val="8"/>
      <color rgb="FF666666"/>
      <name val="맑은 고딕"/>
      <family val="0"/>
      <charset val="1"/>
    </font>
    <font>
      <i val="true"/>
      <sz val="10"/>
      <color rgb="FFC00000"/>
      <name val="Noto Sans CJK SC"/>
      <family val="2"/>
      <charset val="1"/>
    </font>
    <font>
      <b val="true"/>
      <sz val="10"/>
      <color rgb="FF0000FF"/>
      <name val="Noto Sans CJK SC"/>
      <family val="2"/>
      <charset val="1"/>
    </font>
    <font>
      <b val="true"/>
      <sz val="10"/>
      <color rgb="FF0000FF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sz val="10"/>
      <color rgb="FF008000"/>
      <name val="맑은 고딕"/>
      <family val="0"/>
      <charset val="1"/>
    </font>
    <font>
      <b val="true"/>
      <sz val="13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9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9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9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9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81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3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9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2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2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6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7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8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7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9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90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36"/>
    <col collapsed="false" customWidth="true" hidden="false" outlineLevel="0" max="6" min="6" style="1" width="16"/>
  </cols>
  <sheetData>
    <row r="1" customFormat="false" ht="22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9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/>
      <c r="C5" s="5"/>
      <c r="D5" s="5"/>
      <c r="E5" s="5"/>
    </row>
    <row r="6" customFormat="false" ht="15" hidden="false" customHeight="true" outlineLevel="0" collapsed="false">
      <c r="A6" s="6" t="s">
        <v>9</v>
      </c>
      <c r="B6" s="7" t="s">
        <v>10</v>
      </c>
      <c r="C6" s="8" t="n">
        <f aca="false">SUMIFS(기본물량산출!$G$6:$G$13,기본물량산출!$H$6:$H$13,"설치",기본물량산출!$J$6:$J$13,"강재류")</f>
        <v>39.5</v>
      </c>
      <c r="D6" s="6" t="s">
        <v>11</v>
      </c>
      <c r="E6" s="9" t="s">
        <v>12</v>
      </c>
    </row>
    <row r="7" customFormat="false" ht="15" hidden="false" customHeight="true" outlineLevel="0" collapsed="false">
      <c r="A7" s="6" t="s">
        <v>9</v>
      </c>
      <c r="B7" s="7" t="s">
        <v>13</v>
      </c>
      <c r="C7" s="8" t="n">
        <f aca="false">SUMIFS(기본물량산출!$G$6:$G$13,기본물량산출!$H$6:$H$13,"설치",기본물량산출!$J$6:$J$13,"강재 STAND")</f>
        <v>0</v>
      </c>
      <c r="D7" s="6" t="s">
        <v>11</v>
      </c>
      <c r="E7" s="9" t="s">
        <v>12</v>
      </c>
    </row>
    <row r="8" customFormat="false" ht="15" hidden="false" customHeight="true" outlineLevel="0" collapsed="false">
      <c r="A8" s="6" t="s">
        <v>9</v>
      </c>
      <c r="B8" s="7" t="s">
        <v>14</v>
      </c>
      <c r="C8" s="8" t="n">
        <f aca="false">SUMIF(배관집계!$B$7:$B$32,"설치",배관집계!$O$7:$O$32)</f>
        <v>5.13410721</v>
      </c>
      <c r="D8" s="6" t="s">
        <v>11</v>
      </c>
      <c r="E8" s="9" t="s">
        <v>15</v>
      </c>
    </row>
    <row r="9" customFormat="false" ht="15" hidden="false" customHeight="true" outlineLevel="0" collapsed="false">
      <c r="A9" s="10"/>
      <c r="B9" s="11" t="s">
        <v>16</v>
      </c>
      <c r="C9" s="12" t="n">
        <f aca="false">SUM(C6:C8)</f>
        <v>44.63410721</v>
      </c>
      <c r="D9" s="10" t="s">
        <v>11</v>
      </c>
      <c r="E9" s="10"/>
    </row>
    <row r="11" customFormat="false" ht="15" hidden="false" customHeight="true" outlineLevel="0" collapsed="false">
      <c r="A11" s="5" t="s">
        <v>17</v>
      </c>
      <c r="B11" s="5"/>
      <c r="C11" s="5"/>
      <c r="D11" s="5"/>
      <c r="E11" s="5"/>
    </row>
    <row r="12" customFormat="false" ht="15" hidden="false" customHeight="true" outlineLevel="0" collapsed="false">
      <c r="A12" s="6" t="s">
        <v>9</v>
      </c>
      <c r="B12" s="7" t="s">
        <v>10</v>
      </c>
      <c r="C12" s="8" t="n">
        <f aca="false">SUMIFS(기본물량산출!$G$6:$G$13,기본물량산출!$H$6:$H$13,"이설",기본물량산출!$J$6:$J$13,"강재류")</f>
        <v>45.986</v>
      </c>
      <c r="D12" s="6" t="s">
        <v>11</v>
      </c>
      <c r="E12" s="9" t="s">
        <v>12</v>
      </c>
    </row>
    <row r="13" customFormat="false" ht="15" hidden="false" customHeight="true" outlineLevel="0" collapsed="false">
      <c r="A13" s="6" t="s">
        <v>9</v>
      </c>
      <c r="B13" s="7" t="s">
        <v>13</v>
      </c>
      <c r="C13" s="8" t="n">
        <f aca="false">SUMIFS(기본물량산출!$G$6:$G$13,기본물량산출!$H$6:$H$13,"이설",기본물량산출!$J$6:$J$13,"강재 STAND")</f>
        <v>6.15</v>
      </c>
      <c r="D13" s="6" t="s">
        <v>11</v>
      </c>
      <c r="E13" s="9" t="s">
        <v>12</v>
      </c>
    </row>
    <row r="14" customFormat="false" ht="15" hidden="false" customHeight="true" outlineLevel="0" collapsed="false">
      <c r="A14" s="10"/>
      <c r="B14" s="11" t="s">
        <v>16</v>
      </c>
      <c r="C14" s="12" t="n">
        <f aca="false">SUM(C12:C13)</f>
        <v>52.136</v>
      </c>
      <c r="D14" s="10" t="s">
        <v>11</v>
      </c>
      <c r="E14" s="10"/>
    </row>
    <row r="16" customFormat="false" ht="15" hidden="false" customHeight="true" outlineLevel="0" collapsed="false">
      <c r="A16" s="5" t="s">
        <v>18</v>
      </c>
      <c r="B16" s="5"/>
      <c r="C16" s="5"/>
      <c r="D16" s="5"/>
      <c r="E16" s="5"/>
    </row>
    <row r="17" customFormat="false" ht="15" hidden="false" customHeight="true" outlineLevel="0" collapsed="false">
      <c r="A17" s="6" t="s">
        <v>9</v>
      </c>
      <c r="B17" s="7" t="s">
        <v>19</v>
      </c>
      <c r="C17" s="8" t="n">
        <f aca="false">SUMIFS(기본물량산출!$G$6:$G$13,기본물량산출!$H$6:$H$13,"철거")</f>
        <v>39.5</v>
      </c>
      <c r="D17" s="6" t="s">
        <v>11</v>
      </c>
      <c r="E17" s="9" t="s">
        <v>12</v>
      </c>
    </row>
    <row r="18" customFormat="false" ht="15" hidden="false" customHeight="true" outlineLevel="0" collapsed="false">
      <c r="A18" s="6" t="s">
        <v>9</v>
      </c>
      <c r="B18" s="7" t="s">
        <v>14</v>
      </c>
      <c r="C18" s="8" t="n">
        <f aca="false">SUMIF(배관집계!$B$7:$B$32,"철거",배관집계!$O$7:$O$32)</f>
        <v>5.13410721</v>
      </c>
      <c r="D18" s="6" t="s">
        <v>11</v>
      </c>
      <c r="E18" s="9" t="s">
        <v>20</v>
      </c>
    </row>
    <row r="19" customFormat="false" ht="15" hidden="false" customHeight="true" outlineLevel="0" collapsed="false">
      <c r="A19" s="10"/>
      <c r="B19" s="11" t="s">
        <v>16</v>
      </c>
      <c r="C19" s="12" t="n">
        <f aca="false">SUM(C17:C18)</f>
        <v>44.63410721</v>
      </c>
      <c r="D19" s="10" t="s">
        <v>11</v>
      </c>
      <c r="E19" s="10"/>
    </row>
    <row r="21" customFormat="false" ht="15" hidden="false" customHeight="true" outlineLevel="0" collapsed="false">
      <c r="A21" s="5" t="s">
        <v>21</v>
      </c>
      <c r="B21" s="5"/>
      <c r="C21" s="5"/>
      <c r="D21" s="5"/>
      <c r="E21" s="5"/>
    </row>
    <row r="22" customFormat="false" ht="15" hidden="false" customHeight="true" outlineLevel="0" collapsed="false">
      <c r="A22" s="13" t="s">
        <v>22</v>
      </c>
      <c r="B22" s="14"/>
      <c r="C22" s="14"/>
      <c r="D22" s="14"/>
      <c r="E22" s="14"/>
    </row>
    <row r="23" customFormat="false" ht="15" hidden="false" customHeight="true" outlineLevel="0" collapsed="false">
      <c r="A23" s="6" t="s">
        <v>9</v>
      </c>
      <c r="B23" s="7" t="s">
        <v>23</v>
      </c>
      <c r="C23" s="15" t="n">
        <f aca="false">도장면적집계!$I$13</f>
        <v>5.35317568937058</v>
      </c>
      <c r="D23" s="6" t="s">
        <v>24</v>
      </c>
      <c r="E23" s="9" t="s">
        <v>25</v>
      </c>
    </row>
    <row r="24" customFormat="false" ht="15" hidden="false" customHeight="true" outlineLevel="0" collapsed="false">
      <c r="A24" s="6" t="s">
        <v>9</v>
      </c>
      <c r="B24" s="7" t="s">
        <v>26</v>
      </c>
      <c r="C24" s="15" t="n">
        <f aca="false">도장면적집계!$J$13</f>
        <v>192.68575</v>
      </c>
      <c r="D24" s="6" t="s">
        <v>24</v>
      </c>
      <c r="E24" s="9" t="s">
        <v>25</v>
      </c>
    </row>
    <row r="25" customFormat="false" ht="15" hidden="false" customHeight="true" outlineLevel="0" collapsed="false">
      <c r="A25" s="6" t="s">
        <v>9</v>
      </c>
      <c r="B25" s="16" t="s">
        <v>27</v>
      </c>
      <c r="C25" s="15" t="n">
        <f aca="false">도장면적집계!$K$13</f>
        <v>192.68575</v>
      </c>
      <c r="D25" s="6" t="s">
        <v>24</v>
      </c>
      <c r="E25" s="9" t="s">
        <v>25</v>
      </c>
    </row>
    <row r="26" customFormat="false" ht="15" hidden="false" customHeight="true" outlineLevel="0" collapsed="false">
      <c r="A26" s="6" t="s">
        <v>9</v>
      </c>
      <c r="B26" s="16" t="s">
        <v>28</v>
      </c>
      <c r="C26" s="15" t="n">
        <f aca="false">도장면적집계!$L$13</f>
        <v>192.68575</v>
      </c>
      <c r="D26" s="6" t="s">
        <v>24</v>
      </c>
      <c r="E26" s="9" t="s">
        <v>25</v>
      </c>
    </row>
    <row r="27" customFormat="false" ht="15" hidden="false" customHeight="true" outlineLevel="0" collapsed="false">
      <c r="A27" s="6" t="s">
        <v>9</v>
      </c>
      <c r="B27" s="16" t="s">
        <v>29</v>
      </c>
      <c r="C27" s="15" t="n">
        <f aca="false">도장면적집계!$M$13</f>
        <v>192.68575</v>
      </c>
      <c r="D27" s="6" t="s">
        <v>24</v>
      </c>
      <c r="E27" s="9" t="s">
        <v>25</v>
      </c>
    </row>
    <row r="28" customFormat="false" ht="15" hidden="false" customHeight="true" outlineLevel="0" collapsed="false">
      <c r="A28" s="6" t="s">
        <v>9</v>
      </c>
      <c r="B28" s="16" t="s">
        <v>30</v>
      </c>
      <c r="C28" s="15" t="n">
        <f aca="false">도장면적집계!$N$13</f>
        <v>5.35317568937058</v>
      </c>
      <c r="D28" s="6" t="s">
        <v>24</v>
      </c>
      <c r="E28" s="9" t="s">
        <v>25</v>
      </c>
    </row>
    <row r="29" customFormat="false" ht="15" hidden="false" customHeight="true" outlineLevel="0" collapsed="false">
      <c r="A29" s="6" t="s">
        <v>9</v>
      </c>
      <c r="B29" s="16" t="s">
        <v>31</v>
      </c>
      <c r="C29" s="15" t="n">
        <f aca="false">도장면적집계!$O$13</f>
        <v>5.003</v>
      </c>
      <c r="D29" s="6" t="s">
        <v>24</v>
      </c>
      <c r="E29" s="9" t="s">
        <v>25</v>
      </c>
    </row>
    <row r="30" customFormat="false" ht="15" hidden="false" customHeight="true" outlineLevel="0" collapsed="false">
      <c r="A30" s="6" t="s">
        <v>9</v>
      </c>
      <c r="B30" s="16" t="s">
        <v>32</v>
      </c>
      <c r="C30" s="15" t="n">
        <f aca="false">도장면적집계!$P$13</f>
        <v>5.003</v>
      </c>
      <c r="D30" s="6" t="s">
        <v>24</v>
      </c>
      <c r="E30" s="9" t="s">
        <v>25</v>
      </c>
    </row>
    <row r="31" customFormat="false" ht="15" hidden="false" customHeight="true" outlineLevel="0" collapsed="false">
      <c r="A31" s="6" t="s">
        <v>9</v>
      </c>
      <c r="B31" s="7" t="s">
        <v>33</v>
      </c>
      <c r="C31" s="15" t="n">
        <f aca="false">도장면적집계!$R$13</f>
        <v>20</v>
      </c>
      <c r="D31" s="6" t="s">
        <v>24</v>
      </c>
      <c r="E31" s="9" t="s">
        <v>25</v>
      </c>
    </row>
    <row r="32" customFormat="false" ht="15" hidden="false" customHeight="true" outlineLevel="0" collapsed="false">
      <c r="A32" s="6" t="s">
        <v>9</v>
      </c>
      <c r="B32" s="7" t="s">
        <v>34</v>
      </c>
      <c r="C32" s="15" t="n">
        <f aca="false">도장면적집계!$S$13</f>
        <v>7</v>
      </c>
      <c r="D32" s="6" t="s">
        <v>24</v>
      </c>
      <c r="E32" s="9" t="s">
        <v>25</v>
      </c>
    </row>
    <row r="33" customFormat="false" ht="15" hidden="false" customHeight="true" outlineLevel="0" collapsed="false">
      <c r="A33" s="6" t="s">
        <v>9</v>
      </c>
      <c r="B33" s="7" t="s">
        <v>35</v>
      </c>
      <c r="C33" s="15" t="n">
        <f aca="false">도장면적집계!$T$13</f>
        <v>45</v>
      </c>
      <c r="D33" s="6" t="s">
        <v>24</v>
      </c>
      <c r="E33" s="9" t="s">
        <v>25</v>
      </c>
    </row>
    <row r="34" customFormat="false" ht="15" hidden="false" customHeight="true" outlineLevel="0" collapsed="false">
      <c r="A34" s="13" t="s">
        <v>36</v>
      </c>
      <c r="B34" s="14"/>
      <c r="C34" s="14"/>
      <c r="D34" s="14"/>
      <c r="E34" s="14"/>
    </row>
    <row r="35" customFormat="false" ht="15" hidden="false" customHeight="true" outlineLevel="0" collapsed="false">
      <c r="A35" s="6" t="s">
        <v>9</v>
      </c>
      <c r="B35" s="16" t="s">
        <v>37</v>
      </c>
      <c r="C35" s="15" t="n">
        <f aca="false">부대용접산소장비!$K$14</f>
        <v>178.6902</v>
      </c>
      <c r="D35" s="6" t="s">
        <v>38</v>
      </c>
      <c r="E35" s="9" t="s">
        <v>39</v>
      </c>
    </row>
    <row r="36" customFormat="false" ht="15" hidden="false" customHeight="true" outlineLevel="0" collapsed="false">
      <c r="A36" s="6" t="s">
        <v>9</v>
      </c>
      <c r="B36" s="16" t="s">
        <v>40</v>
      </c>
      <c r="C36" s="15" t="n">
        <f aca="false">부대용접산소장비!$L$14</f>
        <v>40.8674933916</v>
      </c>
      <c r="D36" s="6" t="s">
        <v>38</v>
      </c>
      <c r="E36" s="9" t="s">
        <v>39</v>
      </c>
    </row>
    <row r="37" customFormat="false" ht="15" hidden="false" customHeight="true" outlineLevel="0" collapsed="false">
      <c r="A37" s="6" t="s">
        <v>9</v>
      </c>
      <c r="B37" s="16" t="s">
        <v>41</v>
      </c>
      <c r="C37" s="15" t="n">
        <f aca="false">부대용접산소장비!$M$14</f>
        <v>0</v>
      </c>
      <c r="D37" s="6" t="s">
        <v>38</v>
      </c>
      <c r="E37" s="9" t="s">
        <v>39</v>
      </c>
    </row>
    <row r="38" customFormat="false" ht="15" hidden="false" customHeight="true" outlineLevel="0" collapsed="false">
      <c r="A38" s="6" t="s">
        <v>9</v>
      </c>
      <c r="B38" s="16" t="s">
        <v>42</v>
      </c>
      <c r="C38" s="15" t="n">
        <f aca="false">부대용접산소장비!$N$14</f>
        <v>20.4337466958</v>
      </c>
      <c r="D38" s="6" t="s">
        <v>38</v>
      </c>
      <c r="E38" s="9" t="s">
        <v>39</v>
      </c>
    </row>
    <row r="39" customFormat="false" ht="15" hidden="false" customHeight="true" outlineLevel="0" collapsed="false">
      <c r="A39" s="6" t="s">
        <v>9</v>
      </c>
      <c r="B39" s="16" t="s">
        <v>43</v>
      </c>
      <c r="C39" s="15" t="n">
        <f aca="false">부대용접산소장비!$O$14</f>
        <v>0</v>
      </c>
      <c r="D39" s="6" t="s">
        <v>38</v>
      </c>
      <c r="E39" s="9" t="s">
        <v>39</v>
      </c>
    </row>
    <row r="40" customFormat="false" ht="15" hidden="false" customHeight="true" outlineLevel="0" collapsed="false">
      <c r="A40" s="6" t="s">
        <v>9</v>
      </c>
      <c r="B40" s="16" t="s">
        <v>44</v>
      </c>
      <c r="C40" s="17" t="n">
        <f aca="false">부대용접산소장비!$F$33</f>
        <v>793</v>
      </c>
      <c r="D40" s="6" t="s">
        <v>45</v>
      </c>
      <c r="E40" s="9" t="s">
        <v>46</v>
      </c>
    </row>
    <row r="41" customFormat="false" ht="15" hidden="false" customHeight="true" outlineLevel="0" collapsed="false">
      <c r="A41" s="6" t="s">
        <v>9</v>
      </c>
      <c r="B41" s="16" t="s">
        <v>47</v>
      </c>
      <c r="C41" s="17" t="n">
        <f aca="false">배관ARGON!$G$28</f>
        <v>7</v>
      </c>
      <c r="D41" s="6" t="s">
        <v>48</v>
      </c>
      <c r="E41" s="9" t="s">
        <v>49</v>
      </c>
    </row>
    <row r="42" customFormat="false" ht="15" hidden="false" customHeight="true" outlineLevel="0" collapsed="false">
      <c r="A42" s="6" t="s">
        <v>9</v>
      </c>
      <c r="B42" s="16" t="s">
        <v>50</v>
      </c>
      <c r="C42" s="17" t="n">
        <f aca="false">배관부가물량!$L$42</f>
        <v>11</v>
      </c>
      <c r="D42" s="6" t="s">
        <v>51</v>
      </c>
      <c r="E42" s="9" t="s">
        <v>52</v>
      </c>
    </row>
    <row r="43" customFormat="false" ht="15" hidden="false" customHeight="true" outlineLevel="0" collapsed="false">
      <c r="A43" s="6" t="s">
        <v>9</v>
      </c>
      <c r="B43" s="16" t="s">
        <v>53</v>
      </c>
      <c r="C43" s="18" t="n">
        <f aca="false">배관부가물량!$N$42</f>
        <v>0.00681725605828985</v>
      </c>
      <c r="D43" s="6" t="s">
        <v>54</v>
      </c>
      <c r="E43" s="9" t="s">
        <v>55</v>
      </c>
    </row>
    <row r="44" customFormat="false" ht="15" hidden="false" customHeight="true" outlineLevel="0" collapsed="false">
      <c r="A44" s="13" t="s">
        <v>56</v>
      </c>
      <c r="B44" s="14"/>
      <c r="C44" s="14"/>
      <c r="D44" s="14"/>
      <c r="E44" s="14"/>
    </row>
    <row r="45" customFormat="false" ht="15" hidden="false" customHeight="true" outlineLevel="0" collapsed="false">
      <c r="A45" s="6" t="s">
        <v>9</v>
      </c>
      <c r="B45" s="16" t="s">
        <v>57</v>
      </c>
      <c r="C45" s="15" t="n">
        <f aca="false">부대운반SCRAP!$C$12</f>
        <v>97.9809529999999</v>
      </c>
      <c r="D45" s="6" t="s">
        <v>38</v>
      </c>
      <c r="E45" s="9" t="s">
        <v>58</v>
      </c>
    </row>
    <row r="47" customFormat="false" ht="15" hidden="false" customHeight="true" outlineLevel="0" collapsed="false">
      <c r="A47" s="5" t="s">
        <v>59</v>
      </c>
      <c r="B47" s="5"/>
      <c r="C47" s="5"/>
      <c r="D47" s="5"/>
      <c r="E47" s="5"/>
    </row>
    <row r="48" customFormat="false" ht="15" hidden="false" customHeight="true" outlineLevel="0" collapsed="false">
      <c r="A48" s="13" t="s">
        <v>60</v>
      </c>
      <c r="B48" s="14"/>
      <c r="C48" s="14"/>
      <c r="D48" s="14"/>
      <c r="E48" s="14"/>
    </row>
    <row r="49" customFormat="false" ht="15" hidden="false" customHeight="true" outlineLevel="0" collapsed="false">
      <c r="A49" s="6" t="s">
        <v>9</v>
      </c>
      <c r="B49" s="16" t="s">
        <v>61</v>
      </c>
      <c r="C49" s="17" t="n">
        <f aca="false">IF($F49="",0,SUMIF(집계!$A$5:$A$9,$F49,집계!$E$5:$E$9))</f>
        <v>0</v>
      </c>
      <c r="D49" s="6" t="s">
        <v>62</v>
      </c>
      <c r="E49" s="9" t="str">
        <f aca="false">"집계 장비 매핑: "&amp;IF($F49="","(미매핑)",$F49)</f>
        <v>집계 장비 매핑: 100T Crane</v>
      </c>
      <c r="F49" s="19" t="s">
        <v>63</v>
      </c>
    </row>
    <row r="50" customFormat="false" ht="15" hidden="false" customHeight="true" outlineLevel="0" collapsed="false">
      <c r="A50" s="6" t="s">
        <v>9</v>
      </c>
      <c r="B50" s="16" t="s">
        <v>64</v>
      </c>
      <c r="C50" s="17" t="n">
        <f aca="false">IF($F50="",0,SUMIF(집계!$A$5:$A$9,$F50,집계!$E$5:$E$9))</f>
        <v>0</v>
      </c>
      <c r="D50" s="6" t="s">
        <v>62</v>
      </c>
      <c r="E50" s="9" t="str">
        <f aca="false">"집계 장비 매핑: "&amp;IF($F50="","(미매핑)",$F50)</f>
        <v>집계 장비 매핑: 15T Crane</v>
      </c>
      <c r="F50" s="19" t="s">
        <v>65</v>
      </c>
    </row>
    <row r="51" customFormat="false" ht="15" hidden="false" customHeight="true" outlineLevel="0" collapsed="false">
      <c r="A51" s="6" t="s">
        <v>9</v>
      </c>
      <c r="B51" s="7" t="s">
        <v>66</v>
      </c>
      <c r="C51" s="17" t="n">
        <f aca="false">IF($F51="",0,SUMIF(집계!$A$5:$A$9,$F51,집계!$E$5:$E$9))</f>
        <v>0</v>
      </c>
      <c r="D51" s="6" t="s">
        <v>62</v>
      </c>
      <c r="E51" s="9" t="str">
        <f aca="false">"집계 장비 매핑: "&amp;IF($F51="","(미매핑)",$F51)</f>
        <v>집계 장비 매핑: 25T Crane</v>
      </c>
      <c r="F51" s="19" t="s">
        <v>67</v>
      </c>
    </row>
    <row r="52" customFormat="false" ht="15" hidden="false" customHeight="true" outlineLevel="0" collapsed="false">
      <c r="A52" s="6" t="s">
        <v>9</v>
      </c>
      <c r="B52" s="16" t="s">
        <v>68</v>
      </c>
      <c r="C52" s="17" t="n">
        <f aca="false">IF($F52="",0,SUMIF(집계!$A$5:$A$9,$F52,집계!$E$5:$E$9))</f>
        <v>0</v>
      </c>
      <c r="D52" s="6" t="s">
        <v>62</v>
      </c>
      <c r="E52" s="9" t="str">
        <f aca="false">"집계 장비 매핑: "&amp;IF($F52="","(미매핑)",$F52)</f>
        <v>집계 장비 매핑: 지게차 7Ton</v>
      </c>
      <c r="F52" s="20" t="s">
        <v>69</v>
      </c>
    </row>
    <row r="53" customFormat="false" ht="15" hidden="false" customHeight="true" outlineLevel="0" collapsed="false">
      <c r="A53" s="6" t="s">
        <v>9</v>
      </c>
      <c r="B53" s="16" t="s">
        <v>70</v>
      </c>
      <c r="C53" s="17" t="n">
        <f aca="false">IF($F53="",0,SUMIF(집계!$A$5:$A$9,$F53,집계!$E$5:$E$9))</f>
        <v>48</v>
      </c>
      <c r="D53" s="6" t="s">
        <v>62</v>
      </c>
      <c r="E53" s="9" t="str">
        <f aca="false">"집계 장비 매핑: "&amp;IF($F53="","(미매핑)",$F53)</f>
        <v>집계 장비 매핑: OHC 운전</v>
      </c>
      <c r="F53" s="19" t="s">
        <v>71</v>
      </c>
    </row>
    <row r="54" customFormat="false" ht="15" hidden="false" customHeight="true" outlineLevel="0" collapsed="false">
      <c r="A54" s="6" t="s">
        <v>9</v>
      </c>
      <c r="B54" s="16" t="s">
        <v>72</v>
      </c>
      <c r="C54" s="17" t="n">
        <f aca="false">IF($F54="",0,SUMIF(집계!$A$5:$A$9,$F54,집계!$E$5:$E$9))</f>
        <v>0</v>
      </c>
      <c r="D54" s="6" t="s">
        <v>62</v>
      </c>
      <c r="E54" s="9" t="str">
        <f aca="false">"집계 장비 매핑: "&amp;IF($F54="","(미매핑)",$F54)</f>
        <v>집계 장비 매핑: (미매핑)</v>
      </c>
      <c r="F54" s="21"/>
    </row>
    <row r="55" customFormat="false" ht="15" hidden="false" customHeight="true" outlineLevel="0" collapsed="false">
      <c r="A55" s="13" t="s">
        <v>73</v>
      </c>
      <c r="B55" s="14"/>
      <c r="C55" s="14"/>
      <c r="D55" s="14"/>
      <c r="E55" s="14"/>
    </row>
    <row r="56" customFormat="false" ht="15" hidden="false" customHeight="true" outlineLevel="0" collapsed="false">
      <c r="A56" s="6" t="s">
        <v>9</v>
      </c>
      <c r="B56" s="16" t="s">
        <v>74</v>
      </c>
      <c r="C56" s="17" t="n">
        <f aca="false">부대용접산소장비!$I$44</f>
        <v>266</v>
      </c>
      <c r="D56" s="6" t="s">
        <v>62</v>
      </c>
      <c r="E56" s="9" t="s">
        <v>75</v>
      </c>
    </row>
    <row r="57" customFormat="false" ht="15" hidden="false" customHeight="true" outlineLevel="0" collapsed="false">
      <c r="A57" s="6" t="s">
        <v>9</v>
      </c>
      <c r="B57" s="16" t="s">
        <v>76</v>
      </c>
      <c r="C57" s="17" t="n">
        <f aca="false">부대용접산소장비!$I$45</f>
        <v>114</v>
      </c>
      <c r="D57" s="6" t="s">
        <v>62</v>
      </c>
      <c r="E57" s="9" t="s">
        <v>75</v>
      </c>
    </row>
    <row r="58" customFormat="false" ht="15" hidden="false" customHeight="true" outlineLevel="0" collapsed="false">
      <c r="A58" s="6" t="s">
        <v>9</v>
      </c>
      <c r="B58" s="16" t="s">
        <v>77</v>
      </c>
      <c r="C58" s="17" t="n">
        <f aca="false">부대용접산소장비!$I$46</f>
        <v>35</v>
      </c>
      <c r="D58" s="6" t="s">
        <v>62</v>
      </c>
      <c r="E58" s="9" t="s">
        <v>75</v>
      </c>
    </row>
    <row r="60" customFormat="false" ht="15" hidden="false" customHeight="true" outlineLevel="0" collapsed="false">
      <c r="A60" s="5" t="s">
        <v>78</v>
      </c>
      <c r="B60" s="5"/>
      <c r="C60" s="5"/>
      <c r="D60" s="5"/>
      <c r="E60" s="5"/>
    </row>
    <row r="61" customFormat="false" ht="15" hidden="false" customHeight="true" outlineLevel="0" collapsed="false">
      <c r="A61" s="6" t="s">
        <v>9</v>
      </c>
      <c r="B61" s="16" t="str">
        <f aca="false">"콘테이너형 가설사무실 ("&amp;부대가설공사!$M$12&amp;"개월)"</f>
        <v>콘테이너형 가설사무실 (1개월)</v>
      </c>
      <c r="C61" s="17" t="n">
        <f aca="false">부대가설공사!$G$7</f>
        <v>3</v>
      </c>
      <c r="D61" s="22" t="s">
        <v>79</v>
      </c>
      <c r="E61" s="23" t="s">
        <v>80</v>
      </c>
    </row>
    <row r="62" customFormat="false" ht="15" hidden="false" customHeight="true" outlineLevel="0" collapsed="false">
      <c r="A62" s="6" t="s">
        <v>9</v>
      </c>
      <c r="B62" s="16" t="str">
        <f aca="false">"콘테이너형 가설창고 ("&amp;부대가설공사!$M$12&amp;"개월)"</f>
        <v>콘테이너형 가설창고 (1개월)</v>
      </c>
      <c r="C62" s="17" t="n">
        <f aca="false">부대가설공사!$G$8</f>
        <v>2</v>
      </c>
      <c r="D62" s="22" t="s">
        <v>79</v>
      </c>
      <c r="E62" s="23" t="s">
        <v>80</v>
      </c>
    </row>
    <row r="63" customFormat="false" ht="15" hidden="false" customHeight="true" outlineLevel="0" collapsed="false">
      <c r="A63" s="6" t="s">
        <v>9</v>
      </c>
      <c r="B63" s="7" t="s">
        <v>81</v>
      </c>
      <c r="C63" s="17" t="n">
        <f aca="false">부대가설공사!$G$9</f>
        <v>1</v>
      </c>
      <c r="D63" s="22" t="s">
        <v>79</v>
      </c>
      <c r="E63" s="23" t="s">
        <v>80</v>
      </c>
    </row>
    <row r="64" customFormat="false" ht="15" hidden="false" customHeight="true" outlineLevel="0" collapsed="false">
      <c r="A64" s="6" t="s">
        <v>9</v>
      </c>
      <c r="B64" s="7" t="s">
        <v>82</v>
      </c>
      <c r="C64" s="17" t="n">
        <f aca="false">부대가설공사!$G$10</f>
        <v>173</v>
      </c>
      <c r="D64" s="6" t="s">
        <v>24</v>
      </c>
      <c r="E64" s="23" t="s">
        <v>83</v>
      </c>
    </row>
    <row r="65" customFormat="false" ht="15" hidden="false" customHeight="true" outlineLevel="0" collapsed="false">
      <c r="A65" s="6" t="s">
        <v>9</v>
      </c>
      <c r="B65" s="7" t="s">
        <v>84</v>
      </c>
      <c r="C65" s="17" t="n">
        <f aca="false">부대가설공사!$G$11</f>
        <v>95</v>
      </c>
      <c r="D65" s="6" t="s">
        <v>85</v>
      </c>
      <c r="E65" s="23" t="s">
        <v>83</v>
      </c>
    </row>
    <row r="66" customFormat="false" ht="15" hidden="false" customHeight="true" outlineLevel="0" collapsed="false">
      <c r="A66" s="6" t="s">
        <v>9</v>
      </c>
      <c r="B66" s="7" t="s">
        <v>86</v>
      </c>
      <c r="C66" s="17" t="n">
        <f aca="false">부대가설공사!$G$12</f>
        <v>1</v>
      </c>
      <c r="D66" s="6" t="s">
        <v>85</v>
      </c>
      <c r="E66" s="23" t="s">
        <v>87</v>
      </c>
    </row>
    <row r="67" customFormat="false" ht="15" hidden="false" customHeight="true" outlineLevel="0" collapsed="false">
      <c r="A67" s="6" t="s">
        <v>9</v>
      </c>
      <c r="B67" s="16" t="s">
        <v>88</v>
      </c>
      <c r="C67" s="17" t="n">
        <f aca="false">부대가설공사!$G$13</f>
        <v>1</v>
      </c>
      <c r="D67" s="6" t="s">
        <v>89</v>
      </c>
      <c r="E67" s="23" t="s">
        <v>87</v>
      </c>
    </row>
    <row r="68" customFormat="false" ht="15" hidden="false" customHeight="true" outlineLevel="0" collapsed="false">
      <c r="A68" s="6" t="s">
        <v>9</v>
      </c>
      <c r="B68" s="7" t="s">
        <v>90</v>
      </c>
      <c r="C68" s="17" t="n">
        <f aca="false">부대가설공사!$G$14</f>
        <v>0</v>
      </c>
      <c r="D68" s="6" t="s">
        <v>89</v>
      </c>
      <c r="E68" s="23" t="s">
        <v>87</v>
      </c>
    </row>
    <row r="69" customFormat="false" ht="15" hidden="false" customHeight="true" outlineLevel="0" collapsed="false">
      <c r="A69" s="6" t="s">
        <v>9</v>
      </c>
      <c r="B69" s="16" t="s">
        <v>91</v>
      </c>
      <c r="C69" s="17" t="n">
        <f aca="false">부대가설공사!$G$15</f>
        <v>1</v>
      </c>
      <c r="D69" s="6" t="s">
        <v>89</v>
      </c>
      <c r="E69" s="23" t="s">
        <v>87</v>
      </c>
    </row>
    <row r="70" customFormat="false" ht="15" hidden="false" customHeight="true" outlineLevel="0" collapsed="false">
      <c r="A70" s="6" t="s">
        <v>9</v>
      </c>
      <c r="B70" s="16" t="s">
        <v>92</v>
      </c>
      <c r="C70" s="17" t="n">
        <f aca="false">부대가설공사!$G$16</f>
        <v>1</v>
      </c>
      <c r="D70" s="6" t="s">
        <v>89</v>
      </c>
      <c r="E70" s="23" t="s">
        <v>87</v>
      </c>
    </row>
    <row r="71" customFormat="false" ht="15" hidden="false" customHeight="true" outlineLevel="0" collapsed="false">
      <c r="A71" s="6" t="s">
        <v>9</v>
      </c>
      <c r="B71" s="7" t="s">
        <v>93</v>
      </c>
      <c r="C71" s="15" t="n">
        <f aca="false">부대가설공사!$H$17</f>
        <v>97.9809529999999</v>
      </c>
      <c r="D71" s="6" t="s">
        <v>38</v>
      </c>
      <c r="E71" s="23" t="s">
        <v>87</v>
      </c>
    </row>
    <row r="72" customFormat="false" ht="15" hidden="false" customHeight="true" outlineLevel="0" collapsed="false">
      <c r="A72" s="6" t="s">
        <v>9</v>
      </c>
      <c r="B72" s="16" t="s">
        <v>94</v>
      </c>
      <c r="C72" s="8" t="n">
        <f aca="false">부대가설공사!$H$18</f>
        <v>0.0979809529999999</v>
      </c>
      <c r="D72" s="6" t="s">
        <v>11</v>
      </c>
      <c r="E72" s="23" t="s">
        <v>87</v>
      </c>
    </row>
    <row r="73" customFormat="false" ht="15" hidden="false" customHeight="true" outlineLevel="0" collapsed="false">
      <c r="A73" s="6" t="s">
        <v>9</v>
      </c>
      <c r="B73" s="7" t="s">
        <v>95</v>
      </c>
      <c r="C73" s="8" t="n">
        <f aca="false">부대가설공사!$H$19</f>
        <v>44.63410721</v>
      </c>
      <c r="D73" s="6" t="s">
        <v>11</v>
      </c>
      <c r="E73" s="23" t="s">
        <v>96</v>
      </c>
    </row>
    <row r="75" customFormat="false" ht="15" hidden="false" customHeight="true" outlineLevel="0" collapsed="false">
      <c r="A75" s="5" t="s">
        <v>97</v>
      </c>
      <c r="B75" s="5"/>
      <c r="C75" s="5"/>
      <c r="D75" s="5"/>
      <c r="E75" s="5"/>
    </row>
    <row r="76" customFormat="false" ht="15" hidden="false" customHeight="true" outlineLevel="0" collapsed="false">
      <c r="A76" s="6" t="s">
        <v>9</v>
      </c>
      <c r="B76" s="7" t="s">
        <v>98</v>
      </c>
      <c r="C76" s="24" t="n">
        <v>62</v>
      </c>
      <c r="D76" s="6" t="s">
        <v>99</v>
      </c>
      <c r="E76" s="23" t="s">
        <v>100</v>
      </c>
    </row>
    <row r="77" customFormat="false" ht="15" hidden="false" customHeight="true" outlineLevel="0" collapsed="false">
      <c r="A77" s="6" t="s">
        <v>9</v>
      </c>
      <c r="B77" s="16" t="s">
        <v>101</v>
      </c>
      <c r="C77" s="24" t="n">
        <v>1</v>
      </c>
      <c r="D77" s="22" t="s">
        <v>102</v>
      </c>
      <c r="E77" s="23" t="s">
        <v>100</v>
      </c>
    </row>
    <row r="78" customFormat="false" ht="15" hidden="false" customHeight="true" outlineLevel="0" collapsed="false">
      <c r="A78" s="6" t="s">
        <v>9</v>
      </c>
      <c r="B78" s="16" t="s">
        <v>103</v>
      </c>
      <c r="C78" s="24" t="n">
        <v>1</v>
      </c>
      <c r="D78" s="22" t="s">
        <v>102</v>
      </c>
      <c r="E78" s="23" t="s">
        <v>100</v>
      </c>
    </row>
    <row r="79" customFormat="false" ht="15" hidden="false" customHeight="true" outlineLevel="0" collapsed="false">
      <c r="A79" s="6" t="s">
        <v>9</v>
      </c>
      <c r="B79" s="7" t="s">
        <v>104</v>
      </c>
      <c r="C79" s="25"/>
      <c r="D79" s="6" t="s">
        <v>11</v>
      </c>
      <c r="E79" s="23" t="s">
        <v>100</v>
      </c>
    </row>
    <row r="80" customFormat="false" ht="15" hidden="false" customHeight="true" outlineLevel="0" collapsed="false">
      <c r="A80" s="6" t="s">
        <v>9</v>
      </c>
      <c r="B80" s="7" t="s">
        <v>105</v>
      </c>
      <c r="C80" s="24" t="n">
        <v>3</v>
      </c>
      <c r="D80" s="6" t="s">
        <v>106</v>
      </c>
      <c r="E80" s="23" t="s">
        <v>100</v>
      </c>
    </row>
    <row r="81" customFormat="false" ht="15" hidden="false" customHeight="true" outlineLevel="0" collapsed="false">
      <c r="A81" s="6" t="s">
        <v>9</v>
      </c>
      <c r="B81" s="7" t="s">
        <v>107</v>
      </c>
      <c r="C81" s="26"/>
      <c r="D81" s="6" t="s">
        <v>24</v>
      </c>
      <c r="E81" s="23" t="s">
        <v>100</v>
      </c>
    </row>
    <row r="82" customFormat="false" ht="15" hidden="false" customHeight="true" outlineLevel="0" collapsed="false">
      <c r="A82" s="6" t="s">
        <v>9</v>
      </c>
      <c r="B82" s="7" t="s">
        <v>108</v>
      </c>
      <c r="C82" s="27" t="n">
        <v>0.361</v>
      </c>
      <c r="D82" s="6" t="s">
        <v>11</v>
      </c>
      <c r="E82" s="23" t="s">
        <v>100</v>
      </c>
    </row>
    <row r="83" customFormat="false" ht="15" hidden="false" customHeight="true" outlineLevel="0" collapsed="false">
      <c r="A83" s="6" t="s">
        <v>9</v>
      </c>
      <c r="B83" s="7" t="s">
        <v>109</v>
      </c>
      <c r="C83" s="27" t="n">
        <v>1</v>
      </c>
      <c r="D83" s="22" t="s">
        <v>102</v>
      </c>
      <c r="E83" s="23" t="s">
        <v>100</v>
      </c>
    </row>
    <row r="85" customFormat="false" ht="15" hidden="false" customHeight="true" outlineLevel="0" collapsed="false">
      <c r="A85" s="10"/>
      <c r="B85" s="11" t="s">
        <v>110</v>
      </c>
      <c r="C85" s="28" t="n">
        <f aca="false">C9+C14+C19</f>
        <v>141.40421442</v>
      </c>
      <c r="D85" s="10" t="s">
        <v>11</v>
      </c>
      <c r="E85" s="10"/>
    </row>
    <row r="87" customFormat="false" ht="15" hidden="false" customHeight="true" outlineLevel="0" collapsed="false">
      <c r="A87" s="3" t="s">
        <v>111</v>
      </c>
    </row>
    <row r="88" customFormat="false" ht="15" hidden="false" customHeight="true" outlineLevel="0" collapsed="false">
      <c r="A88" s="29" t="s">
        <v>112</v>
      </c>
    </row>
    <row r="89" customFormat="false" ht="15" hidden="false" customHeight="true" outlineLevel="0" collapsed="false">
      <c r="A89" s="29" t="s">
        <v>113</v>
      </c>
    </row>
  </sheetData>
  <mergeCells count="7">
    <mergeCell ref="A5:E5"/>
    <mergeCell ref="A11:E11"/>
    <mergeCell ref="A16:E16"/>
    <mergeCell ref="A21:E21"/>
    <mergeCell ref="A47:E47"/>
    <mergeCell ref="A60:E60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5" min="5" style="1" width="13"/>
    <col collapsed="false" customWidth="true" hidden="false" outlineLevel="0" max="7" min="6" style="1" width="11"/>
    <col collapsed="false" customWidth="true" hidden="false" outlineLevel="0" max="9" min="8" style="1" width="9"/>
    <col collapsed="false" customWidth="true" hidden="false" outlineLevel="0" max="10" min="10" style="1" width="11"/>
    <col collapsed="false" customWidth="true" hidden="false" outlineLevel="0" max="11" min="11" style="1" width="24"/>
    <col collapsed="false" customWidth="true" hidden="false" outlineLevel="0" max="12" min="12" style="1" width="11"/>
    <col collapsed="false" customWidth="true" hidden="false" outlineLevel="0" max="15" min="13" style="1" width="9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12"/>
    <col collapsed="false" customWidth="true" hidden="false" outlineLevel="0" max="22" min="20" style="1" width="10"/>
    <col collapsed="false" customWidth="true" hidden="false" outlineLevel="0" max="23" min="23" style="1" width="44"/>
    <col collapsed="false" customWidth="true" hidden="false" outlineLevel="0" max="25" min="24" style="1" width="11"/>
  </cols>
  <sheetData>
    <row r="1" customFormat="false" ht="21" hidden="false" customHeight="true" outlineLevel="0" collapsed="false">
      <c r="A1" s="30" t="s">
        <v>114</v>
      </c>
    </row>
    <row r="2" customFormat="false" ht="15" hidden="false" customHeight="true" outlineLevel="0" collapsed="false">
      <c r="A2" s="3" t="s">
        <v>115</v>
      </c>
    </row>
    <row r="3" customFormat="false" ht="15" hidden="false" customHeight="true" outlineLevel="0" collapsed="false">
      <c r="A3" s="3" t="s">
        <v>116</v>
      </c>
    </row>
    <row r="5" customFormat="false" ht="42" hidden="false" customHeight="true" outlineLevel="0" collapsed="false">
      <c r="A5" s="31" t="s">
        <v>117</v>
      </c>
      <c r="B5" s="4" t="s">
        <v>118</v>
      </c>
      <c r="C5" s="4" t="s">
        <v>119</v>
      </c>
      <c r="D5" s="4" t="s">
        <v>5</v>
      </c>
      <c r="E5" s="4" t="s">
        <v>120</v>
      </c>
      <c r="F5" s="4" t="s">
        <v>121</v>
      </c>
      <c r="G5" s="4" t="s">
        <v>122</v>
      </c>
      <c r="H5" s="4" t="s">
        <v>123</v>
      </c>
      <c r="I5" s="4" t="s">
        <v>124</v>
      </c>
      <c r="J5" s="4" t="s">
        <v>125</v>
      </c>
      <c r="K5" s="4" t="s">
        <v>126</v>
      </c>
      <c r="L5" s="4" t="s">
        <v>127</v>
      </c>
      <c r="M5" s="31" t="s">
        <v>128</v>
      </c>
      <c r="N5" s="4" t="s">
        <v>129</v>
      </c>
      <c r="O5" s="4" t="s">
        <v>130</v>
      </c>
      <c r="P5" s="4" t="s">
        <v>131</v>
      </c>
      <c r="Q5" s="4" t="s">
        <v>132</v>
      </c>
      <c r="R5" s="4" t="s">
        <v>133</v>
      </c>
      <c r="S5" s="4" t="s">
        <v>134</v>
      </c>
      <c r="T5" s="31" t="s">
        <v>135</v>
      </c>
      <c r="U5" s="31" t="s">
        <v>136</v>
      </c>
      <c r="V5" s="4" t="s">
        <v>137</v>
      </c>
      <c r="W5" s="4" t="s">
        <v>138</v>
      </c>
      <c r="X5" s="4" t="s">
        <v>139</v>
      </c>
      <c r="Y5" s="4" t="s">
        <v>140</v>
      </c>
    </row>
    <row r="6" customFormat="false" ht="15" hidden="false" customHeight="true" outlineLevel="0" collapsed="false">
      <c r="A6" s="6" t="n">
        <v>1</v>
      </c>
      <c r="B6" s="32" t="s">
        <v>141</v>
      </c>
      <c r="C6" s="33" t="n">
        <v>1</v>
      </c>
      <c r="D6" s="20" t="s">
        <v>102</v>
      </c>
      <c r="E6" s="33" t="n">
        <v>38000</v>
      </c>
      <c r="F6" s="34" t="n">
        <f aca="false">C6*E6</f>
        <v>38000</v>
      </c>
      <c r="G6" s="35" t="n">
        <f aca="false">F6/1000</f>
        <v>38</v>
      </c>
      <c r="H6" s="20" t="s">
        <v>142</v>
      </c>
      <c r="I6" s="20" t="s">
        <v>143</v>
      </c>
      <c r="J6" s="20" t="s">
        <v>10</v>
      </c>
      <c r="K6" s="7" t="str">
        <f aca="false">J6&amp;IF(J6="강재류"," "&amp;IF(E6&lt;500,"0.5TON미만",IF(E6&lt;1000,"0.5-1.0TON",IF(E6&lt;5000,"1.0-5.0TON",IF(E6&lt;10000,"5.0-10.0TON","10.0TON이상")))),"")&amp;IF(H6="설치","",IF(H6="철거"," 철거"," 이설"))</f>
        <v>강재류 10.0TON이상</v>
      </c>
      <c r="L6" s="19" t="s">
        <v>71</v>
      </c>
      <c r="M6" s="36" t="n">
        <f aca="false">IF(E6&lt;=0,0,INDEX(기준표!$C$5:$E$16,MATCH(E6/1000-0.0001,기준표!$A$5:$A$16,1),MATCH(I6,기준표!$C$4:$E$4,0)))</f>
        <v>28</v>
      </c>
      <c r="N6" s="37" t="n">
        <f aca="false">INDEX(기준표!$B$20:$B$22,MATCH(H6,기준표!$A$20:$A$22,0))</f>
        <v>1</v>
      </c>
      <c r="O6" s="38" t="n">
        <f aca="false">IF(M6=0,0,G6/M6*N6)</f>
        <v>1.35714285714286</v>
      </c>
      <c r="P6" s="39"/>
      <c r="Q6" s="20" t="s">
        <v>144</v>
      </c>
      <c r="R6" s="37" t="n">
        <f aca="false">IF(N(P6)&lt;=0,0,IF(Q6="비계",INDEX(기준표!$C$26:$C$34,MATCH(P6,기준표!$A$26:$A$34,1)),INDEX(기준표!$E$26:$E$34,MATCH(P6,기준표!$A$26:$A$34,1))))</f>
        <v>0</v>
      </c>
      <c r="S6" s="19" t="s">
        <v>145</v>
      </c>
      <c r="T6" s="37" t="n">
        <f aca="false">IF(OR(J6&lt;&gt;"강재류",H6="철거"),"-",IF(E6&lt;500,IF(S6="Y",0.3,0),IF(E6&lt;1000,0.15,IF(E6&lt;5000,0,IF(E6&lt;10000,-0.2,-0.3)))))</f>
        <v>-0.3</v>
      </c>
      <c r="U6" s="37" t="n">
        <f aca="false">IF(OR(J6&lt;&gt;"강재류",H6="철거"),"-",IF(AND(E6&lt;500,S6="Y"),0.2,0))</f>
        <v>0</v>
      </c>
      <c r="V6" s="19" t="s">
        <v>146</v>
      </c>
      <c r="W6" s="7"/>
      <c r="X6" s="40" t="n">
        <v>1.36</v>
      </c>
      <c r="Y6" s="41" t="n">
        <f aca="false">ROUND(O6,2)-X6</f>
        <v>0</v>
      </c>
    </row>
    <row r="7" customFormat="false" ht="29.25" hidden="false" customHeight="true" outlineLevel="0" collapsed="false">
      <c r="A7" s="6" t="n">
        <v>2</v>
      </c>
      <c r="B7" s="32" t="s">
        <v>147</v>
      </c>
      <c r="C7" s="33" t="n">
        <v>1</v>
      </c>
      <c r="D7" s="20" t="s">
        <v>102</v>
      </c>
      <c r="E7" s="33" t="n">
        <v>38000</v>
      </c>
      <c r="F7" s="34" t="n">
        <f aca="false">C7*E7</f>
        <v>38000</v>
      </c>
      <c r="G7" s="35" t="n">
        <f aca="false">F7/1000</f>
        <v>38</v>
      </c>
      <c r="H7" s="20" t="s">
        <v>148</v>
      </c>
      <c r="I7" s="20" t="s">
        <v>143</v>
      </c>
      <c r="J7" s="20" t="s">
        <v>10</v>
      </c>
      <c r="K7" s="7" t="str">
        <f aca="false">J7&amp;IF(J7="강재류"," "&amp;IF(E7&lt;500,"0.5TON미만",IF(E7&lt;1000,"0.5-1.0TON",IF(E7&lt;5000,"1.0-5.0TON",IF(E7&lt;10000,"5.0-10.0TON","10.0TON이상")))),"")&amp;IF(H7="설치","",IF(H7="철거"," 철거"," 이설"))</f>
        <v>강재류 10.0TON이상 철거</v>
      </c>
      <c r="L7" s="19" t="s">
        <v>71</v>
      </c>
      <c r="M7" s="36" t="n">
        <f aca="false">IF(E7&lt;=0,0,INDEX(기준표!$C$5:$E$16,MATCH(E7/1000-0.0001,기준표!$A$5:$A$16,1),MATCH(I7,기준표!$C$4:$E$4,0)))</f>
        <v>28</v>
      </c>
      <c r="N7" s="37" t="n">
        <f aca="false">INDEX(기준표!$B$20:$B$22,MATCH(H7,기준표!$A$20:$A$22,0))</f>
        <v>0.5</v>
      </c>
      <c r="O7" s="38" t="n">
        <f aca="false">IF(M7=0,0,G7/M7*N7)</f>
        <v>0.678571428571429</v>
      </c>
      <c r="P7" s="39"/>
      <c r="Q7" s="20" t="s">
        <v>144</v>
      </c>
      <c r="R7" s="37" t="n">
        <f aca="false">IF(N(P7)&lt;=0,0,IF(Q7="비계",INDEX(기준표!$C$26:$C$34,MATCH(P7,기준표!$A$26:$A$34,1)),INDEX(기준표!$E$26:$E$34,MATCH(P7,기준표!$A$26:$A$34,1))))</f>
        <v>0</v>
      </c>
      <c r="S7" s="19" t="s">
        <v>145</v>
      </c>
      <c r="T7" s="37" t="str">
        <f aca="false">IF(OR(J7&lt;&gt;"강재류",H7="철거"),"-",IF(E7&lt;500,IF(S7="Y",0.3,0),IF(E7&lt;1000,0.15,IF(E7&lt;5000,0,IF(E7&lt;10000,-0.2,-0.3)))))</f>
        <v>-</v>
      </c>
      <c r="U7" s="37" t="str">
        <f aca="false">IF(OR(J7&lt;&gt;"강재류",H7="철거"),"-",IF(AND(E7&lt;500,S7="Y"),0.2,0))</f>
        <v>-</v>
      </c>
      <c r="V7" s="19" t="s">
        <v>145</v>
      </c>
      <c r="W7" s="7" t="s">
        <v>149</v>
      </c>
      <c r="X7" s="40" t="n">
        <v>0.68</v>
      </c>
      <c r="Y7" s="41" t="n">
        <f aca="false">ROUND(O7,2)-X7</f>
        <v>0</v>
      </c>
    </row>
    <row r="8" customFormat="false" ht="15" hidden="false" customHeight="true" outlineLevel="0" collapsed="false">
      <c r="A8" s="6" t="n">
        <v>3</v>
      </c>
      <c r="B8" s="32" t="s">
        <v>150</v>
      </c>
      <c r="C8" s="33" t="n">
        <v>3</v>
      </c>
      <c r="D8" s="19" t="s">
        <v>85</v>
      </c>
      <c r="E8" s="33" t="n">
        <v>12056</v>
      </c>
      <c r="F8" s="34" t="n">
        <f aca="false">C8*E8</f>
        <v>36168</v>
      </c>
      <c r="G8" s="35" t="n">
        <f aca="false">F8/1000</f>
        <v>36.168</v>
      </c>
      <c r="H8" s="20" t="s">
        <v>151</v>
      </c>
      <c r="I8" s="20" t="s">
        <v>143</v>
      </c>
      <c r="J8" s="20" t="s">
        <v>10</v>
      </c>
      <c r="K8" s="7" t="str">
        <f aca="false">J8&amp;IF(J8="강재류"," "&amp;IF(E8&lt;500,"0.5TON미만",IF(E8&lt;1000,"0.5-1.0TON",IF(E8&lt;5000,"1.0-5.0TON",IF(E8&lt;10000,"5.0-10.0TON","10.0TON이상")))),"")&amp;IF(H8="설치","",IF(H8="철거"," 철거"," 이설"))</f>
        <v>강재류 10.0TON이상 이설</v>
      </c>
      <c r="L8" s="19" t="s">
        <v>71</v>
      </c>
      <c r="M8" s="36" t="n">
        <f aca="false">IF(E8&lt;=0,0,INDEX(기준표!$C$5:$E$16,MATCH(E8/1000-0.0001,기준표!$A$5:$A$16,1),MATCH(I8,기준표!$C$4:$E$4,0)))</f>
        <v>28</v>
      </c>
      <c r="N8" s="37" t="n">
        <f aca="false">INDEX(기준표!$B$20:$B$22,MATCH(H8,기준표!$A$20:$A$22,0))</f>
        <v>1.25</v>
      </c>
      <c r="O8" s="38" t="n">
        <f aca="false">IF(M8=0,0,G8/M8*N8)</f>
        <v>1.61464285714286</v>
      </c>
      <c r="P8" s="39"/>
      <c r="Q8" s="20" t="s">
        <v>144</v>
      </c>
      <c r="R8" s="37" t="n">
        <f aca="false">IF(N(P8)&lt;=0,0,IF(Q8="비계",INDEX(기준표!$C$26:$C$34,MATCH(P8,기준표!$A$26:$A$34,1)),INDEX(기준표!$E$26:$E$34,MATCH(P8,기준표!$A$26:$A$34,1))))</f>
        <v>0</v>
      </c>
      <c r="S8" s="19" t="s">
        <v>145</v>
      </c>
      <c r="T8" s="37" t="n">
        <f aca="false">IF(OR(J8&lt;&gt;"강재류",H8="철거"),"-",IF(E8&lt;500,IF(S8="Y",0.3,0),IF(E8&lt;1000,0.15,IF(E8&lt;5000,0,IF(E8&lt;10000,-0.2,-0.3)))))</f>
        <v>-0.3</v>
      </c>
      <c r="U8" s="37" t="n">
        <f aca="false">IF(OR(J8&lt;&gt;"강재류",H8="철거"),"-",IF(AND(E8&lt;500,S8="Y"),0.2,0))</f>
        <v>0</v>
      </c>
      <c r="V8" s="19" t="s">
        <v>145</v>
      </c>
      <c r="W8" s="7" t="s">
        <v>152</v>
      </c>
      <c r="X8" s="40" t="n">
        <v>1.61</v>
      </c>
      <c r="Y8" s="41" t="n">
        <f aca="false">ROUND(O8,2)-X8</f>
        <v>0</v>
      </c>
    </row>
    <row r="9" customFormat="false" ht="15" hidden="false" customHeight="true" outlineLevel="0" collapsed="false">
      <c r="A9" s="6" t="n">
        <v>4</v>
      </c>
      <c r="B9" s="32" t="s">
        <v>153</v>
      </c>
      <c r="C9" s="33" t="n">
        <v>1</v>
      </c>
      <c r="D9" s="20" t="s">
        <v>102</v>
      </c>
      <c r="E9" s="33" t="n">
        <v>6150</v>
      </c>
      <c r="F9" s="34" t="n">
        <f aca="false">C9*E9</f>
        <v>6150</v>
      </c>
      <c r="G9" s="35" t="n">
        <f aca="false">F9/1000</f>
        <v>6.15</v>
      </c>
      <c r="H9" s="20" t="s">
        <v>151</v>
      </c>
      <c r="I9" s="20" t="s">
        <v>143</v>
      </c>
      <c r="J9" s="20" t="s">
        <v>13</v>
      </c>
      <c r="K9" s="7" t="str">
        <f aca="false">J9&amp;IF(J9="강재류"," "&amp;IF(E9&lt;500,"0.5TON미만",IF(E9&lt;1000,"0.5-1.0TON",IF(E9&lt;5000,"1.0-5.0TON",IF(E9&lt;10000,"5.0-10.0TON","10.0TON이상")))),"")&amp;IF(H9="설치","",IF(H9="철거"," 철거"," 이설"))</f>
        <v>강재 STAND 이설</v>
      </c>
      <c r="L9" s="19" t="s">
        <v>71</v>
      </c>
      <c r="M9" s="36" t="n">
        <f aca="false">IF(E9&lt;=0,0,INDEX(기준표!$C$5:$E$16,MATCH(E9/1000-0.0001,기준표!$A$5:$A$16,1),MATCH(I9,기준표!$C$4:$E$4,0)))</f>
        <v>23</v>
      </c>
      <c r="N9" s="37" t="n">
        <f aca="false">INDEX(기준표!$B$20:$B$22,MATCH(H9,기준표!$A$20:$A$22,0))</f>
        <v>1.25</v>
      </c>
      <c r="O9" s="38" t="n">
        <f aca="false">IF(M9=0,0,G9/M9*N9)</f>
        <v>0.334239130434783</v>
      </c>
      <c r="P9" s="39"/>
      <c r="Q9" s="20" t="s">
        <v>144</v>
      </c>
      <c r="R9" s="37" t="n">
        <f aca="false">IF(N(P9)&lt;=0,0,IF(Q9="비계",INDEX(기준표!$C$26:$C$34,MATCH(P9,기준표!$A$26:$A$34,1)),INDEX(기준표!$E$26:$E$34,MATCH(P9,기준표!$A$26:$A$34,1))))</f>
        <v>0</v>
      </c>
      <c r="S9" s="19" t="s">
        <v>145</v>
      </c>
      <c r="T9" s="37" t="str">
        <f aca="false">IF(OR(J9&lt;&gt;"강재류",H9="철거"),"-",IF(E9&lt;500,IF(S9="Y",0.3,0),IF(E9&lt;1000,0.15,IF(E9&lt;5000,0,IF(E9&lt;10000,-0.2,-0.3)))))</f>
        <v>-</v>
      </c>
      <c r="U9" s="37" t="str">
        <f aca="false">IF(OR(J9&lt;&gt;"강재류",H9="철거"),"-",IF(AND(E9&lt;500,S9="Y"),0.2,0))</f>
        <v>-</v>
      </c>
      <c r="V9" s="19" t="s">
        <v>145</v>
      </c>
      <c r="W9" s="7"/>
      <c r="X9" s="40" t="n">
        <v>0.33</v>
      </c>
      <c r="Y9" s="41" t="n">
        <f aca="false">ROUND(O9,2)-X9</f>
        <v>0</v>
      </c>
    </row>
    <row r="10" customFormat="false" ht="23.25" hidden="false" customHeight="true" outlineLevel="0" collapsed="false">
      <c r="A10" s="6" t="n">
        <v>5</v>
      </c>
      <c r="B10" s="32" t="s">
        <v>154</v>
      </c>
      <c r="C10" s="33" t="n">
        <v>1</v>
      </c>
      <c r="D10" s="20" t="s">
        <v>102</v>
      </c>
      <c r="E10" s="33" t="n">
        <v>8318</v>
      </c>
      <c r="F10" s="34" t="n">
        <f aca="false">C10*E10</f>
        <v>8318</v>
      </c>
      <c r="G10" s="35" t="n">
        <f aca="false">F10/1000</f>
        <v>8.318</v>
      </c>
      <c r="H10" s="20" t="s">
        <v>151</v>
      </c>
      <c r="I10" s="20" t="s">
        <v>143</v>
      </c>
      <c r="J10" s="20" t="s">
        <v>10</v>
      </c>
      <c r="K10" s="7" t="str">
        <f aca="false">J10&amp;IF(J10="강재류"," "&amp;IF(E10&lt;500,"0.5TON미만",IF(E10&lt;1000,"0.5-1.0TON",IF(E10&lt;5000,"1.0-5.0TON",IF(E10&lt;10000,"5.0-10.0TON","10.0TON이상")))),"")&amp;IF(H10="설치","",IF(H10="철거"," 철거"," 이설"))</f>
        <v>강재류 5.0-10.0TON 이설</v>
      </c>
      <c r="L10" s="19" t="s">
        <v>71</v>
      </c>
      <c r="M10" s="36" t="n">
        <f aca="false">IF(E10&lt;=0,0,INDEX(기준표!$C$5:$E$16,MATCH(E10/1000-0.0001,기준표!$A$5:$A$16,1),MATCH(I10,기준표!$C$4:$E$4,0)))</f>
        <v>23</v>
      </c>
      <c r="N10" s="37" t="n">
        <f aca="false">INDEX(기준표!$B$20:$B$22,MATCH(H10,기준표!$A$20:$A$22,0))</f>
        <v>1.25</v>
      </c>
      <c r="O10" s="38" t="n">
        <f aca="false">IF(M10=0,0,G10/M10*N10)</f>
        <v>0.452065217391304</v>
      </c>
      <c r="P10" s="39"/>
      <c r="Q10" s="20" t="s">
        <v>144</v>
      </c>
      <c r="R10" s="37" t="n">
        <f aca="false">IF(N(P10)&lt;=0,0,IF(Q10="비계",INDEX(기준표!$C$26:$C$34,MATCH(P10,기준표!$A$26:$A$34,1)),INDEX(기준표!$E$26:$E$34,MATCH(P10,기준표!$A$26:$A$34,1))))</f>
        <v>0</v>
      </c>
      <c r="S10" s="19" t="s">
        <v>145</v>
      </c>
      <c r="T10" s="37" t="n">
        <f aca="false">IF(OR(J10&lt;&gt;"강재류",H10="철거"),"-",IF(E10&lt;500,IF(S10="Y",0.3,0),IF(E10&lt;1000,0.15,IF(E10&lt;5000,0,IF(E10&lt;10000,-0.2,-0.3)))))</f>
        <v>-0.2</v>
      </c>
      <c r="U10" s="37" t="n">
        <f aca="false">IF(OR(J10&lt;&gt;"강재류",H10="철거"),"-",IF(AND(E10&lt;500,S10="Y"),0.2,0))</f>
        <v>0</v>
      </c>
      <c r="V10" s="19" t="s">
        <v>145</v>
      </c>
      <c r="W10" s="7" t="s">
        <v>155</v>
      </c>
      <c r="X10" s="40" t="n">
        <v>0.45</v>
      </c>
      <c r="Y10" s="41" t="n">
        <f aca="false">ROUND(O10,2)-X10</f>
        <v>0</v>
      </c>
    </row>
    <row r="11" customFormat="false" ht="15" hidden="false" customHeight="true" outlineLevel="0" collapsed="false">
      <c r="A11" s="6" t="n">
        <v>6</v>
      </c>
      <c r="B11" s="42" t="s">
        <v>156</v>
      </c>
      <c r="C11" s="33" t="n">
        <v>4</v>
      </c>
      <c r="D11" s="19" t="s">
        <v>85</v>
      </c>
      <c r="E11" s="33" t="n">
        <v>375</v>
      </c>
      <c r="F11" s="34" t="n">
        <f aca="false">C11*E11</f>
        <v>1500</v>
      </c>
      <c r="G11" s="35" t="n">
        <f aca="false">F11/1000</f>
        <v>1.5</v>
      </c>
      <c r="H11" s="20" t="s">
        <v>142</v>
      </c>
      <c r="I11" s="20" t="s">
        <v>143</v>
      </c>
      <c r="J11" s="20" t="s">
        <v>10</v>
      </c>
      <c r="K11" s="7" t="str">
        <f aca="false">J11&amp;IF(J11="강재류"," "&amp;IF(E11&lt;500,"0.5TON미만",IF(E11&lt;1000,"0.5-1.0TON",IF(E11&lt;5000,"1.0-5.0TON",IF(E11&lt;10000,"5.0-10.0TON","10.0TON이상")))),"")&amp;IF(H11="설치","",IF(H11="철거"," 철거"," 이설"))</f>
        <v>강재류 0.5TON미만</v>
      </c>
      <c r="L11" s="19" t="s">
        <v>71</v>
      </c>
      <c r="M11" s="36" t="n">
        <f aca="false">IF(E11&lt;=0,0,INDEX(기준표!$C$5:$E$16,MATCH(E11/1000-0.0001,기준표!$A$5:$A$16,1),MATCH(I11,기준표!$C$4:$E$4,0)))</f>
        <v>3</v>
      </c>
      <c r="N11" s="37" t="n">
        <f aca="false">INDEX(기준표!$B$20:$B$22,MATCH(H11,기준표!$A$20:$A$22,0))</f>
        <v>1</v>
      </c>
      <c r="O11" s="38" t="n">
        <f aca="false">IF(M11=0,0,G11/M11*N11)</f>
        <v>0.5</v>
      </c>
      <c r="P11" s="39"/>
      <c r="Q11" s="20" t="s">
        <v>144</v>
      </c>
      <c r="R11" s="37" t="n">
        <f aca="false">IF(N(P11)&lt;=0,0,IF(Q11="비계",INDEX(기준표!$C$26:$C$34,MATCH(P11,기준표!$A$26:$A$34,1)),INDEX(기준표!$E$26:$E$34,MATCH(P11,기준표!$A$26:$A$34,1))))</f>
        <v>0</v>
      </c>
      <c r="S11" s="19" t="s">
        <v>145</v>
      </c>
      <c r="T11" s="37" t="n">
        <f aca="false">IF(OR(J11&lt;&gt;"강재류",H11="철거"),"-",IF(E11&lt;500,IF(S11="Y",0.3,0),IF(E11&lt;1000,0.15,IF(E11&lt;5000,0,IF(E11&lt;10000,-0.2,-0.3)))))</f>
        <v>0</v>
      </c>
      <c r="U11" s="37" t="n">
        <f aca="false">IF(OR(J11&lt;&gt;"강재류",H11="철거"),"-",IF(AND(E11&lt;500,S11="Y"),0.2,0))</f>
        <v>0</v>
      </c>
      <c r="V11" s="21" t="s">
        <v>145</v>
      </c>
      <c r="W11" s="7" t="s">
        <v>157</v>
      </c>
      <c r="X11" s="40" t="n">
        <v>0.5</v>
      </c>
      <c r="Y11" s="41" t="n">
        <f aca="false">ROUND(O11,2)-X11</f>
        <v>0</v>
      </c>
    </row>
    <row r="12" customFormat="false" ht="15" hidden="false" customHeight="true" outlineLevel="0" collapsed="false">
      <c r="A12" s="6" t="n">
        <v>7</v>
      </c>
      <c r="B12" s="42" t="s">
        <v>158</v>
      </c>
      <c r="C12" s="33" t="n">
        <v>4</v>
      </c>
      <c r="D12" s="19" t="s">
        <v>85</v>
      </c>
      <c r="E12" s="33" t="n">
        <v>375</v>
      </c>
      <c r="F12" s="34" t="n">
        <f aca="false">C12*E12</f>
        <v>1500</v>
      </c>
      <c r="G12" s="35" t="n">
        <f aca="false">F12/1000</f>
        <v>1.5</v>
      </c>
      <c r="H12" s="20" t="s">
        <v>148</v>
      </c>
      <c r="I12" s="20" t="s">
        <v>143</v>
      </c>
      <c r="J12" s="20" t="s">
        <v>10</v>
      </c>
      <c r="K12" s="7" t="str">
        <f aca="false">J12&amp;IF(J12="강재류"," "&amp;IF(E12&lt;500,"0.5TON미만",IF(E12&lt;1000,"0.5-1.0TON",IF(E12&lt;5000,"1.0-5.0TON",IF(E12&lt;10000,"5.0-10.0TON","10.0TON이상")))),"")&amp;IF(H12="설치","",IF(H12="철거"," 철거"," 이설"))</f>
        <v>강재류 0.5TON미만 철거</v>
      </c>
      <c r="L12" s="19" t="s">
        <v>71</v>
      </c>
      <c r="M12" s="36" t="n">
        <f aca="false">IF(E12&lt;=0,0,INDEX(기준표!$C$5:$E$16,MATCH(E12/1000-0.0001,기준표!$A$5:$A$16,1),MATCH(I12,기준표!$C$4:$E$4,0)))</f>
        <v>3</v>
      </c>
      <c r="N12" s="37" t="n">
        <f aca="false">INDEX(기준표!$B$20:$B$22,MATCH(H12,기준표!$A$20:$A$22,0))</f>
        <v>0.5</v>
      </c>
      <c r="O12" s="38" t="n">
        <f aca="false">IF(M12=0,0,G12/M12*N12)</f>
        <v>0.25</v>
      </c>
      <c r="P12" s="39"/>
      <c r="Q12" s="20" t="s">
        <v>144</v>
      </c>
      <c r="R12" s="37" t="n">
        <f aca="false">IF(N(P12)&lt;=0,0,IF(Q12="비계",INDEX(기준표!$C$26:$C$34,MATCH(P12,기준표!$A$26:$A$34,1)),INDEX(기준표!$E$26:$E$34,MATCH(P12,기준표!$A$26:$A$34,1))))</f>
        <v>0</v>
      </c>
      <c r="S12" s="19" t="s">
        <v>145</v>
      </c>
      <c r="T12" s="37" t="str">
        <f aca="false">IF(OR(J12&lt;&gt;"강재류",H12="철거"),"-",IF(E12&lt;500,IF(S12="Y",0.3,0),IF(E12&lt;1000,0.15,IF(E12&lt;5000,0,IF(E12&lt;10000,-0.2,-0.3)))))</f>
        <v>-</v>
      </c>
      <c r="U12" s="37" t="str">
        <f aca="false">IF(OR(J12&lt;&gt;"강재류",H12="철거"),"-",IF(AND(E12&lt;500,S12="Y"),0.2,0))</f>
        <v>-</v>
      </c>
      <c r="V12" s="19" t="s">
        <v>145</v>
      </c>
      <c r="W12" s="7"/>
      <c r="X12" s="40" t="n">
        <v>0.25</v>
      </c>
      <c r="Y12" s="41" t="n">
        <f aca="false">ROUND(O12,2)-X12</f>
        <v>0</v>
      </c>
    </row>
    <row r="13" customFormat="false" ht="15" hidden="false" customHeight="true" outlineLevel="0" collapsed="false">
      <c r="A13" s="6" t="n">
        <v>8</v>
      </c>
      <c r="B13" s="42" t="s">
        <v>159</v>
      </c>
      <c r="C13" s="33" t="n">
        <v>4</v>
      </c>
      <c r="D13" s="19" t="s">
        <v>85</v>
      </c>
      <c r="E13" s="33" t="n">
        <v>375</v>
      </c>
      <c r="F13" s="34" t="n">
        <f aca="false">C13*E13</f>
        <v>1500</v>
      </c>
      <c r="G13" s="35" t="n">
        <f aca="false">F13/1000</f>
        <v>1.5</v>
      </c>
      <c r="H13" s="20" t="s">
        <v>151</v>
      </c>
      <c r="I13" s="20" t="s">
        <v>143</v>
      </c>
      <c r="J13" s="20" t="s">
        <v>10</v>
      </c>
      <c r="K13" s="7" t="str">
        <f aca="false">J13&amp;IF(J13="강재류"," "&amp;IF(E13&lt;500,"0.5TON미만",IF(E13&lt;1000,"0.5-1.0TON",IF(E13&lt;5000,"1.0-5.0TON",IF(E13&lt;10000,"5.0-10.0TON","10.0TON이상")))),"")&amp;IF(H13="설치","",IF(H13="철거"," 철거"," 이설"))</f>
        <v>강재류 0.5TON미만 이설</v>
      </c>
      <c r="L13" s="19" t="s">
        <v>71</v>
      </c>
      <c r="M13" s="36" t="n">
        <f aca="false">IF(E13&lt;=0,0,INDEX(기준표!$C$5:$E$16,MATCH(E13/1000-0.0001,기준표!$A$5:$A$16,1),MATCH(I13,기준표!$C$4:$E$4,0)))</f>
        <v>3</v>
      </c>
      <c r="N13" s="37" t="n">
        <f aca="false">INDEX(기준표!$B$20:$B$22,MATCH(H13,기준표!$A$20:$A$22,0))</f>
        <v>1.25</v>
      </c>
      <c r="O13" s="38" t="n">
        <f aca="false">IF(M13=0,0,G13/M13*N13)</f>
        <v>0.625</v>
      </c>
      <c r="P13" s="39"/>
      <c r="Q13" s="20" t="s">
        <v>144</v>
      </c>
      <c r="R13" s="37" t="n">
        <f aca="false">IF(N(P13)&lt;=0,0,IF(Q13="비계",INDEX(기준표!$C$26:$C$34,MATCH(P13,기준표!$A$26:$A$34,1)),INDEX(기준표!$E$26:$E$34,MATCH(P13,기준표!$A$26:$A$34,1))))</f>
        <v>0</v>
      </c>
      <c r="S13" s="19" t="s">
        <v>145</v>
      </c>
      <c r="T13" s="37" t="n">
        <f aca="false">IF(OR(J13&lt;&gt;"강재류",H13="철거"),"-",IF(E13&lt;500,IF(S13="Y",0.3,0),IF(E13&lt;1000,0.15,IF(E13&lt;5000,0,IF(E13&lt;10000,-0.2,-0.3)))))</f>
        <v>0</v>
      </c>
      <c r="U13" s="37" t="n">
        <f aca="false">IF(OR(J13&lt;&gt;"강재류",H13="철거"),"-",IF(AND(E13&lt;500,S13="Y"),0.2,0))</f>
        <v>0</v>
      </c>
      <c r="V13" s="19" t="s">
        <v>145</v>
      </c>
      <c r="W13" s="7"/>
      <c r="X13" s="40" t="n">
        <v>0.63</v>
      </c>
      <c r="Y13" s="41" t="n">
        <f aca="false">ROUND(O13,2)-X13</f>
        <v>0</v>
      </c>
    </row>
    <row r="14" customFormat="false" ht="15" hidden="false" customHeight="true" outlineLevel="0" collapsed="false">
      <c r="A14" s="43"/>
      <c r="B14" s="44" t="s">
        <v>160</v>
      </c>
      <c r="C14" s="43"/>
      <c r="D14" s="43"/>
      <c r="E14" s="43"/>
      <c r="F14" s="45" t="n">
        <f aca="false">SUM(F6:F13)</f>
        <v>131136</v>
      </c>
      <c r="G14" s="46" t="n">
        <f aca="false">SUM(G6:G13)</f>
        <v>131.136</v>
      </c>
      <c r="H14" s="43"/>
      <c r="I14" s="43"/>
      <c r="J14" s="43"/>
      <c r="K14" s="43"/>
      <c r="L14" s="43"/>
      <c r="M14" s="43"/>
      <c r="N14" s="43"/>
      <c r="O14" s="47" t="n">
        <f aca="false">SUM(O6:O13)</f>
        <v>5.81166149068323</v>
      </c>
      <c r="P14" s="43"/>
      <c r="Q14" s="43"/>
      <c r="R14" s="43"/>
      <c r="S14" s="43"/>
      <c r="T14" s="43"/>
      <c r="U14" s="43"/>
      <c r="V14" s="43"/>
      <c r="W14" s="43"/>
      <c r="X14" s="47" t="n">
        <f aca="false">SUM(X6:X13)</f>
        <v>5.81</v>
      </c>
      <c r="Y14" s="48" t="n">
        <f aca="false">ROUND(O14,2)-X14</f>
        <v>0</v>
      </c>
    </row>
    <row r="16" customFormat="false" ht="15" hidden="false" customHeight="true" outlineLevel="0" collapsed="false">
      <c r="A16" s="3" t="s">
        <v>161</v>
      </c>
    </row>
    <row r="17" customFormat="false" ht="15" hidden="false" customHeight="true" outlineLevel="0" collapsed="false">
      <c r="A17" s="3" t="s">
        <v>162</v>
      </c>
    </row>
    <row r="18" customFormat="false" ht="15" hidden="false" customHeight="true" outlineLevel="0" collapsed="false">
      <c r="A18" s="29" t="s">
        <v>163</v>
      </c>
    </row>
  </sheetData>
  <dataValidations count="6">
    <dataValidation allowBlank="true" errorStyle="stop" operator="between" showDropDown="false" showErrorMessage="false" showInputMessage="false" sqref="H6:H13" type="list">
      <formula1>"설치,철거,이설"</formula1>
      <formula2>0</formula2>
    </dataValidation>
    <dataValidation allowBlank="true" errorStyle="stop" operator="between" showDropDown="false" showErrorMessage="false" showInputMessage="false" sqref="I6:I13" type="list">
      <formula1>"기기류,철골류,배관류"</formula1>
      <formula2>0</formula2>
    </dataValidation>
    <dataValidation allowBlank="true" errorStyle="stop" operator="between" showDropDown="false" showErrorMessage="false" showInputMessage="false" sqref="J6:J13" type="list">
      <formula1>"강재류,강재 STAND"</formula1>
      <formula2>0</formula2>
    </dataValidation>
    <dataValidation allowBlank="true" errorStyle="stop" operator="between" showDropDown="false" showErrorMessage="false" showInputMessage="false" sqref="Q6:Q13" type="list">
      <formula1>"비계,고소작업차"</formula1>
      <formula2>0</formula2>
    </dataValidation>
    <dataValidation allowBlank="true" errorStyle="stop" operator="between" showDropDown="false" showErrorMessage="false" showInputMessage="false" sqref="S6:S13" type="list">
      <formula1>"Y,N"</formula1>
      <formula2>0</formula2>
    </dataValidation>
    <dataValidation allowBlank="true" errorStyle="stop" operator="between" showDropDown="false" showErrorMessage="false" showInputMessage="false" sqref="V6:V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49" t="s">
        <v>164</v>
      </c>
    </row>
    <row r="3" customFormat="false" ht="15" hidden="false" customHeight="true" outlineLevel="0" collapsed="false">
      <c r="A3" s="50" t="s">
        <v>165</v>
      </c>
    </row>
    <row r="4" customFormat="false" ht="15" hidden="false" customHeight="true" outlineLevel="0" collapsed="false">
      <c r="A4" s="4" t="s">
        <v>127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138</v>
      </c>
    </row>
    <row r="5" customFormat="false" ht="15" hidden="false" customHeight="true" outlineLevel="0" collapsed="false">
      <c r="A5" s="32" t="s">
        <v>71</v>
      </c>
      <c r="B5" s="37" t="n">
        <f aca="false">SUMIF(기본물량산출!$L$6:$L$13,A5,기본물량산출!$O$6:$O$13)</f>
        <v>5.81166149068323</v>
      </c>
      <c r="C5" s="37" t="n">
        <f aca="false">ROUNDUP(B5,0)</f>
        <v>6</v>
      </c>
      <c r="D5" s="36" t="n">
        <f aca="false">기준표!$B$38</f>
        <v>8</v>
      </c>
      <c r="E5" s="36" t="n">
        <f aca="false">IF(C5=0,0,MAX(C5*D5,기준표!$B$39))</f>
        <v>48</v>
      </c>
      <c r="F5" s="7" t="s">
        <v>170</v>
      </c>
    </row>
    <row r="6" customFormat="false" ht="15" hidden="false" customHeight="true" outlineLevel="0" collapsed="false">
      <c r="A6" s="32" t="s">
        <v>63</v>
      </c>
      <c r="B6" s="37" t="n">
        <f aca="false">SUMIF(기본물량산출!$L$6:$L$13,A6,기본물량산출!$O$6:$O$13)</f>
        <v>0</v>
      </c>
      <c r="C6" s="37" t="n">
        <f aca="false">ROUNDUP(B6,0)</f>
        <v>0</v>
      </c>
      <c r="D6" s="36" t="n">
        <f aca="false">기준표!$B$38</f>
        <v>8</v>
      </c>
      <c r="E6" s="36" t="n">
        <f aca="false">IF(C6=0,0,MAX(C6*D6,기준표!$B$39))</f>
        <v>0</v>
      </c>
      <c r="F6" s="7"/>
    </row>
    <row r="7" customFormat="false" ht="15" hidden="false" customHeight="true" outlineLevel="0" collapsed="false">
      <c r="A7" s="32" t="s">
        <v>67</v>
      </c>
      <c r="B7" s="37" t="n">
        <f aca="false">SUMIF(기본물량산출!$L$6:$L$13,A7,기본물량산출!$O$6:$O$13)</f>
        <v>0</v>
      </c>
      <c r="C7" s="37" t="n">
        <f aca="false">ROUNDUP(B7,0)</f>
        <v>0</v>
      </c>
      <c r="D7" s="36" t="n">
        <f aca="false">기준표!$B$38</f>
        <v>8</v>
      </c>
      <c r="E7" s="36" t="n">
        <f aca="false">IF(C7=0,0,MAX(C7*D7,기준표!$B$39))</f>
        <v>0</v>
      </c>
      <c r="F7" s="7"/>
    </row>
    <row r="8" customFormat="false" ht="15" hidden="false" customHeight="true" outlineLevel="0" collapsed="false">
      <c r="A8" s="32" t="s">
        <v>65</v>
      </c>
      <c r="B8" s="37" t="n">
        <f aca="false">SUMIF(기본물량산출!$L$6:$L$13,A8,기본물량산출!$O$6:$O$13)</f>
        <v>0</v>
      </c>
      <c r="C8" s="37" t="n">
        <f aca="false">ROUNDUP(B8,0)</f>
        <v>0</v>
      </c>
      <c r="D8" s="36" t="n">
        <f aca="false">기준표!$B$38</f>
        <v>8</v>
      </c>
      <c r="E8" s="36" t="n">
        <f aca="false">IF(C8=0,0,MAX(C8*D8,기준표!$B$39))</f>
        <v>0</v>
      </c>
      <c r="F8" s="7"/>
    </row>
    <row r="9" customFormat="false" ht="15" hidden="false" customHeight="true" outlineLevel="0" collapsed="false">
      <c r="A9" s="42" t="s">
        <v>69</v>
      </c>
      <c r="B9" s="37" t="n">
        <f aca="false">SUMIF(기본물량산출!$L$6:$L$13,A9,기본물량산출!$O$6:$O$13)</f>
        <v>0</v>
      </c>
      <c r="C9" s="37" t="n">
        <f aca="false">ROUNDUP(B9,0)</f>
        <v>0</v>
      </c>
      <c r="D9" s="36" t="n">
        <f aca="false">기준표!$B$38</f>
        <v>8</v>
      </c>
      <c r="E9" s="36" t="n">
        <f aca="false">IF(C9=0,0,MAX(C9*D9,기준표!$B$39))</f>
        <v>0</v>
      </c>
      <c r="F9" s="7"/>
    </row>
    <row r="11" customFormat="false" ht="15" hidden="false" customHeight="true" outlineLevel="0" collapsed="false">
      <c r="A11" s="50" t="s">
        <v>171</v>
      </c>
    </row>
    <row r="12" customFormat="false" ht="15" hidden="false" customHeight="true" outlineLevel="0" collapsed="false">
      <c r="A12" s="4" t="s">
        <v>172</v>
      </c>
      <c r="B12" s="4" t="s">
        <v>121</v>
      </c>
      <c r="C12" s="4" t="s">
        <v>122</v>
      </c>
    </row>
    <row r="13" customFormat="false" ht="15" hidden="false" customHeight="true" outlineLevel="0" collapsed="false">
      <c r="A13" s="42" t="s">
        <v>173</v>
      </c>
      <c r="B13" s="17" t="n">
        <f aca="false">SUMIF(기본물량산출!$K$6:$K$13,A13,기본물량산출!$F$6:$F$13)</f>
        <v>1500</v>
      </c>
      <c r="C13" s="8" t="n">
        <f aca="false">B13/1000</f>
        <v>1.5</v>
      </c>
    </row>
    <row r="14" customFormat="false" ht="15" hidden="false" customHeight="true" outlineLevel="0" collapsed="false">
      <c r="A14" s="42" t="s">
        <v>174</v>
      </c>
      <c r="B14" s="17" t="n">
        <f aca="false">SUMIF(기본물량산출!$K$6:$K$13,A14,기본물량산출!$F$6:$F$13)</f>
        <v>0</v>
      </c>
      <c r="C14" s="8" t="n">
        <f aca="false">B14/1000</f>
        <v>0</v>
      </c>
    </row>
    <row r="15" customFormat="false" ht="15" hidden="false" customHeight="true" outlineLevel="0" collapsed="false">
      <c r="A15" s="42" t="s">
        <v>175</v>
      </c>
      <c r="B15" s="17" t="n">
        <f aca="false">SUMIF(기본물량산출!$K$6:$K$13,A15,기본물량산출!$F$6:$F$13)</f>
        <v>0</v>
      </c>
      <c r="C15" s="8" t="n">
        <f aca="false">B15/1000</f>
        <v>0</v>
      </c>
    </row>
    <row r="16" customFormat="false" ht="15" hidden="false" customHeight="true" outlineLevel="0" collapsed="false">
      <c r="A16" s="42" t="s">
        <v>176</v>
      </c>
      <c r="B16" s="17" t="n">
        <f aca="false">SUMIF(기본물량산출!$K$6:$K$13,A16,기본물량산출!$F$6:$F$13)</f>
        <v>0</v>
      </c>
      <c r="C16" s="8" t="n">
        <f aca="false">B16/1000</f>
        <v>0</v>
      </c>
    </row>
    <row r="17" customFormat="false" ht="15" hidden="false" customHeight="true" outlineLevel="0" collapsed="false">
      <c r="A17" s="42" t="s">
        <v>177</v>
      </c>
      <c r="B17" s="17" t="n">
        <f aca="false">SUMIF(기본물량산출!$K$6:$K$13,A17,기본물량산출!$F$6:$F$13)</f>
        <v>38000</v>
      </c>
      <c r="C17" s="8" t="n">
        <f aca="false">B17/1000</f>
        <v>38</v>
      </c>
    </row>
    <row r="18" customFormat="false" ht="15" hidden="false" customHeight="true" outlineLevel="0" collapsed="false">
      <c r="A18" s="42" t="s">
        <v>13</v>
      </c>
      <c r="B18" s="17" t="n">
        <f aca="false">SUMIF(기본물량산출!$K$6:$K$13,A18,기본물량산출!$F$6:$F$13)</f>
        <v>0</v>
      </c>
      <c r="C18" s="8" t="n">
        <f aca="false">B18/1000</f>
        <v>0</v>
      </c>
    </row>
    <row r="19" customFormat="false" ht="15" hidden="false" customHeight="true" outlineLevel="0" collapsed="false">
      <c r="A19" s="42" t="s">
        <v>178</v>
      </c>
      <c r="B19" s="17" t="n">
        <f aca="false">SUMIF(기본물량산출!$K$6:$K$13,A19,기본물량산출!$F$6:$F$13)</f>
        <v>1500</v>
      </c>
      <c r="C19" s="8" t="n">
        <f aca="false">B19/1000</f>
        <v>1.5</v>
      </c>
    </row>
    <row r="20" customFormat="false" ht="15" hidden="false" customHeight="true" outlineLevel="0" collapsed="false">
      <c r="A20" s="42" t="s">
        <v>179</v>
      </c>
      <c r="B20" s="17" t="n">
        <f aca="false">SUMIF(기본물량산출!$K$6:$K$13,A20,기본물량산출!$F$6:$F$13)</f>
        <v>0</v>
      </c>
      <c r="C20" s="8" t="n">
        <f aca="false">B20/1000</f>
        <v>0</v>
      </c>
    </row>
    <row r="21" customFormat="false" ht="15" hidden="false" customHeight="true" outlineLevel="0" collapsed="false">
      <c r="A21" s="42" t="s">
        <v>180</v>
      </c>
      <c r="B21" s="17" t="n">
        <f aca="false">SUMIF(기본물량산출!$K$6:$K$13,A21,기본물량산출!$F$6:$F$13)</f>
        <v>0</v>
      </c>
      <c r="C21" s="8" t="n">
        <f aca="false">B21/1000</f>
        <v>0</v>
      </c>
    </row>
    <row r="22" customFormat="false" ht="15" hidden="false" customHeight="true" outlineLevel="0" collapsed="false">
      <c r="A22" s="42" t="s">
        <v>181</v>
      </c>
      <c r="B22" s="17" t="n">
        <f aca="false">SUMIF(기본물량산출!$K$6:$K$13,A22,기본물량산출!$F$6:$F$13)</f>
        <v>0</v>
      </c>
      <c r="C22" s="8" t="n">
        <f aca="false">B22/1000</f>
        <v>0</v>
      </c>
    </row>
    <row r="23" customFormat="false" ht="15" hidden="false" customHeight="true" outlineLevel="0" collapsed="false">
      <c r="A23" s="42" t="s">
        <v>182</v>
      </c>
      <c r="B23" s="17" t="n">
        <f aca="false">SUMIF(기본물량산출!$K$6:$K$13,A23,기본물량산출!$F$6:$F$13)</f>
        <v>38000</v>
      </c>
      <c r="C23" s="8" t="n">
        <f aca="false">B23/1000</f>
        <v>38</v>
      </c>
    </row>
    <row r="24" customFormat="false" ht="15" hidden="false" customHeight="true" outlineLevel="0" collapsed="false">
      <c r="A24" s="42" t="s">
        <v>183</v>
      </c>
      <c r="B24" s="17" t="n">
        <f aca="false">SUMIF(기본물량산출!$K$6:$K$13,A24,기본물량산출!$F$6:$F$13)</f>
        <v>0</v>
      </c>
      <c r="C24" s="8" t="n">
        <f aca="false">B24/1000</f>
        <v>0</v>
      </c>
    </row>
    <row r="25" customFormat="false" ht="15" hidden="false" customHeight="true" outlineLevel="0" collapsed="false">
      <c r="A25" s="42" t="s">
        <v>184</v>
      </c>
      <c r="B25" s="17" t="n">
        <f aca="false">SUMIF(기본물량산출!$K$6:$K$13,A25,기본물량산출!$F$6:$F$13)</f>
        <v>1500</v>
      </c>
      <c r="C25" s="8" t="n">
        <f aca="false">B25/1000</f>
        <v>1.5</v>
      </c>
    </row>
    <row r="26" customFormat="false" ht="15" hidden="false" customHeight="true" outlineLevel="0" collapsed="false">
      <c r="A26" s="42" t="s">
        <v>185</v>
      </c>
      <c r="B26" s="17" t="n">
        <f aca="false">SUMIF(기본물량산출!$K$6:$K$13,A26,기본물량산출!$F$6:$F$13)</f>
        <v>0</v>
      </c>
      <c r="C26" s="8" t="n">
        <f aca="false">B26/1000</f>
        <v>0</v>
      </c>
    </row>
    <row r="27" customFormat="false" ht="15" hidden="false" customHeight="true" outlineLevel="0" collapsed="false">
      <c r="A27" s="42" t="s">
        <v>186</v>
      </c>
      <c r="B27" s="17" t="n">
        <f aca="false">SUMIF(기본물량산출!$K$6:$K$13,A27,기본물량산출!$F$6:$F$13)</f>
        <v>0</v>
      </c>
      <c r="C27" s="8" t="n">
        <f aca="false">B27/1000</f>
        <v>0</v>
      </c>
    </row>
    <row r="28" customFormat="false" ht="15" hidden="false" customHeight="true" outlineLevel="0" collapsed="false">
      <c r="A28" s="42" t="s">
        <v>187</v>
      </c>
      <c r="B28" s="17" t="n">
        <f aca="false">SUMIF(기본물량산출!$K$6:$K$13,A28,기본물량산출!$F$6:$F$13)</f>
        <v>8318</v>
      </c>
      <c r="C28" s="8" t="n">
        <f aca="false">B28/1000</f>
        <v>8.318</v>
      </c>
    </row>
    <row r="29" customFormat="false" ht="15" hidden="false" customHeight="true" outlineLevel="0" collapsed="false">
      <c r="A29" s="42" t="s">
        <v>188</v>
      </c>
      <c r="B29" s="17" t="n">
        <f aca="false">SUMIF(기본물량산출!$K$6:$K$13,A29,기본물량산출!$F$6:$F$13)</f>
        <v>36168</v>
      </c>
      <c r="C29" s="8" t="n">
        <f aca="false">B29/1000</f>
        <v>36.168</v>
      </c>
    </row>
    <row r="30" customFormat="false" ht="15" hidden="false" customHeight="true" outlineLevel="0" collapsed="false">
      <c r="A30" s="42" t="s">
        <v>189</v>
      </c>
      <c r="B30" s="17" t="n">
        <f aca="false">SUMIF(기본물량산출!$K$6:$K$13,A30,기본물량산출!$F$6:$F$13)</f>
        <v>6150</v>
      </c>
      <c r="C30" s="8" t="n">
        <f aca="false">B30/1000</f>
        <v>6.15</v>
      </c>
    </row>
    <row r="31" customFormat="false" ht="15" hidden="false" customHeight="true" outlineLevel="0" collapsed="false">
      <c r="A31" s="44" t="s">
        <v>160</v>
      </c>
      <c r="B31" s="45" t="n">
        <f aca="false">SUM(B13:B30)</f>
        <v>131136</v>
      </c>
      <c r="C31" s="46" t="n">
        <f aca="false">B31/1000</f>
        <v>131.136</v>
      </c>
    </row>
    <row r="32" customFormat="false" ht="15" hidden="false" customHeight="true" outlineLevel="0" collapsed="false">
      <c r="A32" s="7" t="s">
        <v>190</v>
      </c>
      <c r="B32" s="51" t="n">
        <f aca="false">B31-기본물량산출!F14</f>
        <v>0</v>
      </c>
    </row>
    <row r="34" customFormat="false" ht="15" hidden="false" customHeight="true" outlineLevel="0" collapsed="false">
      <c r="A34" s="50" t="s">
        <v>191</v>
      </c>
    </row>
    <row r="35" customFormat="false" ht="15" hidden="false" customHeight="true" outlineLevel="0" collapsed="false">
      <c r="A35" s="4" t="s">
        <v>192</v>
      </c>
      <c r="B35" s="4" t="s">
        <v>193</v>
      </c>
      <c r="C35" s="4" t="s">
        <v>138</v>
      </c>
    </row>
    <row r="36" customFormat="false" ht="15" hidden="false" customHeight="true" outlineLevel="0" collapsed="false">
      <c r="A36" s="7" t="s">
        <v>194</v>
      </c>
      <c r="B36" s="38" t="n">
        <f aca="false">SUMIFS(기본물량산출!$G$6:$G$13,기본물량산출!$H$6:$H$13,"설치",기본물량산출!$V$6:$V$13,"Y")</f>
        <v>38</v>
      </c>
      <c r="C36" s="7" t="s">
        <v>195</v>
      </c>
    </row>
    <row r="37" customFormat="false" ht="15" hidden="false" customHeight="true" outlineLevel="0" collapsed="false">
      <c r="A37" s="7" t="s">
        <v>196</v>
      </c>
      <c r="B37" s="38" t="n">
        <f aca="false">B36*기준표!$B$37</f>
        <v>26.6</v>
      </c>
      <c r="C37" s="7" t="s">
        <v>197</v>
      </c>
    </row>
    <row r="38" customFormat="false" ht="15" hidden="false" customHeight="true" outlineLevel="0" collapsed="false">
      <c r="A38" s="7" t="s">
        <v>198</v>
      </c>
      <c r="B38" s="52" t="n">
        <f aca="false">SUMIFS(기본물량산출!$G$6:$G$13,기본물량산출!$H$6:$H$13,"철거",기본물량산출!$V$6:$V$13,"Y")</f>
        <v>0</v>
      </c>
      <c r="C38" s="7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14" min="7" style="1" width="12"/>
    <col collapsed="false" customWidth="true" hidden="false" outlineLevel="0" max="17" min="15" style="1" width="11"/>
    <col collapsed="false" customWidth="true" hidden="false" outlineLevel="0" max="18" min="18" style="1" width="20"/>
    <col collapsed="false" customWidth="true" hidden="false" outlineLevel="0" max="19" min="19" style="1" width="8"/>
    <col collapsed="false" customWidth="true" hidden="false" outlineLevel="0" max="20" min="20" style="1" width="40"/>
  </cols>
  <sheetData>
    <row r="1" customFormat="false" ht="21" hidden="false" customHeight="true" outlineLevel="0" collapsed="false">
      <c r="A1" s="30" t="s">
        <v>200</v>
      </c>
    </row>
    <row r="2" customFormat="false" ht="15" hidden="false" customHeight="true" outlineLevel="0" collapsed="false">
      <c r="A2" s="3" t="s">
        <v>201</v>
      </c>
    </row>
    <row r="3" customFormat="false" ht="15" hidden="false" customHeight="true" outlineLevel="0" collapsed="false">
      <c r="A3" s="3" t="s">
        <v>202</v>
      </c>
    </row>
    <row r="5" customFormat="false" ht="23.25" hidden="false" customHeight="true" outlineLevel="0" collapsed="false">
      <c r="B5" s="44" t="s">
        <v>203</v>
      </c>
      <c r="C5" s="44"/>
      <c r="D5" s="44"/>
      <c r="E5" s="44"/>
      <c r="F5" s="44"/>
      <c r="G5" s="19" t="s">
        <v>204</v>
      </c>
      <c r="H5" s="19" t="s">
        <v>205</v>
      </c>
      <c r="I5" s="21"/>
      <c r="J5" s="21"/>
      <c r="K5" s="21"/>
      <c r="L5" s="21"/>
    </row>
    <row r="6" customFormat="false" ht="15" hidden="false" customHeight="true" outlineLevel="0" collapsed="false">
      <c r="B6" s="44" t="s">
        <v>206</v>
      </c>
      <c r="C6" s="44"/>
      <c r="D6" s="44"/>
      <c r="E6" s="44"/>
      <c r="F6" s="44"/>
      <c r="G6" s="20" t="s">
        <v>207</v>
      </c>
      <c r="H6" s="20" t="s">
        <v>207</v>
      </c>
      <c r="I6" s="21"/>
      <c r="J6" s="21"/>
      <c r="K6" s="21"/>
      <c r="L6" s="21"/>
    </row>
    <row r="7" customFormat="false" ht="15" hidden="false" customHeight="true" outlineLevel="0" collapsed="false">
      <c r="B7" s="44" t="s">
        <v>208</v>
      </c>
      <c r="C7" s="44"/>
      <c r="D7" s="44"/>
      <c r="E7" s="44"/>
      <c r="F7" s="44"/>
      <c r="G7" s="20" t="s">
        <v>209</v>
      </c>
      <c r="H7" s="20" t="s">
        <v>209</v>
      </c>
      <c r="I7" s="21"/>
      <c r="J7" s="21"/>
      <c r="K7" s="21"/>
      <c r="L7" s="21"/>
    </row>
    <row r="8" customFormat="false" ht="15" hidden="false" customHeight="true" outlineLevel="0" collapsed="false">
      <c r="B8" s="44" t="s">
        <v>210</v>
      </c>
      <c r="C8" s="44"/>
      <c r="D8" s="44"/>
      <c r="E8" s="44"/>
      <c r="F8" s="44"/>
      <c r="G8" s="33" t="n">
        <v>3</v>
      </c>
      <c r="H8" s="33" t="n">
        <v>1</v>
      </c>
      <c r="I8" s="53"/>
      <c r="J8" s="53"/>
      <c r="K8" s="53"/>
      <c r="L8" s="53"/>
    </row>
    <row r="9" customFormat="false" ht="15" hidden="false" customHeight="true" outlineLevel="0" collapsed="false">
      <c r="B9" s="44" t="s">
        <v>211</v>
      </c>
      <c r="C9" s="44"/>
      <c r="D9" s="44"/>
      <c r="E9" s="44"/>
      <c r="F9" s="44"/>
      <c r="G9" s="54" t="n">
        <f aca="false">IF(G$5="",0,SUMIF($F$20:$F$39,"KG",G20:G39))</f>
        <v>0</v>
      </c>
      <c r="H9" s="54" t="n">
        <f aca="false">IF(H$5="",0,SUMIF($F$20:$F$39,"KG",H20:H39))</f>
        <v>0</v>
      </c>
      <c r="I9" s="54" t="n">
        <f aca="false">IF(I$5="",0,SUMIF($F$20:$F$39,"KG",I20:I39))</f>
        <v>0</v>
      </c>
      <c r="J9" s="54" t="n">
        <f aca="false">IF(J$5="",0,SUMIF($F$20:$F$39,"KG",J20:J39))</f>
        <v>0</v>
      </c>
      <c r="K9" s="54" t="n">
        <f aca="false">IF(K$5="",0,SUMIF($F$20:$F$39,"KG",K20:K39))</f>
        <v>0</v>
      </c>
      <c r="L9" s="54" t="n">
        <f aca="false">IF(L$5="",0,SUMIF($F$20:$F$39,"KG",L20:L39))</f>
        <v>0</v>
      </c>
    </row>
    <row r="10" customFormat="false" ht="15" hidden="false" customHeight="true" outlineLevel="0" collapsed="false">
      <c r="B10" s="44" t="s">
        <v>212</v>
      </c>
      <c r="C10" s="44"/>
      <c r="D10" s="44"/>
      <c r="E10" s="44"/>
      <c r="F10" s="44"/>
      <c r="G10" s="54" t="n">
        <f aca="false">G9*G8</f>
        <v>0</v>
      </c>
      <c r="H10" s="54" t="n">
        <f aca="false">H9*H8</f>
        <v>0</v>
      </c>
      <c r="I10" s="54" t="n">
        <f aca="false">I9*I8</f>
        <v>0</v>
      </c>
      <c r="J10" s="54" t="n">
        <f aca="false">J9*J8</f>
        <v>0</v>
      </c>
      <c r="K10" s="54" t="n">
        <f aca="false">K9*K8</f>
        <v>0</v>
      </c>
      <c r="L10" s="54" t="n">
        <f aca="false">L9*L8</f>
        <v>0</v>
      </c>
    </row>
    <row r="11" customFormat="false" ht="15" hidden="false" customHeight="true" outlineLevel="0" collapsed="false">
      <c r="B11" s="44" t="s">
        <v>213</v>
      </c>
      <c r="C11" s="44"/>
      <c r="D11" s="44"/>
      <c r="E11" s="44"/>
      <c r="F11" s="44"/>
      <c r="G11" s="6" t="str">
        <f aca="false">IF(G$5="","",IF(G9&lt;=500,"0.5TON 이하",IF(G9&lt;=2500,"0.5~2.5TON",IF(G9&lt;=5000,"2.5~5TON","5TON 이상"))))</f>
        <v>0.5TON 이하</v>
      </c>
      <c r="H11" s="6" t="str">
        <f aca="false">IF(H$5="","",IF(H9&lt;=500,"0.5TON 이하",IF(H9&lt;=2500,"0.5~2.5TON",IF(H9&lt;=5000,"2.5~5TON","5TON 이상"))))</f>
        <v>0.5TON 이하</v>
      </c>
      <c r="I11" s="6" t="str">
        <f aca="false">IF(I$5="","",IF(I9&lt;=500,"0.5TON 이하",IF(I9&lt;=2500,"0.5~2.5TON",IF(I9&lt;=5000,"2.5~5TON","5TON 이상"))))</f>
        <v/>
      </c>
      <c r="J11" s="6" t="str">
        <f aca="false">IF(J$5="","",IF(J9&lt;=500,"0.5TON 이하",IF(J9&lt;=2500,"0.5~2.5TON",IF(J9&lt;=5000,"2.5~5TON","5TON 이상"))))</f>
        <v/>
      </c>
      <c r="K11" s="6" t="str">
        <f aca="false">IF(K$5="","",IF(K9&lt;=500,"0.5TON 이하",IF(K9&lt;=2500,"0.5~2.5TON",IF(K9&lt;=5000,"2.5~5TON","5TON 이상"))))</f>
        <v/>
      </c>
      <c r="L11" s="6" t="str">
        <f aca="false">IF(L$5="","",IF(L9&lt;=500,"0.5TON 이하",IF(L9&lt;=2500,"0.5~2.5TON",IF(L9&lt;=5000,"2.5~5TON","5TON 이상"))))</f>
        <v/>
      </c>
    </row>
    <row r="12" customFormat="false" ht="15" hidden="false" customHeight="true" outlineLevel="0" collapsed="false">
      <c r="B12" s="44" t="s">
        <v>214</v>
      </c>
      <c r="C12" s="44"/>
      <c r="D12" s="44"/>
      <c r="E12" s="44"/>
      <c r="F12" s="44"/>
      <c r="G12" s="6" t="str">
        <f aca="false">IF(OR(G$5="",G$7=""),"",IFERROR(INDEX('555 입력SHEET'!$E$2:$E$69,MATCH(G$7&amp;"|"&amp;IF(G9&lt;=500,1,IF(G9&lt;=2500,2,IF(G9&lt;=5000,3,4))),'555 입력SHEET'!$V$2:$V$69,0)),"품종확인"))</f>
        <v>W6151101</v>
      </c>
      <c r="H12" s="6" t="str">
        <f aca="false">IF(OR(H$5="",H$7=""),"",IFERROR(INDEX('555 입력SHEET'!$E$2:$E$69,MATCH(H$7&amp;"|"&amp;IF(H9&lt;=500,1,IF(H9&lt;=2500,2,IF(H9&lt;=5000,3,4))),'555 입력SHEET'!$V$2:$V$69,0)),"품종확인"))</f>
        <v>W6151101</v>
      </c>
      <c r="I12" s="6" t="str">
        <f aca="false">IF(OR(I$5="",I$7=""),"",IFERROR(INDEX('555 입력SHEET'!$E$2:$E$69,MATCH(I$7&amp;"|"&amp;IF(I9&lt;=500,1,IF(I9&lt;=2500,2,IF(I9&lt;=5000,3,4))),'555 입력SHEET'!$V$2:$V$69,0)),"품종확인"))</f>
        <v/>
      </c>
      <c r="J12" s="6" t="str">
        <f aca="false">IF(OR(J$5="",J$7=""),"",IFERROR(INDEX('555 입력SHEET'!$E$2:$E$69,MATCH(J$7&amp;"|"&amp;IF(J9&lt;=500,1,IF(J9&lt;=2500,2,IF(J9&lt;=5000,3,4))),'555 입력SHEET'!$V$2:$V$69,0)),"품종확인"))</f>
        <v/>
      </c>
      <c r="K12" s="6" t="str">
        <f aca="false">IF(OR(K$5="",K$7=""),"",IFERROR(INDEX('555 입력SHEET'!$E$2:$E$69,MATCH(K$7&amp;"|"&amp;IF(K9&lt;=500,1,IF(K9&lt;=2500,2,IF(K9&lt;=5000,3,4))),'555 입력SHEET'!$V$2:$V$69,0)),"품종확인"))</f>
        <v/>
      </c>
      <c r="L12" s="6" t="str">
        <f aca="false">IF(OR(L$5="",L$7=""),"",IFERROR(INDEX('555 입력SHEET'!$E$2:$E$69,MATCH(L$7&amp;"|"&amp;IF(L9&lt;=500,1,IF(L9&lt;=2500,2,IF(L9&lt;=5000,3,4))),'555 입력SHEET'!$V$2:$V$69,0)),"품종확인"))</f>
        <v/>
      </c>
    </row>
    <row r="13" customFormat="false" ht="48" hidden="false" customHeight="true" outlineLevel="0" collapsed="false">
      <c r="B13" s="44" t="s">
        <v>215</v>
      </c>
      <c r="C13" s="44"/>
      <c r="D13" s="44"/>
      <c r="E13" s="44"/>
      <c r="F13" s="44"/>
      <c r="G13" s="55" t="str">
        <f aca="false">IF(G12="","",IFERROR(INDEX('555 입력SHEET'!$G$2:$G$69,MATCH(G12,'555 입력SHEET'!$E$2:$E$69,0)),""))</f>
        <v>지주류 공장 제작 0.5 TON 이하</v>
      </c>
      <c r="H13" s="55" t="str">
        <f aca="false">IF(H12="","",IFERROR(INDEX('555 입력SHEET'!$G$2:$G$69,MATCH(H12,'555 입력SHEET'!$E$2:$E$69,0)),""))</f>
        <v>지주류 공장 제작 0.5 TON 이하</v>
      </c>
      <c r="I13" s="55" t="str">
        <f aca="false">IF(I12="","",IFERROR(INDEX('555 입력SHEET'!$G$2:$G$69,MATCH(I12,'555 입력SHEET'!$E$2:$E$69,0)),""))</f>
        <v/>
      </c>
      <c r="J13" s="55" t="str">
        <f aca="false">IF(J12="","",IFERROR(INDEX('555 입력SHEET'!$G$2:$G$69,MATCH(J12,'555 입력SHEET'!$E$2:$E$69,0)),""))</f>
        <v/>
      </c>
      <c r="K13" s="55" t="str">
        <f aca="false">IF(K12="","",IFERROR(INDEX('555 입력SHEET'!$G$2:$G$69,MATCH(K12,'555 입력SHEET'!$E$2:$E$69,0)),""))</f>
        <v/>
      </c>
      <c r="L13" s="55" t="str">
        <f aca="false">IF(L12="","",IFERROR(INDEX('555 입력SHEET'!$G$2:$G$69,MATCH(L12,'555 입력SHEET'!$E$2:$E$69,0)),""))</f>
        <v/>
      </c>
    </row>
    <row r="14" customFormat="false" ht="15" hidden="false" customHeight="true" outlineLevel="0" collapsed="false">
      <c r="B14" s="44" t="s">
        <v>216</v>
      </c>
      <c r="C14" s="44"/>
      <c r="D14" s="44"/>
      <c r="E14" s="44"/>
      <c r="F14" s="44"/>
      <c r="G14" s="15" t="n">
        <f aca="false">IFERROR(G10/1000*INDEX('555 입력SHEET'!$P$2:$P$69,MATCH(G12,'555 입력SHEET'!$E$2:$E$69,0))/제작기준!$L$5*제작기준!$L$6,0)</f>
        <v>0</v>
      </c>
      <c r="H14" s="15" t="n">
        <f aca="false">IFERROR(H10/1000*INDEX('555 입력SHEET'!$P$2:$P$69,MATCH(H12,'555 입력SHEET'!$E$2:$E$69,0))/제작기준!$L$5*제작기준!$L$6,0)</f>
        <v>0</v>
      </c>
      <c r="I14" s="15" t="n">
        <f aca="false">IFERROR(I10/1000*INDEX('555 입력SHEET'!$P$2:$P$69,MATCH(I12,'555 입력SHEET'!$E$2:$E$69,0))/제작기준!$L$5*제작기준!$L$6,0)</f>
        <v>0</v>
      </c>
      <c r="J14" s="15" t="n">
        <f aca="false">IFERROR(J10/1000*INDEX('555 입력SHEET'!$P$2:$P$69,MATCH(J12,'555 입력SHEET'!$E$2:$E$69,0))/제작기준!$L$5*제작기준!$L$6,0)</f>
        <v>0</v>
      </c>
      <c r="K14" s="15" t="n">
        <f aca="false">IFERROR(K10/1000*INDEX('555 입력SHEET'!$P$2:$P$69,MATCH(K12,'555 입력SHEET'!$E$2:$E$69,0))/제작기준!$L$5*제작기준!$L$6,0)</f>
        <v>0</v>
      </c>
      <c r="L14" s="15" t="n">
        <f aca="false">IFERROR(L10/1000*INDEX('555 입력SHEET'!$P$2:$P$69,MATCH(L12,'555 입력SHEET'!$E$2:$E$69,0))/제작기준!$L$5*제작기준!$L$6,0)</f>
        <v>0</v>
      </c>
    </row>
    <row r="15" customFormat="false" ht="15" hidden="false" customHeight="true" outlineLevel="0" collapsed="false">
      <c r="B15" s="44" t="s">
        <v>217</v>
      </c>
      <c r="C15" s="44"/>
      <c r="D15" s="44"/>
      <c r="E15" s="44"/>
      <c r="F15" s="44"/>
      <c r="G15" s="18" t="n">
        <f aca="false">IFERROR(G10/1000*INDEX('555 입력SHEET'!$N$2:$N$69,MATCH(G12,'555 입력SHEET'!$E$2:$E$69,0)),0)</f>
        <v>0</v>
      </c>
      <c r="H15" s="18" t="n">
        <f aca="false">IFERROR(H10/1000*INDEX('555 입력SHEET'!$N$2:$N$69,MATCH(H12,'555 입력SHEET'!$E$2:$E$69,0)),0)</f>
        <v>0</v>
      </c>
      <c r="I15" s="18" t="n">
        <f aca="false">IFERROR(I10/1000*INDEX('555 입력SHEET'!$N$2:$N$69,MATCH(I12,'555 입력SHEET'!$E$2:$E$69,0)),0)</f>
        <v>0</v>
      </c>
      <c r="J15" s="18" t="n">
        <f aca="false">IFERROR(J10/1000*INDEX('555 입력SHEET'!$N$2:$N$69,MATCH(J12,'555 입력SHEET'!$E$2:$E$69,0)),0)</f>
        <v>0</v>
      </c>
      <c r="K15" s="18" t="n">
        <f aca="false">IFERROR(K10/1000*INDEX('555 입력SHEET'!$N$2:$N$69,MATCH(K12,'555 입력SHEET'!$E$2:$E$69,0)),0)</f>
        <v>0</v>
      </c>
      <c r="L15" s="18" t="n">
        <f aca="false">IFERROR(L10/1000*INDEX('555 입력SHEET'!$N$2:$N$69,MATCH(L12,'555 입력SHEET'!$E$2:$E$69,0)),0)</f>
        <v>0</v>
      </c>
    </row>
    <row r="16" customFormat="false" ht="15" hidden="false" customHeight="true" outlineLevel="0" collapsed="false">
      <c r="B16" s="44" t="s">
        <v>218</v>
      </c>
      <c r="C16" s="44"/>
      <c r="D16" s="44"/>
      <c r="E16" s="44"/>
      <c r="F16" s="44"/>
      <c r="G16" s="18" t="n">
        <f aca="false">IFERROR(G10/1000*INDEX('555 입력SHEET'!$O$2:$O$69,MATCH(G12,'555 입력SHEET'!$E$2:$E$69,0)),0)</f>
        <v>0</v>
      </c>
      <c r="H16" s="18" t="n">
        <f aca="false">IFERROR(H10/1000*INDEX('555 입력SHEET'!$O$2:$O$69,MATCH(H12,'555 입력SHEET'!$E$2:$E$69,0)),0)</f>
        <v>0</v>
      </c>
      <c r="I16" s="18" t="n">
        <f aca="false">IFERROR(I10/1000*INDEX('555 입력SHEET'!$O$2:$O$69,MATCH(I12,'555 입력SHEET'!$E$2:$E$69,0)),0)</f>
        <v>0</v>
      </c>
      <c r="J16" s="18" t="n">
        <f aca="false">IFERROR(J10/1000*INDEX('555 입력SHEET'!$O$2:$O$69,MATCH(J12,'555 입력SHEET'!$E$2:$E$69,0)),0)</f>
        <v>0</v>
      </c>
      <c r="K16" s="18" t="n">
        <f aca="false">IFERROR(K10/1000*INDEX('555 입력SHEET'!$O$2:$O$69,MATCH(K12,'555 입력SHEET'!$E$2:$E$69,0)),0)</f>
        <v>0</v>
      </c>
      <c r="L16" s="18" t="n">
        <f aca="false">IFERROR(L10/1000*INDEX('555 입력SHEET'!$O$2:$O$69,MATCH(L12,'555 입력SHEET'!$E$2:$E$69,0)),0)</f>
        <v>0</v>
      </c>
    </row>
    <row r="17" customFormat="false" ht="15" hidden="false" customHeight="true" outlineLevel="0" collapsed="false">
      <c r="B17" s="44" t="s">
        <v>219</v>
      </c>
      <c r="C17" s="44"/>
      <c r="D17" s="44"/>
      <c r="E17" s="44"/>
      <c r="F17" s="44"/>
      <c r="G17" s="15" t="n">
        <f aca="false">IFERROR(G10/1000*INDEX('555 입력SHEET'!$P$2:$P$69,MATCH(G12,'555 입력SHEET'!$E$2:$E$69,0)),0)</f>
        <v>0</v>
      </c>
      <c r="H17" s="15" t="n">
        <f aca="false">IFERROR(H10/1000*INDEX('555 입력SHEET'!$P$2:$P$69,MATCH(H12,'555 입력SHEET'!$E$2:$E$69,0)),0)</f>
        <v>0</v>
      </c>
      <c r="I17" s="15" t="n">
        <f aca="false">IFERROR(I10/1000*INDEX('555 입력SHEET'!$P$2:$P$69,MATCH(I12,'555 입력SHEET'!$E$2:$E$69,0)),0)</f>
        <v>0</v>
      </c>
      <c r="J17" s="15" t="n">
        <f aca="false">IFERROR(J10/1000*INDEX('555 입력SHEET'!$P$2:$P$69,MATCH(J12,'555 입력SHEET'!$E$2:$E$69,0)),0)</f>
        <v>0</v>
      </c>
      <c r="K17" s="15" t="n">
        <f aca="false">IFERROR(K10/1000*INDEX('555 입력SHEET'!$P$2:$P$69,MATCH(K12,'555 입력SHEET'!$E$2:$E$69,0)),0)</f>
        <v>0</v>
      </c>
      <c r="L17" s="15" t="n">
        <f aca="false">IFERROR(L10/1000*INDEX('555 입력SHEET'!$P$2:$P$69,MATCH(L12,'555 입력SHEET'!$E$2:$E$69,0)),0)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 t="s">
        <v>220</v>
      </c>
      <c r="H18" s="4"/>
      <c r="I18" s="4"/>
      <c r="J18" s="4"/>
      <c r="K18" s="4"/>
      <c r="L18" s="4"/>
      <c r="M18" s="31" t="s">
        <v>221</v>
      </c>
      <c r="N18" s="31"/>
      <c r="O18" s="4" t="s">
        <v>222</v>
      </c>
      <c r="P18" s="4"/>
      <c r="Q18" s="4"/>
      <c r="R18" s="4"/>
      <c r="S18" s="4"/>
      <c r="T18" s="4"/>
    </row>
    <row r="19" customFormat="false" ht="31.5" hidden="false" customHeight="true" outlineLevel="0" collapsed="false">
      <c r="A19" s="31" t="s">
        <v>117</v>
      </c>
      <c r="B19" s="4" t="s">
        <v>2</v>
      </c>
      <c r="C19" s="4" t="s">
        <v>223</v>
      </c>
      <c r="D19" s="4" t="s">
        <v>224</v>
      </c>
      <c r="E19" s="4" t="s">
        <v>225</v>
      </c>
      <c r="F19" s="4" t="s">
        <v>5</v>
      </c>
      <c r="G19" s="4" t="str">
        <f aca="false">IF(G5="","제작품1",G5)</f>
        <v>LANCE PIPE SUPPORT</v>
      </c>
      <c r="H19" s="4" t="str">
        <f aca="false">IF(H5="","제작품2",H5)</f>
        <v>LIFTING LUG</v>
      </c>
      <c r="I19" s="4" t="str">
        <f aca="false">IF(I5="","제작품3",I5)</f>
        <v>제작품3</v>
      </c>
      <c r="J19" s="4" t="str">
        <f aca="false">IF(J5="","제작품4",J5)</f>
        <v>제작품4</v>
      </c>
      <c r="K19" s="4" t="str">
        <f aca="false">IF(K5="","제작품5",K5)</f>
        <v>제작품5</v>
      </c>
      <c r="L19" s="4" t="str">
        <f aca="false">IF(L5="","제작품6",L5)</f>
        <v>제작품6</v>
      </c>
      <c r="M19" s="31" t="s">
        <v>226</v>
      </c>
      <c r="N19" s="31" t="s">
        <v>227</v>
      </c>
      <c r="O19" s="4" t="s">
        <v>228</v>
      </c>
      <c r="P19" s="4" t="s">
        <v>229</v>
      </c>
      <c r="Q19" s="4" t="s">
        <v>230</v>
      </c>
      <c r="R19" s="4" t="s">
        <v>231</v>
      </c>
      <c r="S19" s="4" t="s">
        <v>232</v>
      </c>
      <c r="T19" s="4" t="s">
        <v>233</v>
      </c>
    </row>
    <row r="20" customFormat="false" ht="15" hidden="false" customHeight="true" outlineLevel="0" collapsed="false">
      <c r="A20" s="6" t="n">
        <v>1</v>
      </c>
      <c r="B20" s="32" t="s">
        <v>234</v>
      </c>
      <c r="C20" s="32" t="s">
        <v>235</v>
      </c>
      <c r="D20" s="19" t="s">
        <v>236</v>
      </c>
      <c r="E20" s="19" t="s">
        <v>237</v>
      </c>
      <c r="F20" s="19" t="s">
        <v>38</v>
      </c>
      <c r="G20" s="56"/>
      <c r="H20" s="56"/>
      <c r="I20" s="56"/>
      <c r="J20" s="56"/>
      <c r="K20" s="56"/>
      <c r="L20" s="56"/>
      <c r="M20" s="54" t="n">
        <f aca="false">IF($B20="","",SUMPRODUCT(G20:L20,$G$8:$L$8))</f>
        <v>0</v>
      </c>
      <c r="N20" s="54" t="n">
        <f aca="false">IF($B20="","",M20*(1+S20))</f>
        <v>0</v>
      </c>
      <c r="O20" s="38" t="n">
        <f aca="false">IF(OR($B20="",$F20&lt;&gt;"KG"),"",IFERROR(IF($B20="PLATE",ROUND(2000/($D20*제작기준!$L$8),3),IF($B20="ROUND BAR",ROUND(4000/($D20*제작기준!$L$8),3),INDEX(제작기준!$H$5:$H$175,MATCH($B20&amp;"|"&amp;$D20,제작기준!$I$5:$I$175,0)))),"DB확인"))</f>
        <v>27.52</v>
      </c>
      <c r="P20" s="57" t="n">
        <f aca="false">IF(ISNUMBER(O20),M20/1000*O20,"")</f>
        <v>0</v>
      </c>
      <c r="Q20" s="57" t="n">
        <f aca="false">IF(ISNUMBER(O20),N20/1000*O20,"")</f>
        <v>0</v>
      </c>
      <c r="R20" s="42" t="s">
        <v>238</v>
      </c>
      <c r="S20" s="58" t="n">
        <f aca="false">IF(R20="","",IFERROR(INDEX(제작기준!$B$5:$B$30,MATCH(R20,제작기준!$A$5:$A$30,0)),"확인"))</f>
        <v>0.035</v>
      </c>
      <c r="T20" s="16"/>
    </row>
    <row r="21" customFormat="false" ht="15" hidden="false" customHeight="true" outlineLevel="0" collapsed="false">
      <c r="A21" s="6" t="n">
        <v>2</v>
      </c>
      <c r="B21" s="32" t="s">
        <v>234</v>
      </c>
      <c r="C21" s="32" t="s">
        <v>239</v>
      </c>
      <c r="D21" s="19" t="s">
        <v>240</v>
      </c>
      <c r="E21" s="19" t="s">
        <v>237</v>
      </c>
      <c r="F21" s="19" t="s">
        <v>38</v>
      </c>
      <c r="G21" s="56"/>
      <c r="H21" s="56"/>
      <c r="I21" s="56"/>
      <c r="J21" s="56"/>
      <c r="K21" s="56"/>
      <c r="L21" s="56"/>
      <c r="M21" s="54" t="n">
        <f aca="false">IF($B21="","",SUMPRODUCT(G21:L21,$G$8:$L$8))</f>
        <v>0</v>
      </c>
      <c r="N21" s="54" t="n">
        <f aca="false">IF($B21="","",M21*(1+S21))</f>
        <v>0</v>
      </c>
      <c r="O21" s="38" t="n">
        <f aca="false">IF(OR($B21="",$F21&lt;&gt;"KG"),"",IFERROR(IF($B21="PLATE",ROUND(2000/($D21*제작기준!$L$8),3),IF($B21="ROUND BAR",ROUND(4000/($D21*제작기준!$L$8),3),INDEX(제작기준!$H$5:$H$175,MATCH($B21&amp;"|"&amp;$D21,제작기준!$I$5:$I$175,0)))),"DB확인"))</f>
        <v>23.293</v>
      </c>
      <c r="P21" s="57" t="n">
        <f aca="false">IF(ISNUMBER(O21),M21/1000*O21,"")</f>
        <v>0</v>
      </c>
      <c r="Q21" s="57" t="n">
        <f aca="false">IF(ISNUMBER(O21),N21/1000*O21,"")</f>
        <v>0</v>
      </c>
      <c r="R21" s="42" t="s">
        <v>238</v>
      </c>
      <c r="S21" s="58" t="n">
        <f aca="false">IF(R21="","",IFERROR(INDEX(제작기준!$B$5:$B$30,MATCH(R21,제작기준!$A$5:$A$30,0)),"확인"))</f>
        <v>0.035</v>
      </c>
      <c r="T21" s="16"/>
    </row>
    <row r="22" customFormat="false" ht="15" hidden="false" customHeight="true" outlineLevel="0" collapsed="false">
      <c r="A22" s="6" t="n">
        <v>3</v>
      </c>
      <c r="B22" s="32" t="s">
        <v>241</v>
      </c>
      <c r="C22" s="32" t="s">
        <v>242</v>
      </c>
      <c r="D22" s="19" t="s">
        <v>243</v>
      </c>
      <c r="E22" s="19" t="s">
        <v>237</v>
      </c>
      <c r="F22" s="19" t="s">
        <v>38</v>
      </c>
      <c r="G22" s="56"/>
      <c r="H22" s="56"/>
      <c r="I22" s="56"/>
      <c r="J22" s="56"/>
      <c r="K22" s="56"/>
      <c r="L22" s="56"/>
      <c r="M22" s="54" t="n">
        <f aca="false">IF($B22="","",SUMPRODUCT(G22:L22,$G$8:$L$8))</f>
        <v>0</v>
      </c>
      <c r="N22" s="54" t="n">
        <f aca="false">IF($B22="","",M22*(1+S22))</f>
        <v>0</v>
      </c>
      <c r="O22" s="38" t="n">
        <f aca="false">IF(OR($B22="",$F22&lt;&gt;"KG"),"",IFERROR(IF($B22="PLATE",ROUND(2000/($D22*제작기준!$L$8),3),IF($B22="ROUND BAR",ROUND(4000/($D22*제작기준!$L$8),3),INDEX(제작기준!$H$5:$H$175,MATCH($B22&amp;"|"&amp;$D22,제작기준!$I$5:$I$175,0)))),"DB확인"))</f>
        <v>30.58</v>
      </c>
      <c r="P22" s="57" t="n">
        <f aca="false">IF(ISNUMBER(O22),M22/1000*O22,"")</f>
        <v>0</v>
      </c>
      <c r="Q22" s="57" t="n">
        <f aca="false">IF(ISNUMBER(O22),N22/1000*O22,"")</f>
        <v>0</v>
      </c>
      <c r="R22" s="42" t="s">
        <v>238</v>
      </c>
      <c r="S22" s="58" t="n">
        <f aca="false">IF(R22="","",IFERROR(INDEX(제작기준!$B$5:$B$30,MATCH(R22,제작기준!$A$5:$A$30,0)),"확인"))</f>
        <v>0.035</v>
      </c>
      <c r="T22" s="16"/>
    </row>
    <row r="23" customFormat="false" ht="15" hidden="false" customHeight="true" outlineLevel="0" collapsed="false">
      <c r="A23" s="6" t="n">
        <v>4</v>
      </c>
      <c r="B23" s="32" t="s">
        <v>241</v>
      </c>
      <c r="C23" s="32" t="s">
        <v>244</v>
      </c>
      <c r="D23" s="19" t="s">
        <v>245</v>
      </c>
      <c r="E23" s="19" t="s">
        <v>237</v>
      </c>
      <c r="F23" s="19" t="s">
        <v>38</v>
      </c>
      <c r="G23" s="56"/>
      <c r="H23" s="56"/>
      <c r="I23" s="56"/>
      <c r="J23" s="56"/>
      <c r="K23" s="56"/>
      <c r="L23" s="56"/>
      <c r="M23" s="54" t="n">
        <f aca="false">IF($B23="","",SUMPRODUCT(G23:L23,$G$8:$L$8))</f>
        <v>0</v>
      </c>
      <c r="N23" s="54" t="n">
        <f aca="false">IF($B23="","",M23*(1+S23))</f>
        <v>0</v>
      </c>
      <c r="O23" s="38" t="n">
        <f aca="false">IF(OR($B23="",$F23&lt;&gt;"KG"),"",IFERROR(IF($B23="PLATE",ROUND(2000/($D23*제작기준!$L$8),3),IF($B23="ROUND BAR",ROUND(4000/($D23*제작기준!$L$8),3),INDEX(제작기준!$H$5:$H$175,MATCH($B23&amp;"|"&amp;$D23,제작기준!$I$5:$I$175,0)))),"DB확인"))</f>
        <v>23.424</v>
      </c>
      <c r="P23" s="57" t="n">
        <f aca="false">IF(ISNUMBER(O23),M23/1000*O23,"")</f>
        <v>0</v>
      </c>
      <c r="Q23" s="57" t="n">
        <f aca="false">IF(ISNUMBER(O23),N23/1000*O23,"")</f>
        <v>0</v>
      </c>
      <c r="R23" s="42" t="s">
        <v>238</v>
      </c>
      <c r="S23" s="58" t="n">
        <f aca="false">IF(R23="","",IFERROR(INDEX(제작기준!$B$5:$B$30,MATCH(R23,제작기준!$A$5:$A$30,0)),"확인"))</f>
        <v>0.035</v>
      </c>
      <c r="T23" s="16"/>
    </row>
    <row r="24" customFormat="false" ht="15" hidden="false" customHeight="true" outlineLevel="0" collapsed="false">
      <c r="A24" s="6" t="n">
        <v>5</v>
      </c>
      <c r="B24" s="32" t="s">
        <v>241</v>
      </c>
      <c r="C24" s="32" t="s">
        <v>246</v>
      </c>
      <c r="D24" s="19" t="s">
        <v>247</v>
      </c>
      <c r="E24" s="19" t="s">
        <v>237</v>
      </c>
      <c r="F24" s="19" t="s">
        <v>38</v>
      </c>
      <c r="G24" s="56"/>
      <c r="H24" s="56"/>
      <c r="I24" s="56"/>
      <c r="J24" s="56"/>
      <c r="K24" s="56"/>
      <c r="L24" s="56"/>
      <c r="M24" s="54" t="n">
        <f aca="false">IF($B24="","",SUMPRODUCT(G24:L24,$G$8:$L$8))</f>
        <v>0</v>
      </c>
      <c r="N24" s="54" t="n">
        <f aca="false">IF($B24="","",M24*(1+S24))</f>
        <v>0</v>
      </c>
      <c r="O24" s="38" t="n">
        <f aca="false">IF(OR($B24="",$F24&lt;&gt;"KG"),"",IFERROR(IF($B24="PLATE",ROUND(2000/($D24*제작기준!$L$8),3),IF($B24="ROUND BAR",ROUND(4000/($D24*제작기준!$L$8),3),INDEX(제작기준!$H$5:$H$175,MATCH($B24&amp;"|"&amp;$D24,제작기준!$I$5:$I$175,0)))),"DB확인"))</f>
        <v>27.888</v>
      </c>
      <c r="P24" s="57" t="n">
        <f aca="false">IF(ISNUMBER(O24),M24/1000*O24,"")</f>
        <v>0</v>
      </c>
      <c r="Q24" s="57" t="n">
        <f aca="false">IF(ISNUMBER(O24),N24/1000*O24,"")</f>
        <v>0</v>
      </c>
      <c r="R24" s="42" t="s">
        <v>238</v>
      </c>
      <c r="S24" s="58" t="n">
        <f aca="false">IF(R24="","",IFERROR(INDEX(제작기준!$B$5:$B$30,MATCH(R24,제작기준!$A$5:$A$30,0)),"확인"))</f>
        <v>0.035</v>
      </c>
      <c r="T24" s="16"/>
    </row>
    <row r="25" customFormat="false" ht="15" hidden="false" customHeight="true" outlineLevel="0" collapsed="false">
      <c r="A25" s="6" t="n">
        <v>6</v>
      </c>
      <c r="B25" s="32" t="s">
        <v>248</v>
      </c>
      <c r="C25" s="32" t="s">
        <v>249</v>
      </c>
      <c r="D25" s="19" t="s">
        <v>250</v>
      </c>
      <c r="E25" s="19" t="s">
        <v>237</v>
      </c>
      <c r="F25" s="19" t="s">
        <v>38</v>
      </c>
      <c r="G25" s="56"/>
      <c r="H25" s="56"/>
      <c r="I25" s="56"/>
      <c r="J25" s="56"/>
      <c r="K25" s="56"/>
      <c r="L25" s="56"/>
      <c r="M25" s="54" t="n">
        <f aca="false">IF($B25="","",SUMPRODUCT(G25:L25,$G$8:$L$8))</f>
        <v>0</v>
      </c>
      <c r="N25" s="54" t="n">
        <f aca="false">IF($B25="","",M25*(1+S25))</f>
        <v>0</v>
      </c>
      <c r="O25" s="38" t="n">
        <f aca="false">IF(OR($B25="",$F25&lt;&gt;"KG"),"",IFERROR(IF($B25="PLATE",ROUND(2000/($D25*제작기준!$L$8),3),IF($B25="ROUND BAR",ROUND(4000/($D25*제작기준!$L$8),3),INDEX(제작기준!$H$5:$H$175,MATCH($B25&amp;"|"&amp;$D25,제작기준!$I$5:$I$175,0)))),"DB확인"))</f>
        <v>42.81</v>
      </c>
      <c r="P25" s="57" t="n">
        <f aca="false">IF(ISNUMBER(O25),M25/1000*O25,"")</f>
        <v>0</v>
      </c>
      <c r="Q25" s="57" t="n">
        <f aca="false">IF(ISNUMBER(O25),N25/1000*O25,"")</f>
        <v>0</v>
      </c>
      <c r="R25" s="42" t="s">
        <v>251</v>
      </c>
      <c r="S25" s="58" t="n">
        <f aca="false">IF(R25="","",IFERROR(INDEX(제작기준!$B$5:$B$30,MATCH(R25,제작기준!$A$5:$A$30,0)),"확인"))</f>
        <v>0.025</v>
      </c>
      <c r="T25" s="16"/>
    </row>
    <row r="26" customFormat="false" ht="15" hidden="false" customHeight="true" outlineLevel="0" collapsed="false">
      <c r="A26" s="6" t="n">
        <v>7</v>
      </c>
      <c r="B26" s="32" t="s">
        <v>248</v>
      </c>
      <c r="C26" s="32" t="s">
        <v>252</v>
      </c>
      <c r="D26" s="19" t="s">
        <v>253</v>
      </c>
      <c r="E26" s="19" t="s">
        <v>237</v>
      </c>
      <c r="F26" s="19" t="s">
        <v>38</v>
      </c>
      <c r="G26" s="56"/>
      <c r="H26" s="56"/>
      <c r="I26" s="56"/>
      <c r="J26" s="56"/>
      <c r="K26" s="56"/>
      <c r="L26" s="56"/>
      <c r="M26" s="54" t="n">
        <f aca="false">IF($B26="","",SUMPRODUCT(G26:L26,$G$8:$L$8))</f>
        <v>0</v>
      </c>
      <c r="N26" s="54" t="n">
        <f aca="false">IF($B26="","",M26*(1+S26))</f>
        <v>0</v>
      </c>
      <c r="O26" s="38" t="n">
        <f aca="false">IF(OR($B26="",$F26&lt;&gt;"KG"),"",IFERROR(IF($B26="PLATE",ROUND(2000/($D26*제작기준!$L$8),3),IF($B26="ROUND BAR",ROUND(4000/($D26*제작기준!$L$8),3),INDEX(제작기준!$H$5:$H$175,MATCH($B26&amp;"|"&amp;$D26,제작기준!$I$5:$I$175,0)))),"DB확인"))</f>
        <v>29.231</v>
      </c>
      <c r="P26" s="57" t="n">
        <f aca="false">IF(ISNUMBER(O26),M26/1000*O26,"")</f>
        <v>0</v>
      </c>
      <c r="Q26" s="57" t="n">
        <f aca="false">IF(ISNUMBER(O26),N26/1000*O26,"")</f>
        <v>0</v>
      </c>
      <c r="R26" s="42" t="s">
        <v>251</v>
      </c>
      <c r="S26" s="58" t="n">
        <f aca="false">IF(R26="","",IFERROR(INDEX(제작기준!$B$5:$B$30,MATCH(R26,제작기준!$A$5:$A$30,0)),"확인"))</f>
        <v>0.025</v>
      </c>
      <c r="T26" s="16"/>
    </row>
    <row r="27" customFormat="false" ht="15" hidden="false" customHeight="true" outlineLevel="0" collapsed="false">
      <c r="A27" s="6" t="n">
        <v>8</v>
      </c>
      <c r="B27" s="32" t="s">
        <v>254</v>
      </c>
      <c r="C27" s="32" t="s">
        <v>255</v>
      </c>
      <c r="D27" s="19" t="n">
        <v>9</v>
      </c>
      <c r="E27" s="19" t="s">
        <v>237</v>
      </c>
      <c r="F27" s="19" t="s">
        <v>38</v>
      </c>
      <c r="G27" s="56"/>
      <c r="H27" s="56"/>
      <c r="I27" s="56"/>
      <c r="J27" s="56"/>
      <c r="K27" s="56"/>
      <c r="L27" s="56"/>
      <c r="M27" s="54" t="n">
        <f aca="false">IF($B27="","",SUMPRODUCT(G27:L27,$G$8:$L$8))</f>
        <v>0</v>
      </c>
      <c r="N27" s="54" t="n">
        <f aca="false">IF($B27="","",M27*(1+S27))</f>
        <v>0</v>
      </c>
      <c r="O27" s="38" t="n">
        <f aca="false">IF(OR($B27="",$F27&lt;&gt;"KG"),"",IFERROR(IF($B27="PLATE",ROUND(2000/($D27*제작기준!$L$8),3),IF($B27="ROUND BAR",ROUND(4000/($D27*제작기준!$L$8),3),INDEX(제작기준!$H$5:$H$175,MATCH($B27&amp;"|"&amp;$D27,제작기준!$I$5:$I$175,0)))),"DB확인"))</f>
        <v>28.309</v>
      </c>
      <c r="P27" s="57" t="n">
        <f aca="false">IF(ISNUMBER(O27),M27/1000*O27,"")</f>
        <v>0</v>
      </c>
      <c r="Q27" s="57" t="n">
        <f aca="false">IF(ISNUMBER(O27),N27/1000*O27,"")</f>
        <v>0</v>
      </c>
      <c r="R27" s="42" t="s">
        <v>256</v>
      </c>
      <c r="S27" s="58" t="n">
        <f aca="false">IF(R27="","",IFERROR(INDEX(제작기준!$B$5:$B$30,MATCH(R27,제작기준!$A$5:$A$30,0)),"확인"))</f>
        <v>0.05</v>
      </c>
      <c r="T27" s="16"/>
    </row>
    <row r="28" customFormat="false" ht="15" hidden="false" customHeight="true" outlineLevel="0" collapsed="false">
      <c r="A28" s="6" t="n">
        <v>9</v>
      </c>
      <c r="B28" s="32" t="s">
        <v>254</v>
      </c>
      <c r="C28" s="32" t="s">
        <v>257</v>
      </c>
      <c r="D28" s="19" t="n">
        <v>12</v>
      </c>
      <c r="E28" s="19" t="s">
        <v>237</v>
      </c>
      <c r="F28" s="19" t="s">
        <v>38</v>
      </c>
      <c r="G28" s="56"/>
      <c r="H28" s="56"/>
      <c r="I28" s="56"/>
      <c r="J28" s="56"/>
      <c r="K28" s="56"/>
      <c r="L28" s="56"/>
      <c r="M28" s="54" t="n">
        <f aca="false">IF($B28="","",SUMPRODUCT(G28:L28,$G$8:$L$8))</f>
        <v>0</v>
      </c>
      <c r="N28" s="54" t="n">
        <f aca="false">IF($B28="","",M28*(1+S28))</f>
        <v>0</v>
      </c>
      <c r="O28" s="38" t="n">
        <f aca="false">IF(OR($B28="",$F28&lt;&gt;"KG"),"",IFERROR(IF($B28="PLATE",ROUND(2000/($D28*제작기준!$L$8),3),IF($B28="ROUND BAR",ROUND(4000/($D28*제작기준!$L$8),3),INDEX(제작기준!$H$5:$H$175,MATCH($B28&amp;"|"&amp;$D28,제작기준!$I$5:$I$175,0)))),"DB확인"))</f>
        <v>21.231</v>
      </c>
      <c r="P28" s="57" t="n">
        <f aca="false">IF(ISNUMBER(O28),M28/1000*O28,"")</f>
        <v>0</v>
      </c>
      <c r="Q28" s="57" t="n">
        <f aca="false">IF(ISNUMBER(O28),N28/1000*O28,"")</f>
        <v>0</v>
      </c>
      <c r="R28" s="42" t="s">
        <v>256</v>
      </c>
      <c r="S28" s="58" t="n">
        <f aca="false">IF(R28="","",IFERROR(INDEX(제작기준!$B$5:$B$30,MATCH(R28,제작기준!$A$5:$A$30,0)),"확인"))</f>
        <v>0.05</v>
      </c>
      <c r="T28" s="16"/>
    </row>
    <row r="29" customFormat="false" ht="15" hidden="false" customHeight="true" outlineLevel="0" collapsed="false">
      <c r="A29" s="6" t="n">
        <v>10</v>
      </c>
      <c r="B29" s="32" t="s">
        <v>254</v>
      </c>
      <c r="C29" s="32" t="s">
        <v>258</v>
      </c>
      <c r="D29" s="19" t="n">
        <v>16</v>
      </c>
      <c r="E29" s="19" t="s">
        <v>237</v>
      </c>
      <c r="F29" s="19" t="s">
        <v>38</v>
      </c>
      <c r="G29" s="56"/>
      <c r="H29" s="56"/>
      <c r="I29" s="56"/>
      <c r="J29" s="56"/>
      <c r="K29" s="56"/>
      <c r="L29" s="56"/>
      <c r="M29" s="54" t="n">
        <f aca="false">IF($B29="","",SUMPRODUCT(G29:L29,$G$8:$L$8))</f>
        <v>0</v>
      </c>
      <c r="N29" s="54" t="n">
        <f aca="false">IF($B29="","",M29*(1+S29))</f>
        <v>0</v>
      </c>
      <c r="O29" s="38" t="n">
        <f aca="false">IF(OR($B29="",$F29&lt;&gt;"KG"),"",IFERROR(IF($B29="PLATE",ROUND(2000/($D29*제작기준!$L$8),3),IF($B29="ROUND BAR",ROUND(4000/($D29*제작기준!$L$8),3),INDEX(제작기준!$H$5:$H$175,MATCH($B29&amp;"|"&amp;$D29,제작기준!$I$5:$I$175,0)))),"DB확인"))</f>
        <v>15.924</v>
      </c>
      <c r="P29" s="57" t="n">
        <f aca="false">IF(ISNUMBER(O29),M29/1000*O29,"")</f>
        <v>0</v>
      </c>
      <c r="Q29" s="57" t="n">
        <f aca="false">IF(ISNUMBER(O29),N29/1000*O29,"")</f>
        <v>0</v>
      </c>
      <c r="R29" s="42" t="s">
        <v>256</v>
      </c>
      <c r="S29" s="58" t="n">
        <f aca="false">IF(R29="","",IFERROR(INDEX(제작기준!$B$5:$B$30,MATCH(R29,제작기준!$A$5:$A$30,0)),"확인"))</f>
        <v>0.05</v>
      </c>
      <c r="T29" s="7" t="s">
        <v>259</v>
      </c>
    </row>
    <row r="30" customFormat="false" ht="15" hidden="false" customHeight="true" outlineLevel="0" collapsed="false">
      <c r="A30" s="6" t="n">
        <v>11</v>
      </c>
      <c r="B30" s="32" t="s">
        <v>260</v>
      </c>
      <c r="C30" s="32" t="s">
        <v>261</v>
      </c>
      <c r="D30" s="19" t="s">
        <v>261</v>
      </c>
      <c r="E30" s="19" t="s">
        <v>262</v>
      </c>
      <c r="F30" s="19" t="s">
        <v>38</v>
      </c>
      <c r="G30" s="56"/>
      <c r="H30" s="56"/>
      <c r="I30" s="56"/>
      <c r="J30" s="56"/>
      <c r="K30" s="56"/>
      <c r="L30" s="56"/>
      <c r="M30" s="54" t="n">
        <f aca="false">IF($B30="","",SUMPRODUCT(G30:L30,$G$8:$L$8))</f>
        <v>0</v>
      </c>
      <c r="N30" s="54" t="n">
        <f aca="false">IF($B30="","",M30*(1+S30))</f>
        <v>0</v>
      </c>
      <c r="O30" s="38" t="n">
        <f aca="false">IF(OR($B30="",$F30&lt;&gt;"KG"),"",IFERROR(IF($B30="PLATE",ROUND(2000/($D30*제작기준!$L$8),3),IF($B30="ROUND BAR",ROUND(4000/($D30*제작기준!$L$8),3),INDEX(제작기준!$H$5:$H$175,MATCH($B30&amp;"|"&amp;$D30,제작기준!$I$5:$I$175,0)))),"DB확인"))</f>
        <v>43.598</v>
      </c>
      <c r="P30" s="57" t="n">
        <f aca="false">IF(ISNUMBER(O30),M30/1000*O30,"")</f>
        <v>0</v>
      </c>
      <c r="Q30" s="57" t="n">
        <f aca="false">IF(ISNUMBER(O30),N30/1000*O30,"")</f>
        <v>0</v>
      </c>
      <c r="R30" s="42" t="s">
        <v>263</v>
      </c>
      <c r="S30" s="58" t="n">
        <f aca="false">IF(R30="","",IFERROR(INDEX(제작기준!$B$5:$B$30,MATCH(R30,제작기준!$A$5:$A$30,0)),"확인"))</f>
        <v>0.05</v>
      </c>
      <c r="T30" s="16" t="s">
        <v>264</v>
      </c>
    </row>
    <row r="31" customFormat="false" ht="15" hidden="false" customHeight="true" outlineLevel="0" collapsed="false">
      <c r="A31" s="6" t="n">
        <v>12</v>
      </c>
      <c r="B31" s="32" t="s">
        <v>265</v>
      </c>
      <c r="C31" s="32" t="s">
        <v>266</v>
      </c>
      <c r="D31" s="19"/>
      <c r="E31" s="19" t="s">
        <v>237</v>
      </c>
      <c r="F31" s="19" t="s">
        <v>24</v>
      </c>
      <c r="G31" s="56"/>
      <c r="H31" s="56"/>
      <c r="I31" s="56"/>
      <c r="J31" s="56"/>
      <c r="K31" s="56"/>
      <c r="L31" s="56"/>
      <c r="M31" s="54" t="n">
        <f aca="false">IF($B31="","",SUMPRODUCT(G31:L31,$G$8:$L$8))</f>
        <v>0</v>
      </c>
      <c r="N31" s="54" t="n">
        <f aca="false">IF($B31="","",M31*(1+S31))</f>
        <v>0</v>
      </c>
      <c r="O31" s="38" t="str">
        <f aca="false">IF(OR($B31="",$F31&lt;&gt;"KG"),"",IFERROR(IF($B31="PLATE",ROUND(2000/($D31*제작기준!$L$8),3),IF($B31="ROUND BAR",ROUND(4000/($D31*제작기준!$L$8),3),INDEX(제작기준!$H$5:$H$175,MATCH($B31&amp;"|"&amp;$D31,제작기준!$I$5:$I$175,0)))),"DB확인"))</f>
        <v/>
      </c>
      <c r="P31" s="57" t="str">
        <f aca="false">IF(ISNUMBER(O31),M31/1000*O31,"")</f>
        <v/>
      </c>
      <c r="Q31" s="57" t="str">
        <f aca="false">IF(ISNUMBER(O31),N31/1000*O31,"")</f>
        <v/>
      </c>
      <c r="R31" s="42" t="s">
        <v>256</v>
      </c>
      <c r="S31" s="58" t="n">
        <f aca="false">IF(R31="","",IFERROR(INDEX(제작기준!$B$5:$B$30,MATCH(R31,제작기준!$A$5:$A$30,0)),"확인"))</f>
        <v>0.05</v>
      </c>
      <c r="T31" s="16"/>
    </row>
    <row r="32" customFormat="false" ht="15" hidden="false" customHeight="true" outlineLevel="0" collapsed="false">
      <c r="A32" s="6" t="n">
        <v>13</v>
      </c>
      <c r="B32" s="32" t="s">
        <v>267</v>
      </c>
      <c r="C32" s="32" t="s">
        <v>268</v>
      </c>
      <c r="D32" s="19"/>
      <c r="E32" s="19" t="s">
        <v>237</v>
      </c>
      <c r="F32" s="19" t="s">
        <v>89</v>
      </c>
      <c r="G32" s="56"/>
      <c r="H32" s="56"/>
      <c r="I32" s="56"/>
      <c r="J32" s="56"/>
      <c r="K32" s="56"/>
      <c r="L32" s="56"/>
      <c r="M32" s="54" t="n">
        <f aca="false">IF($B32="","",SUMPRODUCT(G32:L32,$G$8:$L$8))</f>
        <v>0</v>
      </c>
      <c r="N32" s="54" t="n">
        <f aca="false">IF($B32="","",M32*(1+S32))</f>
        <v>0</v>
      </c>
      <c r="O32" s="38" t="str">
        <f aca="false">IF(OR($B32="",$F32&lt;&gt;"KG"),"",IFERROR(IF($B32="PLATE",ROUND(2000/($D32*제작기준!$L$8),3),IF($B32="ROUND BAR",ROUND(4000/($D32*제작기준!$L$8),3),INDEX(제작기준!$H$5:$H$175,MATCH($B32&amp;"|"&amp;$D32,제작기준!$I$5:$I$175,0)))),"DB확인"))</f>
        <v/>
      </c>
      <c r="P32" s="57" t="str">
        <f aca="false">IF(ISNUMBER(O32),M32/1000*O32,"")</f>
        <v/>
      </c>
      <c r="Q32" s="57" t="str">
        <f aca="false">IF(ISNUMBER(O32),N32/1000*O32,"")</f>
        <v/>
      </c>
      <c r="R32" s="42" t="s">
        <v>256</v>
      </c>
      <c r="S32" s="58" t="n">
        <f aca="false">IF(R32="","",IFERROR(INDEX(제작기준!$B$5:$B$30,MATCH(R32,제작기준!$A$5:$A$30,0)),"확인"))</f>
        <v>0.05</v>
      </c>
      <c r="T32" s="16"/>
    </row>
    <row r="33" customFormat="false" ht="15" hidden="false" customHeight="true" outlineLevel="0" collapsed="false">
      <c r="A33" s="6" t="n">
        <v>14</v>
      </c>
      <c r="B33" s="32" t="s">
        <v>269</v>
      </c>
      <c r="C33" s="32" t="s">
        <v>270</v>
      </c>
      <c r="D33" s="19"/>
      <c r="E33" s="19" t="s">
        <v>271</v>
      </c>
      <c r="F33" s="19" t="s">
        <v>89</v>
      </c>
      <c r="G33" s="56"/>
      <c r="H33" s="56"/>
      <c r="I33" s="56"/>
      <c r="J33" s="56"/>
      <c r="K33" s="56"/>
      <c r="L33" s="56"/>
      <c r="M33" s="54" t="n">
        <f aca="false">IF($B33="","",SUMPRODUCT(G33:L33,$G$8:$L$8))</f>
        <v>0</v>
      </c>
      <c r="N33" s="54" t="n">
        <f aca="false">IF($B33="","",M33*(1+S33))</f>
        <v>0</v>
      </c>
      <c r="O33" s="38" t="str">
        <f aca="false">IF(OR($B33="",$F33&lt;&gt;"KG"),"",IFERROR(IF($B33="PLATE",ROUND(2000/($D33*제작기준!$L$8),3),IF($B33="ROUND BAR",ROUND(4000/($D33*제작기준!$L$8),3),INDEX(제작기준!$H$5:$H$175,MATCH($B33&amp;"|"&amp;$D33,제작기준!$I$5:$I$175,0)))),"DB확인"))</f>
        <v/>
      </c>
      <c r="P33" s="57" t="str">
        <f aca="false">IF(ISNUMBER(O33),M33/1000*O33,"")</f>
        <v/>
      </c>
      <c r="Q33" s="57" t="str">
        <f aca="false">IF(ISNUMBER(O33),N33/1000*O33,"")</f>
        <v/>
      </c>
      <c r="R33" s="42" t="s">
        <v>272</v>
      </c>
      <c r="S33" s="58" t="n">
        <f aca="false">IF(R33="","",IFERROR(INDEX(제작기준!$B$5:$B$30,MATCH(R33,제작기준!$A$5:$A$30,0)),"확인"))</f>
        <v>0.05</v>
      </c>
      <c r="T33" s="16"/>
    </row>
    <row r="34" customFormat="false" ht="29.25" hidden="false" customHeight="true" outlineLevel="0" collapsed="false">
      <c r="A34" s="6" t="n">
        <v>15</v>
      </c>
      <c r="B34" s="32" t="s">
        <v>273</v>
      </c>
      <c r="C34" s="32" t="s">
        <v>274</v>
      </c>
      <c r="D34" s="19"/>
      <c r="E34" s="19" t="s">
        <v>275</v>
      </c>
      <c r="F34" s="19" t="s">
        <v>89</v>
      </c>
      <c r="G34" s="56"/>
      <c r="H34" s="56"/>
      <c r="I34" s="56"/>
      <c r="J34" s="56"/>
      <c r="K34" s="56"/>
      <c r="L34" s="56"/>
      <c r="M34" s="54" t="n">
        <f aca="false">IF($B34="","",SUMPRODUCT(G34:L34,$G$8:$L$8))</f>
        <v>0</v>
      </c>
      <c r="N34" s="54" t="n">
        <f aca="false">IF($B34="","",M34*(1+S34))</f>
        <v>0</v>
      </c>
      <c r="O34" s="38" t="str">
        <f aca="false">IF(OR($B34="",$F34&lt;&gt;"KG"),"",IFERROR(IF($B34="PLATE",ROUND(2000/($D34*제작기준!$L$8),3),IF($B34="ROUND BAR",ROUND(4000/($D34*제작기준!$L$8),3),INDEX(제작기준!$H$5:$H$175,MATCH($B34&amp;"|"&amp;$D34,제작기준!$I$5:$I$175,0)))),"DB확인"))</f>
        <v/>
      </c>
      <c r="P34" s="57" t="str">
        <f aca="false">IF(ISNUMBER(O34),M34/1000*O34,"")</f>
        <v/>
      </c>
      <c r="Q34" s="57" t="str">
        <f aca="false">IF(ISNUMBER(O34),N34/1000*O34,"")</f>
        <v/>
      </c>
      <c r="R34" s="42" t="s">
        <v>276</v>
      </c>
      <c r="S34" s="58" t="n">
        <f aca="false">IF(R34="","",IFERROR(INDEX(제작기준!$B$5:$B$30,MATCH(R34,제작기준!$A$5:$A$30,0)),"확인"))</f>
        <v>0.03</v>
      </c>
      <c r="T34" s="7" t="s">
        <v>277</v>
      </c>
    </row>
    <row r="35" customFormat="false" ht="29.25" hidden="false" customHeight="true" outlineLevel="0" collapsed="false">
      <c r="A35" s="6" t="n">
        <v>16</v>
      </c>
      <c r="B35" s="32" t="s">
        <v>278</v>
      </c>
      <c r="C35" s="32"/>
      <c r="D35" s="19"/>
      <c r="E35" s="19"/>
      <c r="F35" s="19" t="s">
        <v>54</v>
      </c>
      <c r="G35" s="56"/>
      <c r="H35" s="56"/>
      <c r="I35" s="56"/>
      <c r="J35" s="56"/>
      <c r="K35" s="56"/>
      <c r="L35" s="56"/>
      <c r="M35" s="54" t="n">
        <f aca="false">IF($B35="","",SUMPRODUCT(G35:L35,$G$8:$L$8))</f>
        <v>0</v>
      </c>
      <c r="N35" s="54" t="n">
        <f aca="false">IF($B35="","",M35*(1+S35))</f>
        <v>0</v>
      </c>
      <c r="O35" s="38" t="str">
        <f aca="false">IF(OR($B35="",$F35&lt;&gt;"KG"),"",IFERROR(IF($B35="PLATE",ROUND(2000/($D35*제작기준!$L$8),3),IF($B35="ROUND BAR",ROUND(4000/($D35*제작기준!$L$8),3),INDEX(제작기준!$H$5:$H$175,MATCH($B35&amp;"|"&amp;$D35,제작기준!$I$5:$I$175,0)))),"DB확인"))</f>
        <v/>
      </c>
      <c r="P35" s="57" t="str">
        <f aca="false">IF(ISNUMBER(O35),M35/1000*O35,"")</f>
        <v/>
      </c>
      <c r="Q35" s="57" t="str">
        <f aca="false">IF(ISNUMBER(O35),N35/1000*O35,"")</f>
        <v/>
      </c>
      <c r="R35" s="42" t="s">
        <v>279</v>
      </c>
      <c r="S35" s="58" t="n">
        <f aca="false">IF(R35="","",IFERROR(INDEX(제작기준!$B$5:$B$30,MATCH(R35,제작기준!$A$5:$A$30,0)),"확인"))</f>
        <v>0</v>
      </c>
      <c r="T35" s="16" t="s">
        <v>280</v>
      </c>
    </row>
    <row r="36" customFormat="false" ht="29.25" hidden="false" customHeight="true" outlineLevel="0" collapsed="false">
      <c r="A36" s="6" t="n">
        <v>17</v>
      </c>
      <c r="B36" s="32" t="s">
        <v>281</v>
      </c>
      <c r="C36" s="32"/>
      <c r="D36" s="19"/>
      <c r="E36" s="19"/>
      <c r="F36" s="19" t="s">
        <v>54</v>
      </c>
      <c r="G36" s="56"/>
      <c r="H36" s="56"/>
      <c r="I36" s="56"/>
      <c r="J36" s="56"/>
      <c r="K36" s="56"/>
      <c r="L36" s="56"/>
      <c r="M36" s="54" t="n">
        <f aca="false">IF($B36="","",SUMPRODUCT(G36:L36,$G$8:$L$8))</f>
        <v>0</v>
      </c>
      <c r="N36" s="54" t="n">
        <f aca="false">IF($B36="","",M36*(1+S36))</f>
        <v>0</v>
      </c>
      <c r="O36" s="38" t="str">
        <f aca="false">IF(OR($B36="",$F36&lt;&gt;"KG"),"",IFERROR(IF($B36="PLATE",ROUND(2000/($D36*제작기준!$L$8),3),IF($B36="ROUND BAR",ROUND(4000/($D36*제작기준!$L$8),3),INDEX(제작기준!$H$5:$H$175,MATCH($B36&amp;"|"&amp;$D36,제작기준!$I$5:$I$175,0)))),"DB확인"))</f>
        <v/>
      </c>
      <c r="P36" s="57" t="str">
        <f aca="false">IF(ISNUMBER(O36),M36/1000*O36,"")</f>
        <v/>
      </c>
      <c r="Q36" s="57" t="str">
        <f aca="false">IF(ISNUMBER(O36),N36/1000*O36,"")</f>
        <v/>
      </c>
      <c r="R36" s="42" t="s">
        <v>279</v>
      </c>
      <c r="S36" s="58" t="n">
        <f aca="false">IF(R36="","",IFERROR(INDEX(제작기준!$B$5:$B$30,MATCH(R36,제작기준!$A$5:$A$30,0)),"확인"))</f>
        <v>0</v>
      </c>
      <c r="T36" s="16" t="s">
        <v>282</v>
      </c>
    </row>
    <row r="37" customFormat="false" ht="15" hidden="false" customHeight="true" outlineLevel="0" collapsed="false">
      <c r="A37" s="6"/>
      <c r="B37" s="59"/>
      <c r="C37" s="59"/>
      <c r="D37" s="21"/>
      <c r="E37" s="21"/>
      <c r="F37" s="21"/>
      <c r="G37" s="56"/>
      <c r="H37" s="56"/>
      <c r="I37" s="56"/>
      <c r="J37" s="56"/>
      <c r="K37" s="56"/>
      <c r="L37" s="56"/>
      <c r="M37" s="54" t="str">
        <f aca="false">IF($B37="","",SUMPRODUCT(G37:L37,$G$8:$L$8))</f>
        <v/>
      </c>
      <c r="N37" s="54" t="str">
        <f aca="false">IF($B37="","",M37*(1+S37))</f>
        <v/>
      </c>
      <c r="O37" s="38" t="str">
        <f aca="false">IF(OR($B37="",$F37&lt;&gt;"KG"),"",IFERROR(IF($B37="PLATE",ROUND(2000/($D37*제작기준!$L$8),3),IF($B37="ROUND BAR",ROUND(4000/($D37*제작기준!$L$8),3),INDEX(제작기준!$H$5:$H$175,MATCH($B37&amp;"|"&amp;$D37,제작기준!$I$5:$I$175,0)))),"DB확인"))</f>
        <v/>
      </c>
      <c r="P37" s="57" t="str">
        <f aca="false">IF(ISNUMBER(O37),M37/1000*O37,"")</f>
        <v/>
      </c>
      <c r="Q37" s="57" t="str">
        <f aca="false">IF(ISNUMBER(O37),N37/1000*O37,"")</f>
        <v/>
      </c>
      <c r="R37" s="59"/>
      <c r="S37" s="58" t="str">
        <f aca="false">IF(R37="","",IFERROR(INDEX(제작기준!$B$5:$B$30,MATCH(R37,제작기준!$A$5:$A$30,0)),"확인"))</f>
        <v/>
      </c>
      <c r="T37" s="16"/>
    </row>
    <row r="38" customFormat="false" ht="15" hidden="false" customHeight="true" outlineLevel="0" collapsed="false">
      <c r="A38" s="6"/>
      <c r="B38" s="59"/>
      <c r="C38" s="59"/>
      <c r="D38" s="21"/>
      <c r="E38" s="21"/>
      <c r="F38" s="21"/>
      <c r="G38" s="56"/>
      <c r="H38" s="56"/>
      <c r="I38" s="56"/>
      <c r="J38" s="56"/>
      <c r="K38" s="56"/>
      <c r="L38" s="56"/>
      <c r="M38" s="54" t="str">
        <f aca="false">IF($B38="","",SUMPRODUCT(G38:L38,$G$8:$L$8))</f>
        <v/>
      </c>
      <c r="N38" s="54" t="str">
        <f aca="false">IF($B38="","",M38*(1+S38))</f>
        <v/>
      </c>
      <c r="O38" s="38" t="str">
        <f aca="false">IF(OR($B38="",$F38&lt;&gt;"KG"),"",IFERROR(IF($B38="PLATE",ROUND(2000/($D38*제작기준!$L$8),3),IF($B38="ROUND BAR",ROUND(4000/($D38*제작기준!$L$8),3),INDEX(제작기준!$H$5:$H$175,MATCH($B38&amp;"|"&amp;$D38,제작기준!$I$5:$I$175,0)))),"DB확인"))</f>
        <v/>
      </c>
      <c r="P38" s="57" t="str">
        <f aca="false">IF(ISNUMBER(O38),M38/1000*O38,"")</f>
        <v/>
      </c>
      <c r="Q38" s="57" t="str">
        <f aca="false">IF(ISNUMBER(O38),N38/1000*O38,"")</f>
        <v/>
      </c>
      <c r="R38" s="59"/>
      <c r="S38" s="58" t="str">
        <f aca="false">IF(R38="","",IFERROR(INDEX(제작기준!$B$5:$B$30,MATCH(R38,제작기준!$A$5:$A$30,0)),"확인"))</f>
        <v/>
      </c>
      <c r="T38" s="16"/>
    </row>
    <row r="39" customFormat="false" ht="15" hidden="false" customHeight="true" outlineLevel="0" collapsed="false">
      <c r="A39" s="6"/>
      <c r="B39" s="59"/>
      <c r="C39" s="59"/>
      <c r="D39" s="21"/>
      <c r="E39" s="21"/>
      <c r="F39" s="21"/>
      <c r="G39" s="56"/>
      <c r="H39" s="56"/>
      <c r="I39" s="56"/>
      <c r="J39" s="56"/>
      <c r="K39" s="56"/>
      <c r="L39" s="56"/>
      <c r="M39" s="54" t="str">
        <f aca="false">IF($B39="","",SUMPRODUCT(G39:L39,$G$8:$L$8))</f>
        <v/>
      </c>
      <c r="N39" s="54" t="str">
        <f aca="false">IF($B39="","",M39*(1+S39))</f>
        <v/>
      </c>
      <c r="O39" s="38" t="str">
        <f aca="false">IF(OR($B39="",$F39&lt;&gt;"KG"),"",IFERROR(IF($B39="PLATE",ROUND(2000/($D39*제작기준!$L$8),3),IF($B39="ROUND BAR",ROUND(4000/($D39*제작기준!$L$8),3),INDEX(제작기준!$H$5:$H$175,MATCH($B39&amp;"|"&amp;$D39,제작기준!$I$5:$I$175,0)))),"DB확인"))</f>
        <v/>
      </c>
      <c r="P39" s="57" t="str">
        <f aca="false">IF(ISNUMBER(O39),M39/1000*O39,"")</f>
        <v/>
      </c>
      <c r="Q39" s="57" t="str">
        <f aca="false">IF(ISNUMBER(O39),N39/1000*O39,"")</f>
        <v/>
      </c>
      <c r="R39" s="59"/>
      <c r="S39" s="58" t="str">
        <f aca="false">IF(R39="","",IFERROR(INDEX(제작기준!$B$5:$B$30,MATCH(R39,제작기준!$A$5:$A$30,0)),"확인"))</f>
        <v/>
      </c>
      <c r="T39" s="16"/>
    </row>
    <row r="40" customFormat="false" ht="15" hidden="false" customHeight="true" outlineLevel="0" collapsed="false">
      <c r="A40" s="10"/>
      <c r="B40" s="44" t="s">
        <v>283</v>
      </c>
      <c r="C40" s="44"/>
      <c r="D40" s="44"/>
      <c r="E40" s="44"/>
      <c r="F40" s="44"/>
      <c r="G40" s="60" t="n">
        <f aca="false">SUMIF($F$20:$F$39,"KG",G20:G39)</f>
        <v>0</v>
      </c>
      <c r="H40" s="60" t="n">
        <f aca="false">SUMIF($F$20:$F$39,"KG",H20:H39)</f>
        <v>0</v>
      </c>
      <c r="I40" s="60" t="n">
        <f aca="false">SUMIF($F$20:$F$39,"KG",I20:I39)</f>
        <v>0</v>
      </c>
      <c r="J40" s="60" t="n">
        <f aca="false">SUMIF($F$20:$F$39,"KG",J20:J39)</f>
        <v>0</v>
      </c>
      <c r="K40" s="60" t="n">
        <f aca="false">SUMIF($F$20:$F$39,"KG",K20:K39)</f>
        <v>0</v>
      </c>
      <c r="L40" s="60" t="n">
        <f aca="false">SUMIF($F$20:$F$39,"KG",L20:L39)</f>
        <v>0</v>
      </c>
      <c r="M40" s="60" t="n">
        <f aca="false">SUMIF($F$20:$F$39,"KG",M20:M39)</f>
        <v>0</v>
      </c>
      <c r="N40" s="60" t="n">
        <f aca="false">SUMIF($F$20:$F$39,"KG",N20:N39)</f>
        <v>0</v>
      </c>
      <c r="O40" s="10"/>
      <c r="P40" s="61" t="n">
        <f aca="false">SUM(P20:P39)</f>
        <v>0</v>
      </c>
      <c r="Q40" s="61" t="n">
        <f aca="false">SUM(Q20:Q39)</f>
        <v>0</v>
      </c>
      <c r="R40" s="10"/>
      <c r="S40" s="10"/>
      <c r="T40" s="10"/>
    </row>
    <row r="42" customFormat="false" ht="15" hidden="false" customHeight="true" outlineLevel="0" collapsed="false">
      <c r="B42" s="16" t="s">
        <v>284</v>
      </c>
      <c r="C42" s="16"/>
      <c r="D42" s="16"/>
      <c r="E42" s="16"/>
      <c r="F42" s="16"/>
      <c r="G42" s="62" t="n">
        <f aca="false">(N40-M40)*제작기준!$L$7</f>
        <v>0</v>
      </c>
    </row>
    <row r="43" customFormat="false" ht="15" hidden="false" customHeight="true" outlineLevel="0" collapsed="false">
      <c r="B43" s="7" t="s">
        <v>285</v>
      </c>
      <c r="C43" s="7"/>
      <c r="D43" s="7"/>
      <c r="E43" s="7"/>
      <c r="F43" s="7"/>
      <c r="G43" s="63" t="n">
        <f aca="false">Q40</f>
        <v>0</v>
      </c>
    </row>
    <row r="44" customFormat="false" ht="15" hidden="false" customHeight="true" outlineLevel="0" collapsed="false">
      <c r="B44" s="7" t="s">
        <v>286</v>
      </c>
      <c r="C44" s="7"/>
      <c r="D44" s="7"/>
      <c r="E44" s="7"/>
      <c r="F44" s="7"/>
      <c r="G44" s="63" t="n">
        <f aca="false">P40</f>
        <v>0</v>
      </c>
    </row>
    <row r="45" customFormat="false" ht="15" hidden="false" customHeight="true" outlineLevel="0" collapsed="false">
      <c r="B45" s="7" t="s">
        <v>287</v>
      </c>
      <c r="C45" s="7"/>
      <c r="D45" s="7"/>
      <c r="E45" s="7"/>
      <c r="F45" s="7"/>
      <c r="G45" s="64" t="n">
        <f aca="false">ROUND(SUM(G10:L10)-M40,3)</f>
        <v>0</v>
      </c>
    </row>
    <row r="46" customFormat="false" ht="15" hidden="false" customHeight="true" outlineLevel="0" collapsed="false">
      <c r="B46" s="7" t="s">
        <v>288</v>
      </c>
      <c r="C46" s="7"/>
      <c r="D46" s="7"/>
      <c r="E46" s="7"/>
      <c r="F46" s="7"/>
      <c r="G46" s="65" t="n">
        <f aca="false">SUM(G10:L10)/1000</f>
        <v>0</v>
      </c>
    </row>
    <row r="48" customFormat="false" ht="15" hidden="false" customHeight="true" outlineLevel="0" collapsed="false">
      <c r="A48" s="3" t="s">
        <v>289</v>
      </c>
    </row>
    <row r="49" customFormat="false" ht="15" hidden="false" customHeight="true" outlineLevel="0" collapsed="false">
      <c r="A49" s="3" t="s">
        <v>290</v>
      </c>
    </row>
    <row r="50" customFormat="false" ht="15" hidden="false" customHeight="true" outlineLevel="0" collapsed="false">
      <c r="A50" s="3" t="s">
        <v>291</v>
      </c>
    </row>
    <row r="51" customFormat="false" ht="15" hidden="false" customHeight="true" outlineLevel="0" collapsed="false">
      <c r="A51" s="3" t="s">
        <v>292</v>
      </c>
    </row>
    <row r="52" customFormat="false" ht="15" hidden="false" customHeight="true" outlineLevel="0" collapsed="false">
      <c r="A52" s="29" t="s">
        <v>293</v>
      </c>
    </row>
  </sheetData>
  <mergeCells count="22"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G18:L18"/>
    <mergeCell ref="M18:N18"/>
    <mergeCell ref="O18:Q18"/>
    <mergeCell ref="B40:F40"/>
    <mergeCell ref="B42:F42"/>
    <mergeCell ref="B43:F43"/>
    <mergeCell ref="B44:F44"/>
    <mergeCell ref="B45:F45"/>
    <mergeCell ref="B46:F46"/>
  </mergeCells>
  <dataValidations count="4">
    <dataValidation allowBlank="true" errorStyle="stop" operator="between" showDropDown="false" showErrorMessage="false" showInputMessage="false" sqref="G6:L6" type="list">
      <formula1>"공장,현장"</formula1>
      <formula2>0</formula2>
    </dataValidation>
    <dataValidation allowBlank="true" errorStyle="stop" operator="between" showDropDown="false" showErrorMessage="false" showInputMessage="false" sqref="R20:R39" type="list">
      <formula1>제작기준!$A$5:$A$30</formula1>
      <formula2>0</formula2>
    </dataValidation>
    <dataValidation allowBlank="true" errorStyle="stop" operator="between" showDropDown="false" showErrorMessage="false" showInputMessage="false" sqref="G7:L7" type="list">
      <formula1>제작기준!$N$5:$N$21</formula1>
      <formula2>0</formula2>
    </dataValidation>
    <dataValidation allowBlank="true" errorStyle="stop" operator="between" showDropDown="false" showErrorMessage="false" showInputMessage="false" sqref="F20:F39" type="list">
      <formula1>"KG,M2,SET,M,EA"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7"/>
    <col collapsed="false" customWidth="true" hidden="false" outlineLevel="0" max="4" min="4" style="1" width="5"/>
    <col collapsed="false" customWidth="true" hidden="false" outlineLevel="0" max="5" min="5" style="1" width="12"/>
    <col collapsed="false" customWidth="true" hidden="false" outlineLevel="0" max="6" min="6" style="1" width="5"/>
    <col collapsed="false" customWidth="true" hidden="false" outlineLevel="0" max="7" min="7" style="1" width="42"/>
    <col collapsed="false" customWidth="true" hidden="false" outlineLevel="0" max="8" min="8" style="1" width="6"/>
    <col collapsed="false" customWidth="true" hidden="false" outlineLevel="0" max="9" min="9" style="1" width="11"/>
    <col collapsed="false" customWidth="true" hidden="false" outlineLevel="0" max="10" min="10" style="1" width="8"/>
    <col collapsed="false" customWidth="true" hidden="false" outlineLevel="0" max="11" min="11" style="1" width="62"/>
    <col collapsed="false" customWidth="true" hidden="false" outlineLevel="0" max="12" min="12" style="1" width="7"/>
    <col collapsed="false" customWidth="true" hidden="false" outlineLevel="0" max="13" min="13" style="1" width="8"/>
    <col collapsed="false" customWidth="true" hidden="false" outlineLevel="0" max="15" min="14" style="1" width="7"/>
    <col collapsed="false" customWidth="true" hidden="false" outlineLevel="0" max="16" min="16" style="1" width="9"/>
    <col collapsed="false" customWidth="true" hidden="false" outlineLevel="0" max="19" min="17" style="1" width="6"/>
    <col collapsed="false" customWidth="true" hidden="false" outlineLevel="0" max="20" min="20" style="1" width="26"/>
    <col collapsed="false" customWidth="true" hidden="false" outlineLevel="0" max="21" min="21" style="1" width="6"/>
    <col collapsed="false" customWidth="true" hidden="false" outlineLevel="0" max="22" min="22" style="1" width="28"/>
  </cols>
  <sheetData>
    <row r="1" customFormat="false" ht="26.25" hidden="false" customHeight="true" outlineLevel="0" collapsed="false">
      <c r="A1" s="4" t="s">
        <v>294</v>
      </c>
      <c r="B1" s="4" t="s">
        <v>192</v>
      </c>
      <c r="C1" s="4" t="s">
        <v>295</v>
      </c>
      <c r="D1" s="4" t="s">
        <v>296</v>
      </c>
      <c r="E1" s="4" t="s">
        <v>297</v>
      </c>
      <c r="F1" s="4" t="s">
        <v>298</v>
      </c>
      <c r="G1" s="4" t="s">
        <v>299</v>
      </c>
      <c r="H1" s="4" t="s">
        <v>5</v>
      </c>
      <c r="I1" s="4" t="s">
        <v>300</v>
      </c>
      <c r="J1" s="4" t="s">
        <v>301</v>
      </c>
      <c r="K1" s="4" t="s">
        <v>302</v>
      </c>
      <c r="L1" s="31" t="s">
        <v>303</v>
      </c>
      <c r="M1" s="31" t="s">
        <v>304</v>
      </c>
      <c r="N1" s="31" t="s">
        <v>305</v>
      </c>
      <c r="O1" s="31" t="s">
        <v>306</v>
      </c>
      <c r="P1" s="31" t="s">
        <v>307</v>
      </c>
      <c r="Q1" s="31" t="s">
        <v>308</v>
      </c>
      <c r="R1" s="31" t="s">
        <v>309</v>
      </c>
      <c r="S1" s="31" t="s">
        <v>310</v>
      </c>
      <c r="T1" s="4" t="s">
        <v>311</v>
      </c>
      <c r="U1" s="4" t="s">
        <v>312</v>
      </c>
      <c r="V1" s="4" t="s">
        <v>313</v>
      </c>
    </row>
    <row r="2" customFormat="false" ht="23.25" hidden="false" customHeight="true" outlineLevel="0" collapsed="false">
      <c r="A2" s="6" t="n">
        <v>555</v>
      </c>
      <c r="B2" s="6" t="s">
        <v>54</v>
      </c>
      <c r="C2" s="6" t="n">
        <v>100</v>
      </c>
      <c r="D2" s="6" t="s">
        <v>314</v>
      </c>
      <c r="E2" s="6" t="s">
        <v>315</v>
      </c>
      <c r="F2" s="6"/>
      <c r="G2" s="7" t="s">
        <v>316</v>
      </c>
      <c r="H2" s="6" t="s">
        <v>11</v>
      </c>
      <c r="I2" s="52" t="n">
        <f aca="false">SUMPRODUCT((제작물량산출!$G$12:$L$12=E2)*(제작물량산출!$G$6:$L$6="공장")*제작물량산출!$G$10:$L$10)/1000</f>
        <v>0</v>
      </c>
      <c r="J2" s="6"/>
      <c r="K2" s="16" t="str">
        <f aca="false">"F01="&amp;L2&amp;",F02="&amp;M2&amp;",F03="&amp;N2&amp;",F04="&amp;O2&amp;",F06="&amp;P2&amp;",Q08="&amp;Q2&amp;",Q09="&amp;R2&amp;",C04="&amp;S2&amp;","</f>
        <v>F01=0.7,F02=0,F03=1.4,F04=0.37,F06=85.5,Q08=0,Q09=0,C04=0.1,</v>
      </c>
      <c r="L2" s="19" t="n">
        <v>0.7</v>
      </c>
      <c r="M2" s="19" t="n">
        <v>0</v>
      </c>
      <c r="N2" s="19" t="n">
        <v>1.4</v>
      </c>
      <c r="O2" s="19" t="n">
        <v>0.37</v>
      </c>
      <c r="P2" s="19" t="n">
        <v>85.5</v>
      </c>
      <c r="Q2" s="19" t="n">
        <v>0</v>
      </c>
      <c r="R2" s="19" t="n">
        <v>0</v>
      </c>
      <c r="S2" s="19" t="n">
        <v>0.1</v>
      </c>
      <c r="T2" s="42" t="s">
        <v>209</v>
      </c>
      <c r="U2" s="19" t="n">
        <v>1</v>
      </c>
      <c r="V2" s="16" t="str">
        <f aca="false">T2&amp;"|"&amp;U2</f>
        <v>지주류|1</v>
      </c>
    </row>
    <row r="3" customFormat="false" ht="23.25" hidden="false" customHeight="true" outlineLevel="0" collapsed="false">
      <c r="A3" s="6" t="n">
        <v>555</v>
      </c>
      <c r="B3" s="6" t="s">
        <v>54</v>
      </c>
      <c r="C3" s="6" t="n">
        <v>200</v>
      </c>
      <c r="D3" s="6" t="s">
        <v>314</v>
      </c>
      <c r="E3" s="6" t="s">
        <v>317</v>
      </c>
      <c r="F3" s="6"/>
      <c r="G3" s="7" t="s">
        <v>318</v>
      </c>
      <c r="H3" s="6" t="s">
        <v>11</v>
      </c>
      <c r="I3" s="52" t="n">
        <f aca="false">SUMPRODUCT((제작물량산출!$G$12:$L$12=E3)*(제작물량산출!$G$6:$L$6="공장")*제작물량산출!$G$10:$L$10)/1000</f>
        <v>0</v>
      </c>
      <c r="J3" s="6"/>
      <c r="K3" s="16" t="str">
        <f aca="false">"F01="&amp;L3&amp;",F02="&amp;M3&amp;",F03="&amp;N3&amp;",F04="&amp;O3&amp;",F06="&amp;P3&amp;",Q08="&amp;Q3&amp;",Q09="&amp;R3&amp;",C04="&amp;S3&amp;","</f>
        <v>F01=0.5,F02=0,F03=1.4,F04=0.37,F06=85.5,Q08=0,Q09=0,C04=0.1,</v>
      </c>
      <c r="L3" s="19" t="n">
        <v>0.5</v>
      </c>
      <c r="M3" s="19" t="n">
        <v>0</v>
      </c>
      <c r="N3" s="19" t="n">
        <v>1.4</v>
      </c>
      <c r="O3" s="19" t="n">
        <v>0.37</v>
      </c>
      <c r="P3" s="19" t="n">
        <v>85.5</v>
      </c>
      <c r="Q3" s="19" t="n">
        <v>0</v>
      </c>
      <c r="R3" s="19" t="n">
        <v>0</v>
      </c>
      <c r="S3" s="19" t="n">
        <v>0.1</v>
      </c>
      <c r="T3" s="42" t="s">
        <v>209</v>
      </c>
      <c r="U3" s="19" t="n">
        <v>2</v>
      </c>
      <c r="V3" s="16" t="str">
        <f aca="false">T3&amp;"|"&amp;U3</f>
        <v>지주류|2</v>
      </c>
    </row>
    <row r="4" customFormat="false" ht="23.25" hidden="false" customHeight="true" outlineLevel="0" collapsed="false">
      <c r="A4" s="6" t="n">
        <v>555</v>
      </c>
      <c r="B4" s="6" t="s">
        <v>54</v>
      </c>
      <c r="C4" s="6" t="n">
        <v>300</v>
      </c>
      <c r="D4" s="6" t="s">
        <v>314</v>
      </c>
      <c r="E4" s="6" t="s">
        <v>319</v>
      </c>
      <c r="F4" s="6"/>
      <c r="G4" s="7" t="s">
        <v>320</v>
      </c>
      <c r="H4" s="6" t="s">
        <v>11</v>
      </c>
      <c r="I4" s="52" t="n">
        <f aca="false">SUMPRODUCT((제작물량산출!$G$12:$L$12=E4)*(제작물량산출!$G$6:$L$6="공장")*제작물량산출!$G$10:$L$10)/1000</f>
        <v>0</v>
      </c>
      <c r="J4" s="6"/>
      <c r="K4" s="16" t="str">
        <f aca="false">"F01="&amp;L4&amp;",F02="&amp;M4&amp;",F03="&amp;N4&amp;",F04="&amp;O4&amp;",F06="&amp;P4&amp;",Q08="&amp;Q4&amp;",Q09="&amp;R4&amp;",C04="&amp;S4&amp;","</f>
        <v>F01=0.4,F02=0,F03=1.4,F04=0.37,F06=85.5,Q08=0,Q09=0,C04=0.1,</v>
      </c>
      <c r="L4" s="19" t="n">
        <v>0.4</v>
      </c>
      <c r="M4" s="19" t="n">
        <v>0</v>
      </c>
      <c r="N4" s="19" t="n">
        <v>1.4</v>
      </c>
      <c r="O4" s="19" t="n">
        <v>0.37</v>
      </c>
      <c r="P4" s="19" t="n">
        <v>85.5</v>
      </c>
      <c r="Q4" s="19" t="n">
        <v>0</v>
      </c>
      <c r="R4" s="19" t="n">
        <v>0</v>
      </c>
      <c r="S4" s="19" t="n">
        <v>0.1</v>
      </c>
      <c r="T4" s="42" t="s">
        <v>209</v>
      </c>
      <c r="U4" s="19" t="n">
        <v>3</v>
      </c>
      <c r="V4" s="16" t="str">
        <f aca="false">T4&amp;"|"&amp;U4</f>
        <v>지주류|3</v>
      </c>
    </row>
    <row r="5" customFormat="false" ht="23.25" hidden="false" customHeight="true" outlineLevel="0" collapsed="false">
      <c r="A5" s="6" t="n">
        <v>555</v>
      </c>
      <c r="B5" s="6" t="s">
        <v>54</v>
      </c>
      <c r="C5" s="6" t="n">
        <v>400</v>
      </c>
      <c r="D5" s="6" t="s">
        <v>314</v>
      </c>
      <c r="E5" s="6" t="s">
        <v>321</v>
      </c>
      <c r="F5" s="6"/>
      <c r="G5" s="7" t="s">
        <v>322</v>
      </c>
      <c r="H5" s="6" t="s">
        <v>11</v>
      </c>
      <c r="I5" s="52" t="n">
        <f aca="false">SUMPRODUCT((제작물량산출!$G$12:$L$12=E5)*(제작물량산출!$G$6:$L$6="공장")*제작물량산출!$G$10:$L$10)/1000</f>
        <v>0</v>
      </c>
      <c r="J5" s="6"/>
      <c r="K5" s="16" t="str">
        <f aca="false">"F01="&amp;L5&amp;",F02="&amp;M5&amp;",F03="&amp;N5&amp;",F04="&amp;O5&amp;",F06="&amp;P5&amp;",Q08="&amp;Q5&amp;",Q09="&amp;R5&amp;",C04="&amp;S5&amp;","</f>
        <v>F01=0,F02=0,F03=1.4,F04=0.37,F06=85.5,Q08=0,Q09=0,C04=0.1,</v>
      </c>
      <c r="L5" s="19" t="n">
        <v>0</v>
      </c>
      <c r="M5" s="19" t="n">
        <v>0</v>
      </c>
      <c r="N5" s="19" t="n">
        <v>1.4</v>
      </c>
      <c r="O5" s="19" t="n">
        <v>0.37</v>
      </c>
      <c r="P5" s="19" t="n">
        <v>85.5</v>
      </c>
      <c r="Q5" s="19" t="n">
        <v>0</v>
      </c>
      <c r="R5" s="19" t="n">
        <v>0</v>
      </c>
      <c r="S5" s="19" t="n">
        <v>0.1</v>
      </c>
      <c r="T5" s="42" t="s">
        <v>209</v>
      </c>
      <c r="U5" s="19" t="n">
        <v>4</v>
      </c>
      <c r="V5" s="16" t="str">
        <f aca="false">T5&amp;"|"&amp;U5</f>
        <v>지주류|4</v>
      </c>
    </row>
    <row r="6" customFormat="false" ht="23.25" hidden="false" customHeight="true" outlineLevel="0" collapsed="false">
      <c r="A6" s="6" t="n">
        <v>555</v>
      </c>
      <c r="B6" s="6" t="s">
        <v>54</v>
      </c>
      <c r="C6" s="6" t="n">
        <v>500</v>
      </c>
      <c r="D6" s="6" t="s">
        <v>314</v>
      </c>
      <c r="E6" s="6" t="s">
        <v>323</v>
      </c>
      <c r="F6" s="6"/>
      <c r="G6" s="7" t="s">
        <v>324</v>
      </c>
      <c r="H6" s="6" t="s">
        <v>11</v>
      </c>
      <c r="I6" s="52" t="n">
        <f aca="false">SUMPRODUCT((제작물량산출!$G$12:$L$12=E6)*(제작물량산출!$G$6:$L$6="공장")*제작물량산출!$G$10:$L$10)/1000</f>
        <v>0</v>
      </c>
      <c r="J6" s="6"/>
      <c r="K6" s="16" t="str">
        <f aca="false">"F01="&amp;L6&amp;",F02="&amp;M6&amp;",F03="&amp;N6&amp;",F04="&amp;O6&amp;",F06="&amp;P6&amp;",Q08="&amp;Q6&amp;",Q09="&amp;R6&amp;",C04="&amp;S6&amp;","</f>
        <v>F01=0.7,F02=0.2,F03=1.43,F04=0.36,F06=94.5,Q08=0,Q09=0,C04=0.1,</v>
      </c>
      <c r="L6" s="19" t="n">
        <v>0.7</v>
      </c>
      <c r="M6" s="19" t="n">
        <v>0.2</v>
      </c>
      <c r="N6" s="19" t="n">
        <v>1.43</v>
      </c>
      <c r="O6" s="19" t="n">
        <v>0.36</v>
      </c>
      <c r="P6" s="19" t="n">
        <v>94.5</v>
      </c>
      <c r="Q6" s="19" t="n">
        <v>0</v>
      </c>
      <c r="R6" s="19" t="n">
        <v>0</v>
      </c>
      <c r="S6" s="19" t="n">
        <v>0.1</v>
      </c>
      <c r="T6" s="42" t="s">
        <v>325</v>
      </c>
      <c r="U6" s="19" t="n">
        <v>1</v>
      </c>
      <c r="V6" s="16" t="str">
        <f aca="false">T6&amp;"|"&amp;U6</f>
        <v>프레임류|1</v>
      </c>
    </row>
    <row r="7" customFormat="false" ht="23.25" hidden="false" customHeight="true" outlineLevel="0" collapsed="false">
      <c r="A7" s="6" t="n">
        <v>555</v>
      </c>
      <c r="B7" s="6" t="s">
        <v>54</v>
      </c>
      <c r="C7" s="6" t="n">
        <v>600</v>
      </c>
      <c r="D7" s="6" t="s">
        <v>314</v>
      </c>
      <c r="E7" s="6" t="s">
        <v>326</v>
      </c>
      <c r="F7" s="6"/>
      <c r="G7" s="7" t="s">
        <v>327</v>
      </c>
      <c r="H7" s="6" t="s">
        <v>11</v>
      </c>
      <c r="I7" s="52" t="n">
        <f aca="false">SUMPRODUCT((제작물량산출!$G$12:$L$12=E7)*(제작물량산출!$G$6:$L$6="공장")*제작물량산출!$G$10:$L$10)/1000</f>
        <v>0</v>
      </c>
      <c r="J7" s="6"/>
      <c r="K7" s="16" t="str">
        <f aca="false">"F01="&amp;L7&amp;",F02="&amp;M7&amp;",F03="&amp;N7&amp;",F04="&amp;O7&amp;",F06="&amp;P7&amp;",Q08="&amp;Q7&amp;",Q09="&amp;R7&amp;",C04="&amp;S7&amp;","</f>
        <v>F01=0.5,F02=0.2,F03=1.43,F04=0.36,F06=94.5,Q08=0,Q09=0,C04=0.1,</v>
      </c>
      <c r="L7" s="19" t="n">
        <v>0.5</v>
      </c>
      <c r="M7" s="19" t="n">
        <v>0.2</v>
      </c>
      <c r="N7" s="19" t="n">
        <v>1.43</v>
      </c>
      <c r="O7" s="19" t="n">
        <v>0.36</v>
      </c>
      <c r="P7" s="19" t="n">
        <v>94.5</v>
      </c>
      <c r="Q7" s="19" t="n">
        <v>0</v>
      </c>
      <c r="R7" s="19" t="n">
        <v>0</v>
      </c>
      <c r="S7" s="19" t="n">
        <v>0.1</v>
      </c>
      <c r="T7" s="42" t="s">
        <v>325</v>
      </c>
      <c r="U7" s="19" t="n">
        <v>2</v>
      </c>
      <c r="V7" s="16" t="str">
        <f aca="false">T7&amp;"|"&amp;U7</f>
        <v>프레임류|2</v>
      </c>
    </row>
    <row r="8" customFormat="false" ht="23.25" hidden="false" customHeight="true" outlineLevel="0" collapsed="false">
      <c r="A8" s="6" t="n">
        <v>555</v>
      </c>
      <c r="B8" s="6" t="s">
        <v>54</v>
      </c>
      <c r="C8" s="6" t="n">
        <v>700</v>
      </c>
      <c r="D8" s="6" t="s">
        <v>314</v>
      </c>
      <c r="E8" s="6" t="s">
        <v>328</v>
      </c>
      <c r="F8" s="6"/>
      <c r="G8" s="7" t="s">
        <v>329</v>
      </c>
      <c r="H8" s="6" t="s">
        <v>11</v>
      </c>
      <c r="I8" s="52" t="n">
        <f aca="false">SUMPRODUCT((제작물량산출!$G$12:$L$12=E8)*(제작물량산출!$G$6:$L$6="공장")*제작물량산출!$G$10:$L$10)/1000</f>
        <v>0</v>
      </c>
      <c r="J8" s="6"/>
      <c r="K8" s="16" t="str">
        <f aca="false">"F01="&amp;L8&amp;",F02="&amp;M8&amp;",F03="&amp;N8&amp;",F04="&amp;O8&amp;",F06="&amp;P8&amp;",Q08="&amp;Q8&amp;",Q09="&amp;R8&amp;",C04="&amp;S8&amp;","</f>
        <v>F01=0.4,F02=0.2,F03=1.43,F04=0.36,F06=94.5,Q08=0,Q09=0,C04=0.1,</v>
      </c>
      <c r="L8" s="19" t="n">
        <v>0.4</v>
      </c>
      <c r="M8" s="19" t="n">
        <v>0.2</v>
      </c>
      <c r="N8" s="19" t="n">
        <v>1.43</v>
      </c>
      <c r="O8" s="19" t="n">
        <v>0.36</v>
      </c>
      <c r="P8" s="19" t="n">
        <v>94.5</v>
      </c>
      <c r="Q8" s="19" t="n">
        <v>0</v>
      </c>
      <c r="R8" s="19" t="n">
        <v>0</v>
      </c>
      <c r="S8" s="19" t="n">
        <v>0.1</v>
      </c>
      <c r="T8" s="42" t="s">
        <v>325</v>
      </c>
      <c r="U8" s="19" t="n">
        <v>3</v>
      </c>
      <c r="V8" s="16" t="str">
        <f aca="false">T8&amp;"|"&amp;U8</f>
        <v>프레임류|3</v>
      </c>
    </row>
    <row r="9" customFormat="false" ht="23.25" hidden="false" customHeight="true" outlineLevel="0" collapsed="false">
      <c r="A9" s="6" t="n">
        <v>555</v>
      </c>
      <c r="B9" s="6" t="s">
        <v>54</v>
      </c>
      <c r="C9" s="6" t="n">
        <v>800</v>
      </c>
      <c r="D9" s="6" t="s">
        <v>314</v>
      </c>
      <c r="E9" s="6" t="s">
        <v>330</v>
      </c>
      <c r="F9" s="6"/>
      <c r="G9" s="7" t="s">
        <v>331</v>
      </c>
      <c r="H9" s="6" t="s">
        <v>11</v>
      </c>
      <c r="I9" s="52" t="n">
        <f aca="false">SUMPRODUCT((제작물량산출!$G$12:$L$12=E9)*(제작물량산출!$G$6:$L$6="공장")*제작물량산출!$G$10:$L$10)/1000</f>
        <v>0</v>
      </c>
      <c r="J9" s="6"/>
      <c r="K9" s="16" t="str">
        <f aca="false">"F01="&amp;L9&amp;",F02="&amp;M9&amp;",F03="&amp;N9&amp;",F04="&amp;O9&amp;",F06="&amp;P9&amp;",Q08="&amp;Q9&amp;",Q09="&amp;R9&amp;",C04="&amp;S9&amp;","</f>
        <v>F01=0,F02=0.2,F03=1.43,F04=0.36,F06=94.5,Q08=0,Q09=0,C04=0.1,</v>
      </c>
      <c r="L9" s="19" t="n">
        <v>0</v>
      </c>
      <c r="M9" s="19" t="n">
        <v>0.2</v>
      </c>
      <c r="N9" s="19" t="n">
        <v>1.43</v>
      </c>
      <c r="O9" s="19" t="n">
        <v>0.36</v>
      </c>
      <c r="P9" s="19" t="n">
        <v>94.5</v>
      </c>
      <c r="Q9" s="19" t="n">
        <v>0</v>
      </c>
      <c r="R9" s="19" t="n">
        <v>0</v>
      </c>
      <c r="S9" s="19" t="n">
        <v>0.1</v>
      </c>
      <c r="T9" s="42" t="s">
        <v>325</v>
      </c>
      <c r="U9" s="19" t="n">
        <v>4</v>
      </c>
      <c r="V9" s="16" t="str">
        <f aca="false">T9&amp;"|"&amp;U9</f>
        <v>프레임류|4</v>
      </c>
    </row>
    <row r="10" customFormat="false" ht="23.25" hidden="false" customHeight="true" outlineLevel="0" collapsed="false">
      <c r="A10" s="6" t="n">
        <v>555</v>
      </c>
      <c r="B10" s="6" t="s">
        <v>54</v>
      </c>
      <c r="C10" s="6" t="n">
        <v>900</v>
      </c>
      <c r="D10" s="6" t="s">
        <v>314</v>
      </c>
      <c r="E10" s="6" t="s">
        <v>332</v>
      </c>
      <c r="F10" s="6"/>
      <c r="G10" s="7" t="s">
        <v>333</v>
      </c>
      <c r="H10" s="6" t="s">
        <v>11</v>
      </c>
      <c r="I10" s="52" t="n">
        <f aca="false">SUMPRODUCT((제작물량산출!$G$12:$L$12=E10)*(제작물량산출!$G$6:$L$6="공장")*제작물량산출!$G$10:$L$10)/1000</f>
        <v>0</v>
      </c>
      <c r="J10" s="6"/>
      <c r="K10" s="16" t="str">
        <f aca="false">"F01="&amp;L10&amp;",F02="&amp;M10&amp;",F03="&amp;N10&amp;",F04="&amp;O10&amp;",F06="&amp;P10&amp;",Q08="&amp;Q10&amp;",Q09="&amp;R10&amp;",C04="&amp;S10&amp;","</f>
        <v>F01=0.7,F02=0.5,F03=1.43,F04=0.36,F06=94.5,Q08=0,Q09=0,C04=0.1,</v>
      </c>
      <c r="L10" s="19" t="n">
        <v>0.7</v>
      </c>
      <c r="M10" s="19" t="n">
        <v>0.5</v>
      </c>
      <c r="N10" s="19" t="n">
        <v>1.43</v>
      </c>
      <c r="O10" s="19" t="n">
        <v>0.36</v>
      </c>
      <c r="P10" s="19" t="n">
        <v>94.5</v>
      </c>
      <c r="Q10" s="19" t="n">
        <v>0</v>
      </c>
      <c r="R10" s="19" t="n">
        <v>0</v>
      </c>
      <c r="S10" s="19" t="n">
        <v>0.1</v>
      </c>
      <c r="T10" s="42" t="s">
        <v>334</v>
      </c>
      <c r="U10" s="19" t="n">
        <v>1</v>
      </c>
      <c r="V10" s="16" t="str">
        <f aca="false">T10&amp;"|"&amp;U10</f>
        <v>조립곡면 또는 특수 입체 트러스|1</v>
      </c>
    </row>
    <row r="11" customFormat="false" ht="23.25" hidden="false" customHeight="true" outlineLevel="0" collapsed="false">
      <c r="A11" s="6" t="n">
        <v>555</v>
      </c>
      <c r="B11" s="6" t="s">
        <v>54</v>
      </c>
      <c r="C11" s="6" t="n">
        <v>1000</v>
      </c>
      <c r="D11" s="6" t="s">
        <v>314</v>
      </c>
      <c r="E11" s="6" t="s">
        <v>335</v>
      </c>
      <c r="F11" s="6"/>
      <c r="G11" s="7" t="s">
        <v>336</v>
      </c>
      <c r="H11" s="6" t="s">
        <v>11</v>
      </c>
      <c r="I11" s="52" t="n">
        <f aca="false">SUMPRODUCT((제작물량산출!$G$12:$L$12=E11)*(제작물량산출!$G$6:$L$6="공장")*제작물량산출!$G$10:$L$10)/1000</f>
        <v>0</v>
      </c>
      <c r="J11" s="6"/>
      <c r="K11" s="16" t="str">
        <f aca="false">"F01="&amp;L11&amp;",F02="&amp;M11&amp;",F03="&amp;N11&amp;",F04="&amp;O11&amp;",F06="&amp;P11&amp;",Q08="&amp;Q11&amp;",Q09="&amp;R11&amp;",C04="&amp;S11&amp;","</f>
        <v>F01=0.5,F02=0.5,F03=1.43,F04=0.36,F06=94.5,Q08=0,Q09=0,C04=0.1,</v>
      </c>
      <c r="L11" s="19" t="n">
        <v>0.5</v>
      </c>
      <c r="M11" s="19" t="n">
        <v>0.5</v>
      </c>
      <c r="N11" s="19" t="n">
        <v>1.43</v>
      </c>
      <c r="O11" s="19" t="n">
        <v>0.36</v>
      </c>
      <c r="P11" s="19" t="n">
        <v>94.5</v>
      </c>
      <c r="Q11" s="19" t="n">
        <v>0</v>
      </c>
      <c r="R11" s="19" t="n">
        <v>0</v>
      </c>
      <c r="S11" s="19" t="n">
        <v>0.1</v>
      </c>
      <c r="T11" s="42" t="s">
        <v>334</v>
      </c>
      <c r="U11" s="19" t="n">
        <v>2</v>
      </c>
      <c r="V11" s="16" t="str">
        <f aca="false">T11&amp;"|"&amp;U11</f>
        <v>조립곡면 또는 특수 입체 트러스|2</v>
      </c>
    </row>
    <row r="12" customFormat="false" ht="23.25" hidden="false" customHeight="true" outlineLevel="0" collapsed="false">
      <c r="A12" s="6" t="n">
        <v>555</v>
      </c>
      <c r="B12" s="6" t="s">
        <v>54</v>
      </c>
      <c r="C12" s="6" t="n">
        <v>1100</v>
      </c>
      <c r="D12" s="6" t="s">
        <v>314</v>
      </c>
      <c r="E12" s="6" t="s">
        <v>337</v>
      </c>
      <c r="F12" s="6"/>
      <c r="G12" s="7" t="s">
        <v>338</v>
      </c>
      <c r="H12" s="6" t="s">
        <v>11</v>
      </c>
      <c r="I12" s="52" t="n">
        <f aca="false">SUMPRODUCT((제작물량산출!$G$12:$L$12=E12)*(제작물량산출!$G$6:$L$6="공장")*제작물량산출!$G$10:$L$10)/1000</f>
        <v>0</v>
      </c>
      <c r="J12" s="6"/>
      <c r="K12" s="16" t="str">
        <f aca="false">"F01="&amp;L12&amp;",F02="&amp;M12&amp;",F03="&amp;N12&amp;",F04="&amp;O12&amp;",F06="&amp;P12&amp;",Q08="&amp;Q12&amp;",Q09="&amp;R12&amp;",C04="&amp;S12&amp;","</f>
        <v>F01=0.4,F02=0.5,F03=1.43,F04=0.36,F06=94.5,Q08=0,Q09=0,C04=0.1,</v>
      </c>
      <c r="L12" s="19" t="n">
        <v>0.4</v>
      </c>
      <c r="M12" s="19" t="n">
        <v>0.5</v>
      </c>
      <c r="N12" s="19" t="n">
        <v>1.43</v>
      </c>
      <c r="O12" s="19" t="n">
        <v>0.36</v>
      </c>
      <c r="P12" s="19" t="n">
        <v>94.5</v>
      </c>
      <c r="Q12" s="19" t="n">
        <v>0</v>
      </c>
      <c r="R12" s="19" t="n">
        <v>0</v>
      </c>
      <c r="S12" s="19" t="n">
        <v>0.1</v>
      </c>
      <c r="T12" s="42" t="s">
        <v>334</v>
      </c>
      <c r="U12" s="19" t="n">
        <v>3</v>
      </c>
      <c r="V12" s="16" t="str">
        <f aca="false">T12&amp;"|"&amp;U12</f>
        <v>조립곡면 또는 특수 입체 트러스|3</v>
      </c>
    </row>
    <row r="13" customFormat="false" ht="23.25" hidden="false" customHeight="true" outlineLevel="0" collapsed="false">
      <c r="A13" s="6" t="n">
        <v>555</v>
      </c>
      <c r="B13" s="6" t="s">
        <v>54</v>
      </c>
      <c r="C13" s="6" t="n">
        <v>1200</v>
      </c>
      <c r="D13" s="6" t="s">
        <v>314</v>
      </c>
      <c r="E13" s="6" t="s">
        <v>339</v>
      </c>
      <c r="F13" s="6"/>
      <c r="G13" s="7" t="s">
        <v>340</v>
      </c>
      <c r="H13" s="6" t="s">
        <v>11</v>
      </c>
      <c r="I13" s="52" t="n">
        <f aca="false">SUMPRODUCT((제작물량산출!$G$12:$L$12=E13)*(제작물량산출!$G$6:$L$6="공장")*제작물량산출!$G$10:$L$10)/1000</f>
        <v>0</v>
      </c>
      <c r="J13" s="6"/>
      <c r="K13" s="16" t="str">
        <f aca="false">"F01="&amp;L13&amp;",F02="&amp;M13&amp;",F03="&amp;N13&amp;",F04="&amp;O13&amp;",F06="&amp;P13&amp;",Q08="&amp;Q13&amp;",Q09="&amp;R13&amp;",C04="&amp;S13&amp;","</f>
        <v>F01=0,F02=0.5,F03=1.43,F04=0.36,F06=94.5,Q08=0,Q09=0,C04=0.1,</v>
      </c>
      <c r="L13" s="19" t="n">
        <v>0</v>
      </c>
      <c r="M13" s="19" t="n">
        <v>0.5</v>
      </c>
      <c r="N13" s="19" t="n">
        <v>1.43</v>
      </c>
      <c r="O13" s="19" t="n">
        <v>0.36</v>
      </c>
      <c r="P13" s="19" t="n">
        <v>94.5</v>
      </c>
      <c r="Q13" s="19" t="n">
        <v>0</v>
      </c>
      <c r="R13" s="19" t="n">
        <v>0</v>
      </c>
      <c r="S13" s="19" t="n">
        <v>0.1</v>
      </c>
      <c r="T13" s="42" t="s">
        <v>334</v>
      </c>
      <c r="U13" s="19" t="n">
        <v>4</v>
      </c>
      <c r="V13" s="16" t="str">
        <f aca="false">T13&amp;"|"&amp;U13</f>
        <v>조립곡면 또는 특수 입체 트러스|4</v>
      </c>
    </row>
    <row r="14" customFormat="false" ht="23.25" hidden="false" customHeight="true" outlineLevel="0" collapsed="false">
      <c r="A14" s="6" t="n">
        <v>555</v>
      </c>
      <c r="B14" s="6" t="s">
        <v>54</v>
      </c>
      <c r="C14" s="6" t="n">
        <v>1300</v>
      </c>
      <c r="D14" s="6" t="s">
        <v>314</v>
      </c>
      <c r="E14" s="6" t="s">
        <v>341</v>
      </c>
      <c r="F14" s="6"/>
      <c r="G14" s="7" t="s">
        <v>342</v>
      </c>
      <c r="H14" s="6" t="s">
        <v>11</v>
      </c>
      <c r="I14" s="52" t="n">
        <f aca="false">SUMPRODUCT((제작물량산출!$G$12:$L$12=E14)*(제작물량산출!$G$6:$L$6="공장")*제작물량산출!$G$10:$L$10)/1000</f>
        <v>0</v>
      </c>
      <c r="J14" s="6"/>
      <c r="K14" s="16" t="str">
        <f aca="false">"F01="&amp;L14&amp;",F02="&amp;M14&amp;",F03="&amp;N14&amp;",F04="&amp;O14&amp;",F06="&amp;P14&amp;",Q08="&amp;Q14&amp;",Q09="&amp;R14&amp;",C04="&amp;S14&amp;","</f>
        <v>F01=0.7,F02=0.2,F03=1.43,F04=0.36,F06=94.5,Q08=0,Q09=0,C04=0.1,</v>
      </c>
      <c r="L14" s="19" t="n">
        <v>0.7</v>
      </c>
      <c r="M14" s="19" t="n">
        <v>0.2</v>
      </c>
      <c r="N14" s="19" t="n">
        <v>1.43</v>
      </c>
      <c r="O14" s="19" t="n">
        <v>0.36</v>
      </c>
      <c r="P14" s="19" t="n">
        <v>94.5</v>
      </c>
      <c r="Q14" s="19" t="n">
        <v>0</v>
      </c>
      <c r="R14" s="19" t="n">
        <v>0</v>
      </c>
      <c r="S14" s="19" t="n">
        <v>0.1</v>
      </c>
      <c r="T14" s="42" t="s">
        <v>343</v>
      </c>
      <c r="U14" s="19" t="n">
        <v>1</v>
      </c>
      <c r="V14" s="16" t="str">
        <f aca="false">T14&amp;"|"&amp;U14</f>
        <v>대차 프레임류|1</v>
      </c>
    </row>
    <row r="15" customFormat="false" ht="23.25" hidden="false" customHeight="true" outlineLevel="0" collapsed="false">
      <c r="A15" s="6" t="n">
        <v>555</v>
      </c>
      <c r="B15" s="6" t="s">
        <v>54</v>
      </c>
      <c r="C15" s="6" t="n">
        <v>1400</v>
      </c>
      <c r="D15" s="6" t="s">
        <v>314</v>
      </c>
      <c r="E15" s="6" t="s">
        <v>344</v>
      </c>
      <c r="F15" s="6"/>
      <c r="G15" s="7" t="s">
        <v>345</v>
      </c>
      <c r="H15" s="6" t="s">
        <v>11</v>
      </c>
      <c r="I15" s="52" t="n">
        <f aca="false">SUMPRODUCT((제작물량산출!$G$12:$L$12=E15)*(제작물량산출!$G$6:$L$6="공장")*제작물량산출!$G$10:$L$10)/1000</f>
        <v>0</v>
      </c>
      <c r="J15" s="6"/>
      <c r="K15" s="16" t="str">
        <f aca="false">"F01="&amp;L15&amp;",F02="&amp;M15&amp;",F03="&amp;N15&amp;",F04="&amp;O15&amp;",F06="&amp;P15&amp;",Q08="&amp;Q15&amp;",Q09="&amp;R15&amp;",C04="&amp;S15&amp;","</f>
        <v>F01=0.5,F02=0.2,F03=1.43,F04=0.36,F06=94.5,Q08=0,Q09=0,C04=0.1,</v>
      </c>
      <c r="L15" s="19" t="n">
        <v>0.5</v>
      </c>
      <c r="M15" s="19" t="n">
        <v>0.2</v>
      </c>
      <c r="N15" s="19" t="n">
        <v>1.43</v>
      </c>
      <c r="O15" s="19" t="n">
        <v>0.36</v>
      </c>
      <c r="P15" s="19" t="n">
        <v>94.5</v>
      </c>
      <c r="Q15" s="19" t="n">
        <v>0</v>
      </c>
      <c r="R15" s="19" t="n">
        <v>0</v>
      </c>
      <c r="S15" s="19" t="n">
        <v>0.1</v>
      </c>
      <c r="T15" s="42" t="s">
        <v>343</v>
      </c>
      <c r="U15" s="19" t="n">
        <v>2</v>
      </c>
      <c r="V15" s="16" t="str">
        <f aca="false">T15&amp;"|"&amp;U15</f>
        <v>대차 프레임류|2</v>
      </c>
    </row>
    <row r="16" customFormat="false" ht="23.25" hidden="false" customHeight="true" outlineLevel="0" collapsed="false">
      <c r="A16" s="6" t="n">
        <v>555</v>
      </c>
      <c r="B16" s="6" t="s">
        <v>54</v>
      </c>
      <c r="C16" s="6" t="n">
        <v>1500</v>
      </c>
      <c r="D16" s="6" t="s">
        <v>314</v>
      </c>
      <c r="E16" s="6" t="s">
        <v>346</v>
      </c>
      <c r="F16" s="6"/>
      <c r="G16" s="7" t="s">
        <v>347</v>
      </c>
      <c r="H16" s="6" t="s">
        <v>11</v>
      </c>
      <c r="I16" s="52" t="n">
        <f aca="false">SUMPRODUCT((제작물량산출!$G$12:$L$12=E16)*(제작물량산출!$G$6:$L$6="공장")*제작물량산출!$G$10:$L$10)/1000</f>
        <v>0</v>
      </c>
      <c r="J16" s="6"/>
      <c r="K16" s="16" t="str">
        <f aca="false">"F01="&amp;L16&amp;",F02="&amp;M16&amp;",F03="&amp;N16&amp;",F04="&amp;O16&amp;",F06="&amp;P16&amp;",Q08="&amp;Q16&amp;",Q09="&amp;R16&amp;",C04="&amp;S16&amp;","</f>
        <v>F01=0.4,F02=0.2,F03=1.43,F04=0.36,F06=94.5,Q08=0,Q09=0,C04=0.1,</v>
      </c>
      <c r="L16" s="19" t="n">
        <v>0.4</v>
      </c>
      <c r="M16" s="19" t="n">
        <v>0.2</v>
      </c>
      <c r="N16" s="19" t="n">
        <v>1.43</v>
      </c>
      <c r="O16" s="19" t="n">
        <v>0.36</v>
      </c>
      <c r="P16" s="19" t="n">
        <v>94.5</v>
      </c>
      <c r="Q16" s="19" t="n">
        <v>0</v>
      </c>
      <c r="R16" s="19" t="n">
        <v>0</v>
      </c>
      <c r="S16" s="19" t="n">
        <v>0.1</v>
      </c>
      <c r="T16" s="42" t="s">
        <v>343</v>
      </c>
      <c r="U16" s="19" t="n">
        <v>3</v>
      </c>
      <c r="V16" s="16" t="str">
        <f aca="false">T16&amp;"|"&amp;U16</f>
        <v>대차 프레임류|3</v>
      </c>
    </row>
    <row r="17" customFormat="false" ht="23.25" hidden="false" customHeight="true" outlineLevel="0" collapsed="false">
      <c r="A17" s="6" t="n">
        <v>555</v>
      </c>
      <c r="B17" s="6" t="s">
        <v>54</v>
      </c>
      <c r="C17" s="6" t="n">
        <v>1600</v>
      </c>
      <c r="D17" s="6" t="s">
        <v>314</v>
      </c>
      <c r="E17" s="6" t="s">
        <v>348</v>
      </c>
      <c r="F17" s="6"/>
      <c r="G17" s="7" t="s">
        <v>349</v>
      </c>
      <c r="H17" s="6" t="s">
        <v>11</v>
      </c>
      <c r="I17" s="52" t="n">
        <f aca="false">SUMPRODUCT((제작물량산출!$G$12:$L$12=E17)*(제작물량산출!$G$6:$L$6="공장")*제작물량산출!$G$10:$L$10)/1000</f>
        <v>0</v>
      </c>
      <c r="J17" s="6"/>
      <c r="K17" s="16" t="str">
        <f aca="false">"F01="&amp;L17&amp;",F02="&amp;M17&amp;",F03="&amp;N17&amp;",F04="&amp;O17&amp;",F06="&amp;P17&amp;",Q08="&amp;Q17&amp;",Q09="&amp;R17&amp;",C04="&amp;S17&amp;","</f>
        <v>F01=0,F02=0.2,F03=1.43,F04=0.36,F06=94.5,Q08=0,Q09=0,C04=0.1,</v>
      </c>
      <c r="L17" s="19" t="n">
        <v>0</v>
      </c>
      <c r="M17" s="19" t="n">
        <v>0.2</v>
      </c>
      <c r="N17" s="19" t="n">
        <v>1.43</v>
      </c>
      <c r="O17" s="19" t="n">
        <v>0.36</v>
      </c>
      <c r="P17" s="19" t="n">
        <v>94.5</v>
      </c>
      <c r="Q17" s="19" t="n">
        <v>0</v>
      </c>
      <c r="R17" s="19" t="n">
        <v>0</v>
      </c>
      <c r="S17" s="19" t="n">
        <v>0.1</v>
      </c>
      <c r="T17" s="42" t="s">
        <v>343</v>
      </c>
      <c r="U17" s="19" t="n">
        <v>4</v>
      </c>
      <c r="V17" s="16" t="str">
        <f aca="false">T17&amp;"|"&amp;U17</f>
        <v>대차 프레임류|4</v>
      </c>
    </row>
    <row r="18" customFormat="false" ht="23.25" hidden="false" customHeight="true" outlineLevel="0" collapsed="false">
      <c r="A18" s="6" t="n">
        <v>555</v>
      </c>
      <c r="B18" s="6" t="s">
        <v>54</v>
      </c>
      <c r="C18" s="6" t="n">
        <v>1700</v>
      </c>
      <c r="D18" s="6" t="s">
        <v>314</v>
      </c>
      <c r="E18" s="6" t="s">
        <v>350</v>
      </c>
      <c r="F18" s="6"/>
      <c r="G18" s="7" t="s">
        <v>351</v>
      </c>
      <c r="H18" s="6" t="s">
        <v>11</v>
      </c>
      <c r="I18" s="52" t="n">
        <f aca="false">SUMPRODUCT((제작물량산출!$G$12:$L$12=E18)*(제작물량산출!$G$6:$L$6="공장")*제작물량산출!$G$10:$L$10)/1000</f>
        <v>0</v>
      </c>
      <c r="J18" s="6"/>
      <c r="K18" s="16" t="str">
        <f aca="false">"F01="&amp;L18&amp;",F02="&amp;M18&amp;",F03="&amp;N18&amp;",F04="&amp;O18&amp;",F06="&amp;P18&amp;",Q08="&amp;Q18&amp;",Q09="&amp;R18&amp;",C04="&amp;S18&amp;","</f>
        <v>F01=0.7,F02=0.05,F03=1.43,F04=0.36,F06=94.5,Q08=0,Q09=0,C04=0.1,</v>
      </c>
      <c r="L18" s="19" t="n">
        <v>0.7</v>
      </c>
      <c r="M18" s="19" t="n">
        <v>0.05</v>
      </c>
      <c r="N18" s="19" t="n">
        <v>1.43</v>
      </c>
      <c r="O18" s="19" t="n">
        <v>0.36</v>
      </c>
      <c r="P18" s="19" t="n">
        <v>94.5</v>
      </c>
      <c r="Q18" s="19" t="n">
        <v>0</v>
      </c>
      <c r="R18" s="19" t="n">
        <v>0</v>
      </c>
      <c r="S18" s="19" t="n">
        <v>0.1</v>
      </c>
      <c r="T18" s="42" t="s">
        <v>352</v>
      </c>
      <c r="U18" s="19" t="n">
        <v>1</v>
      </c>
      <c r="V18" s="16" t="str">
        <f aca="false">T18&amp;"|"&amp;U18</f>
        <v>모터베드류|1</v>
      </c>
    </row>
    <row r="19" customFormat="false" ht="23.25" hidden="false" customHeight="true" outlineLevel="0" collapsed="false">
      <c r="A19" s="6" t="n">
        <v>555</v>
      </c>
      <c r="B19" s="6" t="s">
        <v>54</v>
      </c>
      <c r="C19" s="6" t="n">
        <v>1800</v>
      </c>
      <c r="D19" s="6" t="s">
        <v>314</v>
      </c>
      <c r="E19" s="6" t="s">
        <v>353</v>
      </c>
      <c r="F19" s="6"/>
      <c r="G19" s="7" t="s">
        <v>354</v>
      </c>
      <c r="H19" s="6" t="s">
        <v>11</v>
      </c>
      <c r="I19" s="52" t="n">
        <f aca="false">SUMPRODUCT((제작물량산출!$G$12:$L$12=E19)*(제작물량산출!$G$6:$L$6="공장")*제작물량산출!$G$10:$L$10)/1000</f>
        <v>0</v>
      </c>
      <c r="J19" s="6"/>
      <c r="K19" s="16" t="str">
        <f aca="false">"F01="&amp;L19&amp;",F02="&amp;M19&amp;",F03="&amp;N19&amp;",F04="&amp;O19&amp;",F06="&amp;P19&amp;",Q08="&amp;Q19&amp;",Q09="&amp;R19&amp;",C04="&amp;S19&amp;","</f>
        <v>F01=0.5,F02=0.05,F03=1.43,F04=0.36,F06=94.5,Q08=0,Q09=0,C04=0.1,</v>
      </c>
      <c r="L19" s="19" t="n">
        <v>0.5</v>
      </c>
      <c r="M19" s="19" t="n">
        <v>0.05</v>
      </c>
      <c r="N19" s="19" t="n">
        <v>1.43</v>
      </c>
      <c r="O19" s="19" t="n">
        <v>0.36</v>
      </c>
      <c r="P19" s="19" t="n">
        <v>94.5</v>
      </c>
      <c r="Q19" s="19" t="n">
        <v>0</v>
      </c>
      <c r="R19" s="19" t="n">
        <v>0</v>
      </c>
      <c r="S19" s="19" t="n">
        <v>0.1</v>
      </c>
      <c r="T19" s="42" t="s">
        <v>352</v>
      </c>
      <c r="U19" s="19" t="n">
        <v>2</v>
      </c>
      <c r="V19" s="16" t="str">
        <f aca="false">T19&amp;"|"&amp;U19</f>
        <v>모터베드류|2</v>
      </c>
    </row>
    <row r="20" customFormat="false" ht="23.25" hidden="false" customHeight="true" outlineLevel="0" collapsed="false">
      <c r="A20" s="6" t="n">
        <v>555</v>
      </c>
      <c r="B20" s="6" t="s">
        <v>54</v>
      </c>
      <c r="C20" s="6" t="n">
        <v>1900</v>
      </c>
      <c r="D20" s="6" t="s">
        <v>314</v>
      </c>
      <c r="E20" s="6" t="s">
        <v>355</v>
      </c>
      <c r="F20" s="6"/>
      <c r="G20" s="7" t="s">
        <v>356</v>
      </c>
      <c r="H20" s="6" t="s">
        <v>11</v>
      </c>
      <c r="I20" s="52" t="n">
        <f aca="false">SUMPRODUCT((제작물량산출!$G$12:$L$12=E20)*(제작물량산출!$G$6:$L$6="공장")*제작물량산출!$G$10:$L$10)/1000</f>
        <v>0</v>
      </c>
      <c r="J20" s="6"/>
      <c r="K20" s="16" t="str">
        <f aca="false">"F01="&amp;L20&amp;",F02="&amp;M20&amp;",F03="&amp;N20&amp;",F04="&amp;O20&amp;",F06="&amp;P20&amp;",Q08="&amp;Q20&amp;",Q09="&amp;R20&amp;",C04="&amp;S20&amp;","</f>
        <v>F01=0.4,F02=0.05,F03=1.43,F04=0.36,F06=94.5,Q08=0,Q09=0,C04=0.1,</v>
      </c>
      <c r="L20" s="19" t="n">
        <v>0.4</v>
      </c>
      <c r="M20" s="19" t="n">
        <v>0.05</v>
      </c>
      <c r="N20" s="19" t="n">
        <v>1.43</v>
      </c>
      <c r="O20" s="19" t="n">
        <v>0.36</v>
      </c>
      <c r="P20" s="19" t="n">
        <v>94.5</v>
      </c>
      <c r="Q20" s="19" t="n">
        <v>0</v>
      </c>
      <c r="R20" s="19" t="n">
        <v>0</v>
      </c>
      <c r="S20" s="19" t="n">
        <v>0.1</v>
      </c>
      <c r="T20" s="42" t="s">
        <v>352</v>
      </c>
      <c r="U20" s="19" t="n">
        <v>3</v>
      </c>
      <c r="V20" s="16" t="str">
        <f aca="false">T20&amp;"|"&amp;U20</f>
        <v>모터베드류|3</v>
      </c>
    </row>
    <row r="21" customFormat="false" ht="23.25" hidden="false" customHeight="true" outlineLevel="0" collapsed="false">
      <c r="A21" s="6" t="n">
        <v>555</v>
      </c>
      <c r="B21" s="6" t="s">
        <v>54</v>
      </c>
      <c r="C21" s="6" t="n">
        <v>2000</v>
      </c>
      <c r="D21" s="6" t="s">
        <v>314</v>
      </c>
      <c r="E21" s="6" t="s">
        <v>357</v>
      </c>
      <c r="F21" s="6"/>
      <c r="G21" s="7" t="s">
        <v>358</v>
      </c>
      <c r="H21" s="6" t="s">
        <v>11</v>
      </c>
      <c r="I21" s="52" t="n">
        <f aca="false">SUMPRODUCT((제작물량산출!$G$12:$L$12=E21)*(제작물량산출!$G$6:$L$6="공장")*제작물량산출!$G$10:$L$10)/1000</f>
        <v>0</v>
      </c>
      <c r="J21" s="6"/>
      <c r="K21" s="16" t="str">
        <f aca="false">"F01="&amp;L21&amp;",F02="&amp;M21&amp;",F03="&amp;N21&amp;",F04="&amp;O21&amp;",F06="&amp;P21&amp;",Q08="&amp;Q21&amp;",Q09="&amp;R21&amp;",C04="&amp;S21&amp;","</f>
        <v>F01=0,F02=0.05,F03=1.43,F04=0.36,F06=94.5,Q08=0,Q09=0,C04=0.1,</v>
      </c>
      <c r="L21" s="19" t="n">
        <v>0</v>
      </c>
      <c r="M21" s="19" t="n">
        <v>0.05</v>
      </c>
      <c r="N21" s="19" t="n">
        <v>1.43</v>
      </c>
      <c r="O21" s="19" t="n">
        <v>0.36</v>
      </c>
      <c r="P21" s="19" t="n">
        <v>94.5</v>
      </c>
      <c r="Q21" s="19" t="n">
        <v>0</v>
      </c>
      <c r="R21" s="19" t="n">
        <v>0</v>
      </c>
      <c r="S21" s="19" t="n">
        <v>0.1</v>
      </c>
      <c r="T21" s="42" t="s">
        <v>352</v>
      </c>
      <c r="U21" s="19" t="n">
        <v>4</v>
      </c>
      <c r="V21" s="16" t="str">
        <f aca="false">T21&amp;"|"&amp;U21</f>
        <v>모터베드류|4</v>
      </c>
    </row>
    <row r="22" customFormat="false" ht="23.25" hidden="false" customHeight="true" outlineLevel="0" collapsed="false">
      <c r="A22" s="6" t="n">
        <v>555</v>
      </c>
      <c r="B22" s="6" t="s">
        <v>54</v>
      </c>
      <c r="C22" s="6" t="n">
        <v>2100</v>
      </c>
      <c r="D22" s="6" t="s">
        <v>314</v>
      </c>
      <c r="E22" s="6" t="s">
        <v>359</v>
      </c>
      <c r="F22" s="6"/>
      <c r="G22" s="7" t="s">
        <v>360</v>
      </c>
      <c r="H22" s="6" t="s">
        <v>11</v>
      </c>
      <c r="I22" s="52" t="n">
        <f aca="false">SUMPRODUCT((제작물량산출!$G$12:$L$12=E22)*(제작물량산출!$G$6:$L$6="공장")*제작물량산출!$G$10:$L$10)/1000</f>
        <v>0</v>
      </c>
      <c r="J22" s="6"/>
      <c r="K22" s="16" t="str">
        <f aca="false">"F01="&amp;L22&amp;",F02="&amp;M22&amp;",F03="&amp;N22&amp;",F04="&amp;O22&amp;",F06="&amp;P22&amp;",Q08="&amp;Q22&amp;",Q09="&amp;R22&amp;",C04="&amp;S22&amp;","</f>
        <v>F01=0.7,F02=0.35,F03=2.69,F04=0.7,F06=164.25,Q08=0,Q09=0,C04=0.1,</v>
      </c>
      <c r="L22" s="19" t="n">
        <v>0.7</v>
      </c>
      <c r="M22" s="19" t="n">
        <v>0.35</v>
      </c>
      <c r="N22" s="19" t="n">
        <v>2.69</v>
      </c>
      <c r="O22" s="19" t="n">
        <v>0.7</v>
      </c>
      <c r="P22" s="19" t="n">
        <v>164.25</v>
      </c>
      <c r="Q22" s="19" t="n">
        <v>0</v>
      </c>
      <c r="R22" s="19" t="n">
        <v>0</v>
      </c>
      <c r="S22" s="19" t="n">
        <v>0.1</v>
      </c>
      <c r="T22" s="42" t="s">
        <v>361</v>
      </c>
      <c r="U22" s="19" t="n">
        <v>1</v>
      </c>
      <c r="V22" s="16" t="str">
        <f aca="false">T22&amp;"|"&amp;U22</f>
        <v>각호퍼류|1</v>
      </c>
    </row>
    <row r="23" customFormat="false" ht="23.25" hidden="false" customHeight="true" outlineLevel="0" collapsed="false">
      <c r="A23" s="6" t="n">
        <v>555</v>
      </c>
      <c r="B23" s="6" t="s">
        <v>54</v>
      </c>
      <c r="C23" s="6" t="n">
        <v>2200</v>
      </c>
      <c r="D23" s="6" t="s">
        <v>314</v>
      </c>
      <c r="E23" s="6" t="s">
        <v>362</v>
      </c>
      <c r="F23" s="6"/>
      <c r="G23" s="7" t="s">
        <v>363</v>
      </c>
      <c r="H23" s="6" t="s">
        <v>11</v>
      </c>
      <c r="I23" s="52" t="n">
        <f aca="false">SUMPRODUCT((제작물량산출!$G$12:$L$12=E23)*(제작물량산출!$G$6:$L$6="공장")*제작물량산출!$G$10:$L$10)/1000</f>
        <v>0</v>
      </c>
      <c r="J23" s="6"/>
      <c r="K23" s="16" t="str">
        <f aca="false">"F01="&amp;L23&amp;",F02="&amp;M23&amp;",F03="&amp;N23&amp;",F04="&amp;O23&amp;",F06="&amp;P23&amp;",Q08="&amp;Q23&amp;",Q09="&amp;R23&amp;",C04="&amp;S23&amp;","</f>
        <v>F01=0.5,F02=0.35,F03=2.69,F04=0.7,F06=164.25,Q08=0,Q09=0,C04=0.1,</v>
      </c>
      <c r="L23" s="19" t="n">
        <v>0.5</v>
      </c>
      <c r="M23" s="19" t="n">
        <v>0.35</v>
      </c>
      <c r="N23" s="19" t="n">
        <v>2.69</v>
      </c>
      <c r="O23" s="19" t="n">
        <v>0.7</v>
      </c>
      <c r="P23" s="19" t="n">
        <v>164.25</v>
      </c>
      <c r="Q23" s="19" t="n">
        <v>0</v>
      </c>
      <c r="R23" s="19" t="n">
        <v>0</v>
      </c>
      <c r="S23" s="19" t="n">
        <v>0.1</v>
      </c>
      <c r="T23" s="42" t="s">
        <v>361</v>
      </c>
      <c r="U23" s="19" t="n">
        <v>2</v>
      </c>
      <c r="V23" s="16" t="str">
        <f aca="false">T23&amp;"|"&amp;U23</f>
        <v>각호퍼류|2</v>
      </c>
    </row>
    <row r="24" customFormat="false" ht="23.25" hidden="false" customHeight="true" outlineLevel="0" collapsed="false">
      <c r="A24" s="6" t="n">
        <v>555</v>
      </c>
      <c r="B24" s="6" t="s">
        <v>54</v>
      </c>
      <c r="C24" s="6" t="n">
        <v>2300</v>
      </c>
      <c r="D24" s="6" t="s">
        <v>314</v>
      </c>
      <c r="E24" s="6" t="s">
        <v>364</v>
      </c>
      <c r="F24" s="6"/>
      <c r="G24" s="7" t="s">
        <v>365</v>
      </c>
      <c r="H24" s="6" t="s">
        <v>11</v>
      </c>
      <c r="I24" s="52" t="n">
        <f aca="false">SUMPRODUCT((제작물량산출!$G$12:$L$12=E24)*(제작물량산출!$G$6:$L$6="공장")*제작물량산출!$G$10:$L$10)/1000</f>
        <v>0</v>
      </c>
      <c r="J24" s="6"/>
      <c r="K24" s="16" t="str">
        <f aca="false">"F01="&amp;L24&amp;",F02="&amp;M24&amp;",F03="&amp;N24&amp;",F04="&amp;O24&amp;",F06="&amp;P24&amp;",Q08="&amp;Q24&amp;",Q09="&amp;R24&amp;",C04="&amp;S24&amp;","</f>
        <v>F01=0.4,F02=0.35,F03=2.69,F04=0.7,F06=164.25,Q08=0,Q09=0,C04=0.1,</v>
      </c>
      <c r="L24" s="19" t="n">
        <v>0.4</v>
      </c>
      <c r="M24" s="19" t="n">
        <v>0.35</v>
      </c>
      <c r="N24" s="19" t="n">
        <v>2.69</v>
      </c>
      <c r="O24" s="19" t="n">
        <v>0.7</v>
      </c>
      <c r="P24" s="19" t="n">
        <v>164.25</v>
      </c>
      <c r="Q24" s="19" t="n">
        <v>0</v>
      </c>
      <c r="R24" s="19" t="n">
        <v>0</v>
      </c>
      <c r="S24" s="19" t="n">
        <v>0.1</v>
      </c>
      <c r="T24" s="42" t="s">
        <v>361</v>
      </c>
      <c r="U24" s="19" t="n">
        <v>3</v>
      </c>
      <c r="V24" s="16" t="str">
        <f aca="false">T24&amp;"|"&amp;U24</f>
        <v>각호퍼류|3</v>
      </c>
    </row>
    <row r="25" customFormat="false" ht="23.25" hidden="false" customHeight="true" outlineLevel="0" collapsed="false">
      <c r="A25" s="6" t="n">
        <v>555</v>
      </c>
      <c r="B25" s="6" t="s">
        <v>54</v>
      </c>
      <c r="C25" s="6" t="n">
        <v>2400</v>
      </c>
      <c r="D25" s="6" t="s">
        <v>314</v>
      </c>
      <c r="E25" s="6" t="s">
        <v>366</v>
      </c>
      <c r="F25" s="6"/>
      <c r="G25" s="7" t="s">
        <v>367</v>
      </c>
      <c r="H25" s="6" t="s">
        <v>11</v>
      </c>
      <c r="I25" s="52" t="n">
        <f aca="false">SUMPRODUCT((제작물량산출!$G$12:$L$12=E25)*(제작물량산출!$G$6:$L$6="공장")*제작물량산출!$G$10:$L$10)/1000</f>
        <v>0</v>
      </c>
      <c r="J25" s="6"/>
      <c r="K25" s="16" t="str">
        <f aca="false">"F01="&amp;L25&amp;",F02="&amp;M25&amp;",F03="&amp;N25&amp;",F04="&amp;O25&amp;",F06="&amp;P25&amp;",Q08="&amp;Q25&amp;",Q09="&amp;R25&amp;",C04="&amp;S25&amp;","</f>
        <v>F01=0,F02=0.35,F03=2.69,F04=0.7,F06=164.25,Q08=0,Q09=0,C04=0.1,</v>
      </c>
      <c r="L25" s="19" t="n">
        <v>0</v>
      </c>
      <c r="M25" s="19" t="n">
        <v>0.35</v>
      </c>
      <c r="N25" s="19" t="n">
        <v>2.69</v>
      </c>
      <c r="O25" s="19" t="n">
        <v>0.7</v>
      </c>
      <c r="P25" s="19" t="n">
        <v>164.25</v>
      </c>
      <c r="Q25" s="19" t="n">
        <v>0</v>
      </c>
      <c r="R25" s="19" t="n">
        <v>0</v>
      </c>
      <c r="S25" s="19" t="n">
        <v>0.1</v>
      </c>
      <c r="T25" s="42" t="s">
        <v>361</v>
      </c>
      <c r="U25" s="19" t="n">
        <v>4</v>
      </c>
      <c r="V25" s="16" t="str">
        <f aca="false">T25&amp;"|"&amp;U25</f>
        <v>각호퍼류|4</v>
      </c>
    </row>
    <row r="26" customFormat="false" ht="23.25" hidden="false" customHeight="true" outlineLevel="0" collapsed="false">
      <c r="A26" s="6" t="n">
        <v>555</v>
      </c>
      <c r="B26" s="6" t="s">
        <v>54</v>
      </c>
      <c r="C26" s="6" t="n">
        <v>2500</v>
      </c>
      <c r="D26" s="6" t="s">
        <v>314</v>
      </c>
      <c r="E26" s="6" t="s">
        <v>368</v>
      </c>
      <c r="F26" s="6"/>
      <c r="G26" s="7" t="s">
        <v>369</v>
      </c>
      <c r="H26" s="6" t="s">
        <v>11</v>
      </c>
      <c r="I26" s="52" t="n">
        <f aca="false">SUMPRODUCT((제작물량산출!$G$12:$L$12=E26)*(제작물량산출!$G$6:$L$6="공장")*제작물량산출!$G$10:$L$10)/1000</f>
        <v>0</v>
      </c>
      <c r="J26" s="6"/>
      <c r="K26" s="16" t="str">
        <f aca="false">"F01="&amp;L26&amp;",F02="&amp;M26&amp;",F03="&amp;N26&amp;",F04="&amp;O26&amp;",F06="&amp;P26&amp;",Q08="&amp;Q26&amp;",Q09="&amp;R26&amp;",C04="&amp;S26&amp;","</f>
        <v>F01=0.7,F02=0.25,F03=3.08,F04=0.87,F06=191.25,Q08=0,Q09=0,C04=0.1,</v>
      </c>
      <c r="L26" s="19" t="n">
        <v>0.7</v>
      </c>
      <c r="M26" s="19" t="n">
        <v>0.25</v>
      </c>
      <c r="N26" s="19" t="n">
        <v>3.08</v>
      </c>
      <c r="O26" s="19" t="n">
        <v>0.87</v>
      </c>
      <c r="P26" s="19" t="n">
        <v>191.25</v>
      </c>
      <c r="Q26" s="19" t="n">
        <v>0</v>
      </c>
      <c r="R26" s="19" t="n">
        <v>0</v>
      </c>
      <c r="S26" s="19" t="n">
        <v>0.1</v>
      </c>
      <c r="T26" s="42" t="s">
        <v>370</v>
      </c>
      <c r="U26" s="19" t="n">
        <v>1</v>
      </c>
      <c r="V26" s="16" t="str">
        <f aca="false">T26&amp;"|"&amp;U26</f>
        <v>각 탱크류|1</v>
      </c>
    </row>
    <row r="27" customFormat="false" ht="23.25" hidden="false" customHeight="true" outlineLevel="0" collapsed="false">
      <c r="A27" s="6" t="n">
        <v>555</v>
      </c>
      <c r="B27" s="6" t="s">
        <v>54</v>
      </c>
      <c r="C27" s="6" t="n">
        <v>2600</v>
      </c>
      <c r="D27" s="6" t="s">
        <v>314</v>
      </c>
      <c r="E27" s="6" t="s">
        <v>371</v>
      </c>
      <c r="F27" s="6"/>
      <c r="G27" s="7" t="s">
        <v>372</v>
      </c>
      <c r="H27" s="6" t="s">
        <v>11</v>
      </c>
      <c r="I27" s="52" t="n">
        <f aca="false">SUMPRODUCT((제작물량산출!$G$12:$L$12=E27)*(제작물량산출!$G$6:$L$6="공장")*제작물량산출!$G$10:$L$10)/1000</f>
        <v>0</v>
      </c>
      <c r="J27" s="6"/>
      <c r="K27" s="16" t="str">
        <f aca="false">"F01="&amp;L27&amp;",F02="&amp;M27&amp;",F03="&amp;N27&amp;",F04="&amp;O27&amp;",F06="&amp;P27&amp;",Q08="&amp;Q27&amp;",Q09="&amp;R27&amp;",C04="&amp;S27&amp;","</f>
        <v>F01=0.5,F02=0.25,F03=3.08,F04=0.87,F06=191.25,Q08=0,Q09=0,C04=0.1,</v>
      </c>
      <c r="L27" s="19" t="n">
        <v>0.5</v>
      </c>
      <c r="M27" s="19" t="n">
        <v>0.25</v>
      </c>
      <c r="N27" s="19" t="n">
        <v>3.08</v>
      </c>
      <c r="O27" s="19" t="n">
        <v>0.87</v>
      </c>
      <c r="P27" s="19" t="n">
        <v>191.25</v>
      </c>
      <c r="Q27" s="19" t="n">
        <v>0</v>
      </c>
      <c r="R27" s="19" t="n">
        <v>0</v>
      </c>
      <c r="S27" s="19" t="n">
        <v>0.1</v>
      </c>
      <c r="T27" s="42" t="s">
        <v>370</v>
      </c>
      <c r="U27" s="19" t="n">
        <v>2</v>
      </c>
      <c r="V27" s="16" t="str">
        <f aca="false">T27&amp;"|"&amp;U27</f>
        <v>각 탱크류|2</v>
      </c>
    </row>
    <row r="28" customFormat="false" ht="23.25" hidden="false" customHeight="true" outlineLevel="0" collapsed="false">
      <c r="A28" s="6" t="n">
        <v>555</v>
      </c>
      <c r="B28" s="6" t="s">
        <v>54</v>
      </c>
      <c r="C28" s="6" t="n">
        <v>2700</v>
      </c>
      <c r="D28" s="6" t="s">
        <v>314</v>
      </c>
      <c r="E28" s="6" t="s">
        <v>373</v>
      </c>
      <c r="F28" s="6"/>
      <c r="G28" s="7" t="s">
        <v>374</v>
      </c>
      <c r="H28" s="6" t="s">
        <v>11</v>
      </c>
      <c r="I28" s="52" t="n">
        <f aca="false">SUMPRODUCT((제작물량산출!$G$12:$L$12=E28)*(제작물량산출!$G$6:$L$6="공장")*제작물량산출!$G$10:$L$10)/1000</f>
        <v>0</v>
      </c>
      <c r="J28" s="6"/>
      <c r="K28" s="16" t="str">
        <f aca="false">"F01="&amp;L28&amp;",F02="&amp;M28&amp;",F03="&amp;N28&amp;",F04="&amp;O28&amp;",F06="&amp;P28&amp;",Q08="&amp;Q28&amp;",Q09="&amp;R28&amp;",C04="&amp;S28&amp;","</f>
        <v>F01=0.4,F02=0.25,F03=3.08,F04=0.87,F06=191.25,Q08=0,Q09=0,C04=0.1,</v>
      </c>
      <c r="L28" s="19" t="n">
        <v>0.4</v>
      </c>
      <c r="M28" s="19" t="n">
        <v>0.25</v>
      </c>
      <c r="N28" s="19" t="n">
        <v>3.08</v>
      </c>
      <c r="O28" s="19" t="n">
        <v>0.87</v>
      </c>
      <c r="P28" s="19" t="n">
        <v>191.25</v>
      </c>
      <c r="Q28" s="19" t="n">
        <v>0</v>
      </c>
      <c r="R28" s="19" t="n">
        <v>0</v>
      </c>
      <c r="S28" s="19" t="n">
        <v>0.1</v>
      </c>
      <c r="T28" s="42" t="s">
        <v>370</v>
      </c>
      <c r="U28" s="19" t="n">
        <v>3</v>
      </c>
      <c r="V28" s="16" t="str">
        <f aca="false">T28&amp;"|"&amp;U28</f>
        <v>각 탱크류|3</v>
      </c>
    </row>
    <row r="29" customFormat="false" ht="23.25" hidden="false" customHeight="true" outlineLevel="0" collapsed="false">
      <c r="A29" s="6" t="n">
        <v>555</v>
      </c>
      <c r="B29" s="6" t="s">
        <v>54</v>
      </c>
      <c r="C29" s="6" t="n">
        <v>2800</v>
      </c>
      <c r="D29" s="6" t="s">
        <v>314</v>
      </c>
      <c r="E29" s="6" t="s">
        <v>375</v>
      </c>
      <c r="F29" s="6"/>
      <c r="G29" s="7" t="s">
        <v>376</v>
      </c>
      <c r="H29" s="6" t="s">
        <v>11</v>
      </c>
      <c r="I29" s="52" t="n">
        <f aca="false">SUMPRODUCT((제작물량산출!$G$12:$L$12=E29)*(제작물량산출!$G$6:$L$6="공장")*제작물량산출!$G$10:$L$10)/1000</f>
        <v>0</v>
      </c>
      <c r="J29" s="6"/>
      <c r="K29" s="16" t="str">
        <f aca="false">"F01="&amp;L29&amp;",F02="&amp;M29&amp;",F03="&amp;N29&amp;",F04="&amp;O29&amp;",F06="&amp;P29&amp;",Q08="&amp;Q29&amp;",Q09="&amp;R29&amp;",C04="&amp;S29&amp;","</f>
        <v>F01=0,F02=0.25,F03=3.08,F04=0.87,F06=191.25,Q08=0,Q09=0,C04=0.1,</v>
      </c>
      <c r="L29" s="19" t="n">
        <v>0</v>
      </c>
      <c r="M29" s="19" t="n">
        <v>0.25</v>
      </c>
      <c r="N29" s="19" t="n">
        <v>3.08</v>
      </c>
      <c r="O29" s="19" t="n">
        <v>0.87</v>
      </c>
      <c r="P29" s="19" t="n">
        <v>191.25</v>
      </c>
      <c r="Q29" s="19" t="n">
        <v>0</v>
      </c>
      <c r="R29" s="19" t="n">
        <v>0</v>
      </c>
      <c r="S29" s="19" t="n">
        <v>0.1</v>
      </c>
      <c r="T29" s="42" t="s">
        <v>370</v>
      </c>
      <c r="U29" s="19" t="n">
        <v>4</v>
      </c>
      <c r="V29" s="16" t="str">
        <f aca="false">T29&amp;"|"&amp;U29</f>
        <v>각 탱크류|4</v>
      </c>
    </row>
    <row r="30" customFormat="false" ht="23.25" hidden="false" customHeight="true" outlineLevel="0" collapsed="false">
      <c r="A30" s="6" t="n">
        <v>555</v>
      </c>
      <c r="B30" s="6" t="s">
        <v>54</v>
      </c>
      <c r="C30" s="6" t="n">
        <v>2900</v>
      </c>
      <c r="D30" s="6" t="s">
        <v>314</v>
      </c>
      <c r="E30" s="6" t="s">
        <v>377</v>
      </c>
      <c r="F30" s="6"/>
      <c r="G30" s="7" t="s">
        <v>378</v>
      </c>
      <c r="H30" s="6" t="s">
        <v>11</v>
      </c>
      <c r="I30" s="52" t="n">
        <f aca="false">SUMPRODUCT((제작물량산출!$G$12:$L$12=E30)*(제작물량산출!$G$6:$L$6="공장")*제작물량산출!$G$10:$L$10)/1000</f>
        <v>0</v>
      </c>
      <c r="J30" s="6"/>
      <c r="K30" s="16" t="str">
        <f aca="false">"F01="&amp;L30&amp;",F02="&amp;M30&amp;",F03="&amp;N30&amp;",F04="&amp;O30&amp;",F06="&amp;P30&amp;",Q08="&amp;Q30&amp;",Q09="&amp;R30&amp;",C04="&amp;S30&amp;","</f>
        <v>F01=0.7,F02=0.55,F03=3.74,F04=1.04,F06=198,Q08=0,Q09=0,C04=0.1,</v>
      </c>
      <c r="L30" s="19" t="n">
        <v>0.7</v>
      </c>
      <c r="M30" s="19" t="n">
        <v>0.55</v>
      </c>
      <c r="N30" s="19" t="n">
        <v>3.74</v>
      </c>
      <c r="O30" s="19" t="n">
        <v>1.04</v>
      </c>
      <c r="P30" s="19" t="n">
        <v>198</v>
      </c>
      <c r="Q30" s="19" t="n">
        <v>0</v>
      </c>
      <c r="R30" s="19" t="n">
        <v>0</v>
      </c>
      <c r="S30" s="19" t="n">
        <v>0.1</v>
      </c>
      <c r="T30" s="42" t="s">
        <v>379</v>
      </c>
      <c r="U30" s="19" t="n">
        <v>1</v>
      </c>
      <c r="V30" s="16" t="str">
        <f aca="false">T30&amp;"|"&amp;U30</f>
        <v>환 호퍼류|1</v>
      </c>
    </row>
    <row r="31" customFormat="false" ht="23.25" hidden="false" customHeight="true" outlineLevel="0" collapsed="false">
      <c r="A31" s="6" t="n">
        <v>555</v>
      </c>
      <c r="B31" s="6" t="s">
        <v>54</v>
      </c>
      <c r="C31" s="6" t="n">
        <v>3000</v>
      </c>
      <c r="D31" s="6" t="s">
        <v>314</v>
      </c>
      <c r="E31" s="6" t="s">
        <v>380</v>
      </c>
      <c r="F31" s="6"/>
      <c r="G31" s="7" t="s">
        <v>381</v>
      </c>
      <c r="H31" s="6" t="s">
        <v>11</v>
      </c>
      <c r="I31" s="52" t="n">
        <f aca="false">SUMPRODUCT((제작물량산출!$G$12:$L$12=E31)*(제작물량산출!$G$6:$L$6="공장")*제작물량산출!$G$10:$L$10)/1000</f>
        <v>0</v>
      </c>
      <c r="J31" s="6"/>
      <c r="K31" s="16" t="str">
        <f aca="false">"F01="&amp;L31&amp;",F02="&amp;M31&amp;",F03="&amp;N31&amp;",F04="&amp;O31&amp;",F06="&amp;P31&amp;",Q08="&amp;Q31&amp;",Q09="&amp;R31&amp;",C04="&amp;S31&amp;","</f>
        <v>F01=0.5,F02=0.55,F03=3.74,F04=1.04,F06=198,Q08=0,Q09=0,C04=0.1,</v>
      </c>
      <c r="L31" s="19" t="n">
        <v>0.5</v>
      </c>
      <c r="M31" s="19" t="n">
        <v>0.55</v>
      </c>
      <c r="N31" s="19" t="n">
        <v>3.74</v>
      </c>
      <c r="O31" s="19" t="n">
        <v>1.04</v>
      </c>
      <c r="P31" s="19" t="n">
        <v>198</v>
      </c>
      <c r="Q31" s="19" t="n">
        <v>0</v>
      </c>
      <c r="R31" s="19" t="n">
        <v>0</v>
      </c>
      <c r="S31" s="19" t="n">
        <v>0.1</v>
      </c>
      <c r="T31" s="42" t="s">
        <v>379</v>
      </c>
      <c r="U31" s="19" t="n">
        <v>2</v>
      </c>
      <c r="V31" s="16" t="str">
        <f aca="false">T31&amp;"|"&amp;U31</f>
        <v>환 호퍼류|2</v>
      </c>
    </row>
    <row r="32" customFormat="false" ht="23.25" hidden="false" customHeight="true" outlineLevel="0" collapsed="false">
      <c r="A32" s="6" t="n">
        <v>555</v>
      </c>
      <c r="B32" s="6" t="s">
        <v>54</v>
      </c>
      <c r="C32" s="6" t="n">
        <v>3100</v>
      </c>
      <c r="D32" s="6" t="s">
        <v>314</v>
      </c>
      <c r="E32" s="6" t="s">
        <v>382</v>
      </c>
      <c r="F32" s="6"/>
      <c r="G32" s="7" t="s">
        <v>383</v>
      </c>
      <c r="H32" s="6" t="s">
        <v>11</v>
      </c>
      <c r="I32" s="52" t="n">
        <f aca="false">SUMPRODUCT((제작물량산출!$G$12:$L$12=E32)*(제작물량산출!$G$6:$L$6="공장")*제작물량산출!$G$10:$L$10)/1000</f>
        <v>0</v>
      </c>
      <c r="J32" s="6"/>
      <c r="K32" s="16" t="str">
        <f aca="false">"F01="&amp;L32&amp;",F02="&amp;M32&amp;",F03="&amp;N32&amp;",F04="&amp;O32&amp;",F06="&amp;P32&amp;",Q08="&amp;Q32&amp;",Q09="&amp;R32&amp;",C04="&amp;S32&amp;","</f>
        <v>F01=0.4,F02=0.55,F03=3.74,F04=1.04,F06=198,Q08=0,Q09=0,C04=0.1,</v>
      </c>
      <c r="L32" s="19" t="n">
        <v>0.4</v>
      </c>
      <c r="M32" s="19" t="n">
        <v>0.55</v>
      </c>
      <c r="N32" s="19" t="n">
        <v>3.74</v>
      </c>
      <c r="O32" s="19" t="n">
        <v>1.04</v>
      </c>
      <c r="P32" s="19" t="n">
        <v>198</v>
      </c>
      <c r="Q32" s="19" t="n">
        <v>0</v>
      </c>
      <c r="R32" s="19" t="n">
        <v>0</v>
      </c>
      <c r="S32" s="19" t="n">
        <v>0.1</v>
      </c>
      <c r="T32" s="42" t="s">
        <v>379</v>
      </c>
      <c r="U32" s="19" t="n">
        <v>3</v>
      </c>
      <c r="V32" s="16" t="str">
        <f aca="false">T32&amp;"|"&amp;U32</f>
        <v>환 호퍼류|3</v>
      </c>
    </row>
    <row r="33" customFormat="false" ht="23.25" hidden="false" customHeight="true" outlineLevel="0" collapsed="false">
      <c r="A33" s="6" t="n">
        <v>555</v>
      </c>
      <c r="B33" s="6" t="s">
        <v>54</v>
      </c>
      <c r="C33" s="6" t="n">
        <v>3200</v>
      </c>
      <c r="D33" s="6" t="s">
        <v>314</v>
      </c>
      <c r="E33" s="6" t="s">
        <v>384</v>
      </c>
      <c r="F33" s="6"/>
      <c r="G33" s="7" t="s">
        <v>385</v>
      </c>
      <c r="H33" s="6" t="s">
        <v>11</v>
      </c>
      <c r="I33" s="52" t="n">
        <f aca="false">SUMPRODUCT((제작물량산출!$G$12:$L$12=E33)*(제작물량산출!$G$6:$L$6="공장")*제작물량산출!$G$10:$L$10)/1000</f>
        <v>0</v>
      </c>
      <c r="J33" s="6"/>
      <c r="K33" s="16" t="str">
        <f aca="false">"F01="&amp;L33&amp;",F02="&amp;M33&amp;",F03="&amp;N33&amp;",F04="&amp;O33&amp;",F06="&amp;P33&amp;",Q08="&amp;Q33&amp;",Q09="&amp;R33&amp;",C04="&amp;S33&amp;","</f>
        <v>F01=0,F02=0.55,F03=3.74,F04=1.04,F06=198,Q08=0,Q09=0,C04=0.1,</v>
      </c>
      <c r="L33" s="19" t="n">
        <v>0</v>
      </c>
      <c r="M33" s="19" t="n">
        <v>0.55</v>
      </c>
      <c r="N33" s="19" t="n">
        <v>3.74</v>
      </c>
      <c r="O33" s="19" t="n">
        <v>1.04</v>
      </c>
      <c r="P33" s="19" t="n">
        <v>198</v>
      </c>
      <c r="Q33" s="19" t="n">
        <v>0</v>
      </c>
      <c r="R33" s="19" t="n">
        <v>0</v>
      </c>
      <c r="S33" s="19" t="n">
        <v>0.1</v>
      </c>
      <c r="T33" s="42" t="s">
        <v>379</v>
      </c>
      <c r="U33" s="19" t="n">
        <v>4</v>
      </c>
      <c r="V33" s="16" t="str">
        <f aca="false">T33&amp;"|"&amp;U33</f>
        <v>환 호퍼류|4</v>
      </c>
    </row>
    <row r="34" customFormat="false" ht="23.25" hidden="false" customHeight="true" outlineLevel="0" collapsed="false">
      <c r="A34" s="6" t="n">
        <v>555</v>
      </c>
      <c r="B34" s="6" t="s">
        <v>54</v>
      </c>
      <c r="C34" s="6" t="n">
        <v>3300</v>
      </c>
      <c r="D34" s="6" t="s">
        <v>314</v>
      </c>
      <c r="E34" s="6" t="s">
        <v>386</v>
      </c>
      <c r="F34" s="6"/>
      <c r="G34" s="7" t="s">
        <v>387</v>
      </c>
      <c r="H34" s="6" t="s">
        <v>11</v>
      </c>
      <c r="I34" s="52" t="n">
        <f aca="false">SUMPRODUCT((제작물량산출!$G$12:$L$12=E34)*(제작물량산출!$G$6:$L$6="공장")*제작물량산출!$G$10:$L$10)/1000</f>
        <v>0</v>
      </c>
      <c r="J34" s="6"/>
      <c r="K34" s="16" t="str">
        <f aca="false">"F01="&amp;L34&amp;",F02="&amp;M34&amp;",F03="&amp;N34&amp;",F04="&amp;O34&amp;",F06="&amp;P34&amp;",Q08="&amp;Q34&amp;",Q09="&amp;R34&amp;",C04="&amp;S34&amp;","</f>
        <v>F01=0.7,F02=0.1,F03=2.1,F04=0.52,F06=132.75,Q08=0,Q09=0,C04=0.1,</v>
      </c>
      <c r="L34" s="19" t="n">
        <v>0.7</v>
      </c>
      <c r="M34" s="19" t="n">
        <v>0.1</v>
      </c>
      <c r="N34" s="19" t="n">
        <v>2.1</v>
      </c>
      <c r="O34" s="19" t="n">
        <v>0.52</v>
      </c>
      <c r="P34" s="19" t="n">
        <v>132.75</v>
      </c>
      <c r="Q34" s="19" t="n">
        <v>0</v>
      </c>
      <c r="R34" s="19" t="n">
        <v>0</v>
      </c>
      <c r="S34" s="19" t="n">
        <v>0.1</v>
      </c>
      <c r="T34" s="42" t="s">
        <v>388</v>
      </c>
      <c r="U34" s="19" t="n">
        <v>1</v>
      </c>
      <c r="V34" s="16" t="str">
        <f aca="false">T34&amp;"|"&amp;U34</f>
        <v>각 슈트류|1</v>
      </c>
    </row>
    <row r="35" customFormat="false" ht="23.25" hidden="false" customHeight="true" outlineLevel="0" collapsed="false">
      <c r="A35" s="6" t="n">
        <v>555</v>
      </c>
      <c r="B35" s="6" t="s">
        <v>54</v>
      </c>
      <c r="C35" s="6" t="n">
        <v>3400</v>
      </c>
      <c r="D35" s="6" t="s">
        <v>314</v>
      </c>
      <c r="E35" s="6" t="s">
        <v>389</v>
      </c>
      <c r="F35" s="6"/>
      <c r="G35" s="7" t="s">
        <v>390</v>
      </c>
      <c r="H35" s="6" t="s">
        <v>11</v>
      </c>
      <c r="I35" s="52" t="n">
        <f aca="false">SUMPRODUCT((제작물량산출!$G$12:$L$12=E35)*(제작물량산출!$G$6:$L$6="공장")*제작물량산출!$G$10:$L$10)/1000</f>
        <v>0</v>
      </c>
      <c r="J35" s="6"/>
      <c r="K35" s="16" t="str">
        <f aca="false">"F01="&amp;L35&amp;",F02="&amp;M35&amp;",F03="&amp;N35&amp;",F04="&amp;O35&amp;",F06="&amp;P35&amp;",Q08="&amp;Q35&amp;",Q09="&amp;R35&amp;",C04="&amp;S35&amp;","</f>
        <v>F01=0.5,F02=0.1,F03=2.1,F04=0.52,F06=132.75,Q08=0,Q09=0,C04=0.1,</v>
      </c>
      <c r="L35" s="19" t="n">
        <v>0.5</v>
      </c>
      <c r="M35" s="19" t="n">
        <v>0.1</v>
      </c>
      <c r="N35" s="19" t="n">
        <v>2.1</v>
      </c>
      <c r="O35" s="19" t="n">
        <v>0.52</v>
      </c>
      <c r="P35" s="19" t="n">
        <v>132.75</v>
      </c>
      <c r="Q35" s="19" t="n">
        <v>0</v>
      </c>
      <c r="R35" s="19" t="n">
        <v>0</v>
      </c>
      <c r="S35" s="19" t="n">
        <v>0.1</v>
      </c>
      <c r="T35" s="42" t="s">
        <v>388</v>
      </c>
      <c r="U35" s="19" t="n">
        <v>2</v>
      </c>
      <c r="V35" s="16" t="str">
        <f aca="false">T35&amp;"|"&amp;U35</f>
        <v>각 슈트류|2</v>
      </c>
    </row>
    <row r="36" customFormat="false" ht="23.25" hidden="false" customHeight="true" outlineLevel="0" collapsed="false">
      <c r="A36" s="6" t="n">
        <v>555</v>
      </c>
      <c r="B36" s="6" t="s">
        <v>54</v>
      </c>
      <c r="C36" s="6" t="n">
        <v>3500</v>
      </c>
      <c r="D36" s="6" t="s">
        <v>314</v>
      </c>
      <c r="E36" s="6" t="s">
        <v>391</v>
      </c>
      <c r="F36" s="6"/>
      <c r="G36" s="7" t="s">
        <v>392</v>
      </c>
      <c r="H36" s="6" t="s">
        <v>11</v>
      </c>
      <c r="I36" s="52" t="n">
        <f aca="false">SUMPRODUCT((제작물량산출!$G$12:$L$12=E36)*(제작물량산출!$G$6:$L$6="공장")*제작물량산출!$G$10:$L$10)/1000</f>
        <v>0</v>
      </c>
      <c r="J36" s="6"/>
      <c r="K36" s="16" t="str">
        <f aca="false">"F01="&amp;L36&amp;",F02="&amp;M36&amp;",F03="&amp;N36&amp;",F04="&amp;O36&amp;",F06="&amp;P36&amp;",Q08="&amp;Q36&amp;",Q09="&amp;R36&amp;",C04="&amp;S36&amp;","</f>
        <v>F01=0.4,F02=0.1,F03=2.1,F04=0.52,F06=132.75,Q08=0,Q09=0,C04=0.1,</v>
      </c>
      <c r="L36" s="19" t="n">
        <v>0.4</v>
      </c>
      <c r="M36" s="19" t="n">
        <v>0.1</v>
      </c>
      <c r="N36" s="19" t="n">
        <v>2.1</v>
      </c>
      <c r="O36" s="19" t="n">
        <v>0.52</v>
      </c>
      <c r="P36" s="19" t="n">
        <v>132.75</v>
      </c>
      <c r="Q36" s="19" t="n">
        <v>0</v>
      </c>
      <c r="R36" s="19" t="n">
        <v>0</v>
      </c>
      <c r="S36" s="19" t="n">
        <v>0.1</v>
      </c>
      <c r="T36" s="42" t="s">
        <v>388</v>
      </c>
      <c r="U36" s="19" t="n">
        <v>3</v>
      </c>
      <c r="V36" s="16" t="str">
        <f aca="false">T36&amp;"|"&amp;U36</f>
        <v>각 슈트류|3</v>
      </c>
    </row>
    <row r="37" customFormat="false" ht="23.25" hidden="false" customHeight="true" outlineLevel="0" collapsed="false">
      <c r="A37" s="6" t="n">
        <v>555</v>
      </c>
      <c r="B37" s="6" t="s">
        <v>54</v>
      </c>
      <c r="C37" s="6" t="n">
        <v>3600</v>
      </c>
      <c r="D37" s="6" t="s">
        <v>314</v>
      </c>
      <c r="E37" s="6" t="s">
        <v>393</v>
      </c>
      <c r="F37" s="6"/>
      <c r="G37" s="7" t="s">
        <v>394</v>
      </c>
      <c r="H37" s="6" t="s">
        <v>11</v>
      </c>
      <c r="I37" s="52" t="n">
        <f aca="false">SUMPRODUCT((제작물량산출!$G$12:$L$12=E37)*(제작물량산출!$G$6:$L$6="공장")*제작물량산출!$G$10:$L$10)/1000</f>
        <v>0</v>
      </c>
      <c r="J37" s="6"/>
      <c r="K37" s="16" t="str">
        <f aca="false">"F01="&amp;L37&amp;",F02="&amp;M37&amp;",F03="&amp;N37&amp;",F04="&amp;O37&amp;",F06="&amp;P37&amp;",Q08="&amp;Q37&amp;",Q09="&amp;R37&amp;",C04="&amp;S37&amp;","</f>
        <v>F01=0,F02=0.1,F03=2.1,F04=0.52,F06=132.75,Q08=0,Q09=0,C04=0.1,</v>
      </c>
      <c r="L37" s="19" t="n">
        <v>0</v>
      </c>
      <c r="M37" s="19" t="n">
        <v>0.1</v>
      </c>
      <c r="N37" s="19" t="n">
        <v>2.1</v>
      </c>
      <c r="O37" s="19" t="n">
        <v>0.52</v>
      </c>
      <c r="P37" s="19" t="n">
        <v>132.75</v>
      </c>
      <c r="Q37" s="19" t="n">
        <v>0</v>
      </c>
      <c r="R37" s="19" t="n">
        <v>0</v>
      </c>
      <c r="S37" s="19" t="n">
        <v>0.1</v>
      </c>
      <c r="T37" s="42" t="s">
        <v>388</v>
      </c>
      <c r="U37" s="19" t="n">
        <v>4</v>
      </c>
      <c r="V37" s="16" t="str">
        <f aca="false">T37&amp;"|"&amp;U37</f>
        <v>각 슈트류|4</v>
      </c>
    </row>
    <row r="38" customFormat="false" ht="23.25" hidden="false" customHeight="true" outlineLevel="0" collapsed="false">
      <c r="A38" s="6" t="n">
        <v>555</v>
      </c>
      <c r="B38" s="6" t="s">
        <v>54</v>
      </c>
      <c r="C38" s="6" t="n">
        <v>3700</v>
      </c>
      <c r="D38" s="6" t="s">
        <v>314</v>
      </c>
      <c r="E38" s="6" t="s">
        <v>395</v>
      </c>
      <c r="F38" s="6"/>
      <c r="G38" s="7" t="s">
        <v>396</v>
      </c>
      <c r="H38" s="6" t="s">
        <v>11</v>
      </c>
      <c r="I38" s="52" t="n">
        <f aca="false">SUMPRODUCT((제작물량산출!$G$12:$L$12=E38)*(제작물량산출!$G$6:$L$6="공장")*제작물량산출!$G$10:$L$10)/1000</f>
        <v>0</v>
      </c>
      <c r="J38" s="6"/>
      <c r="K38" s="16" t="str">
        <f aca="false">"F01="&amp;L38&amp;",F02="&amp;M38&amp;",F03="&amp;N38&amp;",F04="&amp;O38&amp;",F06="&amp;P38&amp;",Q08="&amp;Q38&amp;",Q09="&amp;R38&amp;",C04="&amp;S38&amp;","</f>
        <v>F01=0.7,F02=0.4,F03=1.5,F04=0.41,F06=78.75,Q08=0,Q09=0,C04=0.1,</v>
      </c>
      <c r="L38" s="19" t="n">
        <v>0.7</v>
      </c>
      <c r="M38" s="19" t="n">
        <v>0.4</v>
      </c>
      <c r="N38" s="19" t="n">
        <v>1.5</v>
      </c>
      <c r="O38" s="19" t="n">
        <v>0.41</v>
      </c>
      <c r="P38" s="19" t="n">
        <v>78.75</v>
      </c>
      <c r="Q38" s="19" t="n">
        <v>0</v>
      </c>
      <c r="R38" s="19" t="n">
        <v>0</v>
      </c>
      <c r="S38" s="19" t="n">
        <v>0.1</v>
      </c>
      <c r="T38" s="42" t="s">
        <v>397</v>
      </c>
      <c r="U38" s="19" t="n">
        <v>1</v>
      </c>
      <c r="V38" s="16" t="str">
        <f aca="false">T38&amp;"|"&amp;U38</f>
        <v>환 슈트류|1</v>
      </c>
    </row>
    <row r="39" customFormat="false" ht="23.25" hidden="false" customHeight="true" outlineLevel="0" collapsed="false">
      <c r="A39" s="6" t="n">
        <v>555</v>
      </c>
      <c r="B39" s="6" t="s">
        <v>54</v>
      </c>
      <c r="C39" s="6" t="n">
        <v>3800</v>
      </c>
      <c r="D39" s="6" t="s">
        <v>314</v>
      </c>
      <c r="E39" s="6" t="s">
        <v>398</v>
      </c>
      <c r="F39" s="6"/>
      <c r="G39" s="7" t="s">
        <v>399</v>
      </c>
      <c r="H39" s="6" t="s">
        <v>11</v>
      </c>
      <c r="I39" s="52" t="n">
        <f aca="false">SUMPRODUCT((제작물량산출!$G$12:$L$12=E39)*(제작물량산출!$G$6:$L$6="공장")*제작물량산출!$G$10:$L$10)/1000</f>
        <v>0</v>
      </c>
      <c r="J39" s="6"/>
      <c r="K39" s="16" t="str">
        <f aca="false">"F01="&amp;L39&amp;",F02="&amp;M39&amp;",F03="&amp;N39&amp;",F04="&amp;O39&amp;",F06="&amp;P39&amp;",Q08="&amp;Q39&amp;",Q09="&amp;R39&amp;",C04="&amp;S39&amp;","</f>
        <v>F01=0.5,F02=0.4,F03=1.5,F04=0.41,F06=78.75,Q08=0,Q09=0,C04=0.1,</v>
      </c>
      <c r="L39" s="19" t="n">
        <v>0.5</v>
      </c>
      <c r="M39" s="19" t="n">
        <v>0.4</v>
      </c>
      <c r="N39" s="19" t="n">
        <v>1.5</v>
      </c>
      <c r="O39" s="19" t="n">
        <v>0.41</v>
      </c>
      <c r="P39" s="19" t="n">
        <v>78.75</v>
      </c>
      <c r="Q39" s="19" t="n">
        <v>0</v>
      </c>
      <c r="R39" s="19" t="n">
        <v>0</v>
      </c>
      <c r="S39" s="19" t="n">
        <v>0.1</v>
      </c>
      <c r="T39" s="42" t="s">
        <v>397</v>
      </c>
      <c r="U39" s="19" t="n">
        <v>2</v>
      </c>
      <c r="V39" s="16" t="str">
        <f aca="false">T39&amp;"|"&amp;U39</f>
        <v>환 슈트류|2</v>
      </c>
    </row>
    <row r="40" customFormat="false" ht="23.25" hidden="false" customHeight="true" outlineLevel="0" collapsed="false">
      <c r="A40" s="6" t="n">
        <v>555</v>
      </c>
      <c r="B40" s="6" t="s">
        <v>54</v>
      </c>
      <c r="C40" s="6" t="n">
        <v>3900</v>
      </c>
      <c r="D40" s="6" t="s">
        <v>314</v>
      </c>
      <c r="E40" s="6" t="s">
        <v>400</v>
      </c>
      <c r="F40" s="6"/>
      <c r="G40" s="7" t="s">
        <v>401</v>
      </c>
      <c r="H40" s="6" t="s">
        <v>11</v>
      </c>
      <c r="I40" s="52" t="n">
        <f aca="false">SUMPRODUCT((제작물량산출!$G$12:$L$12=E40)*(제작물량산출!$G$6:$L$6="공장")*제작물량산출!$G$10:$L$10)/1000</f>
        <v>0</v>
      </c>
      <c r="J40" s="6"/>
      <c r="K40" s="16" t="str">
        <f aca="false">"F01="&amp;L40&amp;",F02="&amp;M40&amp;",F03="&amp;N40&amp;",F04="&amp;O40&amp;",F06="&amp;P40&amp;",Q08="&amp;Q40&amp;",Q09="&amp;R40&amp;",C04="&amp;S40&amp;","</f>
        <v>F01=0.4,F02=0.4,F03=1.5,F04=0.41,F06=78.75,Q08=0,Q09=0,C04=0.1,</v>
      </c>
      <c r="L40" s="19" t="n">
        <v>0.4</v>
      </c>
      <c r="M40" s="19" t="n">
        <v>0.4</v>
      </c>
      <c r="N40" s="19" t="n">
        <v>1.5</v>
      </c>
      <c r="O40" s="19" t="n">
        <v>0.41</v>
      </c>
      <c r="P40" s="19" t="n">
        <v>78.75</v>
      </c>
      <c r="Q40" s="19" t="n">
        <v>0</v>
      </c>
      <c r="R40" s="19" t="n">
        <v>0</v>
      </c>
      <c r="S40" s="19" t="n">
        <v>0.1</v>
      </c>
      <c r="T40" s="42" t="s">
        <v>397</v>
      </c>
      <c r="U40" s="19" t="n">
        <v>3</v>
      </c>
      <c r="V40" s="16" t="str">
        <f aca="false">T40&amp;"|"&amp;U40</f>
        <v>환 슈트류|3</v>
      </c>
    </row>
    <row r="41" customFormat="false" ht="23.25" hidden="false" customHeight="true" outlineLevel="0" collapsed="false">
      <c r="A41" s="6" t="n">
        <v>555</v>
      </c>
      <c r="B41" s="6" t="s">
        <v>54</v>
      </c>
      <c r="C41" s="6" t="n">
        <v>4000</v>
      </c>
      <c r="D41" s="6" t="s">
        <v>314</v>
      </c>
      <c r="E41" s="6" t="s">
        <v>402</v>
      </c>
      <c r="F41" s="6"/>
      <c r="G41" s="7" t="s">
        <v>403</v>
      </c>
      <c r="H41" s="6" t="s">
        <v>11</v>
      </c>
      <c r="I41" s="52" t="n">
        <f aca="false">SUMPRODUCT((제작물량산출!$G$12:$L$12=E41)*(제작물량산출!$G$6:$L$6="공장")*제작물량산출!$G$10:$L$10)/1000</f>
        <v>0</v>
      </c>
      <c r="J41" s="6"/>
      <c r="K41" s="16" t="str">
        <f aca="false">"F01="&amp;L41&amp;",F02="&amp;M41&amp;",F03="&amp;N41&amp;",F04="&amp;O41&amp;",F06="&amp;P41&amp;",Q08="&amp;Q41&amp;",Q09="&amp;R41&amp;",C04="&amp;S41&amp;","</f>
        <v>F01=0,F02=0.4,F03=1.5,F04=0.41,F06=78.75,Q08=0,Q09=0,C04=0.1,</v>
      </c>
      <c r="L41" s="19" t="n">
        <v>0</v>
      </c>
      <c r="M41" s="19" t="n">
        <v>0.4</v>
      </c>
      <c r="N41" s="19" t="n">
        <v>1.5</v>
      </c>
      <c r="O41" s="19" t="n">
        <v>0.41</v>
      </c>
      <c r="P41" s="19" t="n">
        <v>78.75</v>
      </c>
      <c r="Q41" s="19" t="n">
        <v>0</v>
      </c>
      <c r="R41" s="19" t="n">
        <v>0</v>
      </c>
      <c r="S41" s="19" t="n">
        <v>0.1</v>
      </c>
      <c r="T41" s="42" t="s">
        <v>397</v>
      </c>
      <c r="U41" s="19" t="n">
        <v>4</v>
      </c>
      <c r="V41" s="16" t="str">
        <f aca="false">T41&amp;"|"&amp;U41</f>
        <v>환 슈트류|4</v>
      </c>
    </row>
    <row r="42" customFormat="false" ht="23.25" hidden="false" customHeight="true" outlineLevel="0" collapsed="false">
      <c r="A42" s="6" t="n">
        <v>555</v>
      </c>
      <c r="B42" s="6" t="s">
        <v>54</v>
      </c>
      <c r="C42" s="6" t="n">
        <v>4100</v>
      </c>
      <c r="D42" s="6" t="s">
        <v>314</v>
      </c>
      <c r="E42" s="6" t="s">
        <v>404</v>
      </c>
      <c r="F42" s="6"/>
      <c r="G42" s="7" t="s">
        <v>405</v>
      </c>
      <c r="H42" s="6" t="s">
        <v>11</v>
      </c>
      <c r="I42" s="52" t="n">
        <f aca="false">SUMPRODUCT((제작물량산출!$G$12:$L$12=E42)*(제작물량산출!$G$6:$L$6="공장")*제작물량산출!$G$10:$L$10)/1000</f>
        <v>0</v>
      </c>
      <c r="J42" s="6"/>
      <c r="K42" s="16" t="str">
        <f aca="false">"F01="&amp;L42&amp;",F02="&amp;M42&amp;",F03="&amp;N42&amp;",F04="&amp;O42&amp;",F06="&amp;P42&amp;",Q08="&amp;Q42&amp;",Q09="&amp;R42&amp;",C04="&amp;S42&amp;","</f>
        <v>F01=0.7,F02=0.05,F03=1.5,F04=0.41,F06=78.75,Q08=0,Q09=0,C04=0.1,</v>
      </c>
      <c r="L42" s="19" t="n">
        <v>0.7</v>
      </c>
      <c r="M42" s="19" t="n">
        <v>0.05</v>
      </c>
      <c r="N42" s="19" t="n">
        <v>1.5</v>
      </c>
      <c r="O42" s="19" t="n">
        <v>0.41</v>
      </c>
      <c r="P42" s="19" t="n">
        <v>78.75</v>
      </c>
      <c r="Q42" s="19" t="n">
        <v>0</v>
      </c>
      <c r="R42" s="19" t="n">
        <v>0</v>
      </c>
      <c r="S42" s="19" t="n">
        <v>0.1</v>
      </c>
      <c r="T42" s="42" t="s">
        <v>406</v>
      </c>
      <c r="U42" s="19" t="n">
        <v>1</v>
      </c>
      <c r="V42" s="16" t="str">
        <f aca="false">T42&amp;"|"&amp;U42</f>
        <v>호퍼라이너(곡관)|1</v>
      </c>
    </row>
    <row r="43" customFormat="false" ht="23.25" hidden="false" customHeight="true" outlineLevel="0" collapsed="false">
      <c r="A43" s="6" t="n">
        <v>555</v>
      </c>
      <c r="B43" s="6" t="s">
        <v>54</v>
      </c>
      <c r="C43" s="6" t="n">
        <v>4200</v>
      </c>
      <c r="D43" s="6" t="s">
        <v>314</v>
      </c>
      <c r="E43" s="6" t="s">
        <v>407</v>
      </c>
      <c r="F43" s="6"/>
      <c r="G43" s="7" t="s">
        <v>408</v>
      </c>
      <c r="H43" s="6" t="s">
        <v>11</v>
      </c>
      <c r="I43" s="52" t="n">
        <f aca="false">SUMPRODUCT((제작물량산출!$G$12:$L$12=E43)*(제작물량산출!$G$6:$L$6="공장")*제작물량산출!$G$10:$L$10)/1000</f>
        <v>0</v>
      </c>
      <c r="J43" s="6"/>
      <c r="K43" s="16" t="str">
        <f aca="false">"F01="&amp;L43&amp;",F02="&amp;M43&amp;",F03="&amp;N43&amp;",F04="&amp;O43&amp;",F06="&amp;P43&amp;",Q08="&amp;Q43&amp;",Q09="&amp;R43&amp;",C04="&amp;S43&amp;","</f>
        <v>F01=0.5,F02=0.05,F03=1.5,F04=0.41,F06=78.75,Q08=0,Q09=0,C04=0.1,</v>
      </c>
      <c r="L43" s="19" t="n">
        <v>0.5</v>
      </c>
      <c r="M43" s="19" t="n">
        <v>0.05</v>
      </c>
      <c r="N43" s="19" t="n">
        <v>1.5</v>
      </c>
      <c r="O43" s="19" t="n">
        <v>0.41</v>
      </c>
      <c r="P43" s="19" t="n">
        <v>78.75</v>
      </c>
      <c r="Q43" s="19" t="n">
        <v>0</v>
      </c>
      <c r="R43" s="19" t="n">
        <v>0</v>
      </c>
      <c r="S43" s="19" t="n">
        <v>0.1</v>
      </c>
      <c r="T43" s="42" t="s">
        <v>406</v>
      </c>
      <c r="U43" s="19" t="n">
        <v>2</v>
      </c>
      <c r="V43" s="16" t="str">
        <f aca="false">T43&amp;"|"&amp;U43</f>
        <v>호퍼라이너(곡관)|2</v>
      </c>
    </row>
    <row r="44" customFormat="false" ht="23.25" hidden="false" customHeight="true" outlineLevel="0" collapsed="false">
      <c r="A44" s="6" t="n">
        <v>555</v>
      </c>
      <c r="B44" s="6" t="s">
        <v>54</v>
      </c>
      <c r="C44" s="6" t="n">
        <v>4300</v>
      </c>
      <c r="D44" s="6" t="s">
        <v>314</v>
      </c>
      <c r="E44" s="6" t="s">
        <v>409</v>
      </c>
      <c r="F44" s="6"/>
      <c r="G44" s="7" t="s">
        <v>410</v>
      </c>
      <c r="H44" s="6" t="s">
        <v>11</v>
      </c>
      <c r="I44" s="52" t="n">
        <f aca="false">SUMPRODUCT((제작물량산출!$G$12:$L$12=E44)*(제작물량산출!$G$6:$L$6="공장")*제작물량산출!$G$10:$L$10)/1000</f>
        <v>0</v>
      </c>
      <c r="J44" s="6"/>
      <c r="K44" s="16" t="str">
        <f aca="false">"F01="&amp;L44&amp;",F02="&amp;M44&amp;",F03="&amp;N44&amp;",F04="&amp;O44&amp;",F06="&amp;P44&amp;",Q08="&amp;Q44&amp;",Q09="&amp;R44&amp;",C04="&amp;S44&amp;","</f>
        <v>F01=0.4,F02=0.05,F03=1.5,F04=0.41,F06=78.75,Q08=0,Q09=0,C04=0.1,</v>
      </c>
      <c r="L44" s="19" t="n">
        <v>0.4</v>
      </c>
      <c r="M44" s="19" t="n">
        <v>0.05</v>
      </c>
      <c r="N44" s="19" t="n">
        <v>1.5</v>
      </c>
      <c r="O44" s="19" t="n">
        <v>0.41</v>
      </c>
      <c r="P44" s="19" t="n">
        <v>78.75</v>
      </c>
      <c r="Q44" s="19" t="n">
        <v>0</v>
      </c>
      <c r="R44" s="19" t="n">
        <v>0</v>
      </c>
      <c r="S44" s="19" t="n">
        <v>0.1</v>
      </c>
      <c r="T44" s="42" t="s">
        <v>406</v>
      </c>
      <c r="U44" s="19" t="n">
        <v>3</v>
      </c>
      <c r="V44" s="16" t="str">
        <f aca="false">T44&amp;"|"&amp;U44</f>
        <v>호퍼라이너(곡관)|3</v>
      </c>
    </row>
    <row r="45" customFormat="false" ht="23.25" hidden="false" customHeight="true" outlineLevel="0" collapsed="false">
      <c r="A45" s="6" t="n">
        <v>555</v>
      </c>
      <c r="B45" s="6" t="s">
        <v>54</v>
      </c>
      <c r="C45" s="6" t="n">
        <v>4400</v>
      </c>
      <c r="D45" s="6" t="s">
        <v>314</v>
      </c>
      <c r="E45" s="6" t="s">
        <v>411</v>
      </c>
      <c r="F45" s="6"/>
      <c r="G45" s="7" t="s">
        <v>412</v>
      </c>
      <c r="H45" s="6" t="s">
        <v>11</v>
      </c>
      <c r="I45" s="52" t="n">
        <f aca="false">SUMPRODUCT((제작물량산출!$G$12:$L$12=E45)*(제작물량산출!$G$6:$L$6="공장")*제작물량산출!$G$10:$L$10)/1000</f>
        <v>0</v>
      </c>
      <c r="J45" s="6"/>
      <c r="K45" s="16" t="str">
        <f aca="false">"F01="&amp;L45&amp;",F02="&amp;M45&amp;",F03="&amp;N45&amp;",F04="&amp;O45&amp;",F06="&amp;P45&amp;",Q08="&amp;Q45&amp;",Q09="&amp;R45&amp;",C04="&amp;S45&amp;","</f>
        <v>F01=0,F02=0.05,F03=1.5,F04=0.41,F06=78.75,Q08=0,Q09=0,C04=0.1,</v>
      </c>
      <c r="L45" s="19" t="n">
        <v>0</v>
      </c>
      <c r="M45" s="19" t="n">
        <v>0.05</v>
      </c>
      <c r="N45" s="19" t="n">
        <v>1.5</v>
      </c>
      <c r="O45" s="19" t="n">
        <v>0.41</v>
      </c>
      <c r="P45" s="19" t="n">
        <v>78.75</v>
      </c>
      <c r="Q45" s="19" t="n">
        <v>0</v>
      </c>
      <c r="R45" s="19" t="n">
        <v>0</v>
      </c>
      <c r="S45" s="19" t="n">
        <v>0.1</v>
      </c>
      <c r="T45" s="42" t="s">
        <v>406</v>
      </c>
      <c r="U45" s="19" t="n">
        <v>4</v>
      </c>
      <c r="V45" s="16" t="str">
        <f aca="false">T45&amp;"|"&amp;U45</f>
        <v>호퍼라이너(곡관)|4</v>
      </c>
    </row>
    <row r="46" customFormat="false" ht="23.25" hidden="false" customHeight="true" outlineLevel="0" collapsed="false">
      <c r="A46" s="6" t="n">
        <v>555</v>
      </c>
      <c r="B46" s="6" t="s">
        <v>54</v>
      </c>
      <c r="C46" s="6" t="n">
        <v>4500</v>
      </c>
      <c r="D46" s="6" t="s">
        <v>314</v>
      </c>
      <c r="E46" s="6" t="s">
        <v>413</v>
      </c>
      <c r="F46" s="6"/>
      <c r="G46" s="7" t="s">
        <v>414</v>
      </c>
      <c r="H46" s="6" t="s">
        <v>11</v>
      </c>
      <c r="I46" s="52" t="n">
        <f aca="false">SUMPRODUCT((제작물량산출!$G$12:$L$12=E46)*(제작물량산출!$G$6:$L$6="공장")*제작물량산출!$G$10:$L$10)/1000</f>
        <v>0</v>
      </c>
      <c r="J46" s="6"/>
      <c r="K46" s="16" t="str">
        <f aca="false">"F01="&amp;L46&amp;",F02="&amp;M46&amp;",F03="&amp;N46&amp;",F04="&amp;O46&amp;",F06="&amp;P46&amp;",Q08="&amp;Q46&amp;",Q09="&amp;R46&amp;",C04="&amp;S46&amp;","</f>
        <v>F01=0.7,F02=-0.275,F03=1.5,F04=0.41,F06=78.75,Q08=0,Q09=0,C04=0.1,</v>
      </c>
      <c r="L46" s="19" t="n">
        <v>0.7</v>
      </c>
      <c r="M46" s="19" t="n">
        <v>-0.275</v>
      </c>
      <c r="N46" s="19" t="n">
        <v>1.5</v>
      </c>
      <c r="O46" s="19" t="n">
        <v>0.41</v>
      </c>
      <c r="P46" s="19" t="n">
        <v>78.75</v>
      </c>
      <c r="Q46" s="19" t="n">
        <v>0</v>
      </c>
      <c r="R46" s="19" t="n">
        <v>0</v>
      </c>
      <c r="S46" s="19" t="n">
        <v>0.1</v>
      </c>
      <c r="T46" s="42" t="s">
        <v>415</v>
      </c>
      <c r="U46" s="19" t="n">
        <v>1</v>
      </c>
      <c r="V46" s="16" t="str">
        <f aca="false">T46&amp;"|"&amp;U46</f>
        <v>호퍼라이너(평판)|1</v>
      </c>
    </row>
    <row r="47" customFormat="false" ht="23.25" hidden="false" customHeight="true" outlineLevel="0" collapsed="false">
      <c r="A47" s="6" t="n">
        <v>555</v>
      </c>
      <c r="B47" s="6" t="s">
        <v>54</v>
      </c>
      <c r="C47" s="6" t="n">
        <v>4600</v>
      </c>
      <c r="D47" s="6" t="s">
        <v>314</v>
      </c>
      <c r="E47" s="6" t="s">
        <v>416</v>
      </c>
      <c r="F47" s="6"/>
      <c r="G47" s="7" t="s">
        <v>417</v>
      </c>
      <c r="H47" s="6" t="s">
        <v>11</v>
      </c>
      <c r="I47" s="52" t="n">
        <f aca="false">SUMPRODUCT((제작물량산출!$G$12:$L$12=E47)*(제작물량산출!$G$6:$L$6="공장")*제작물량산출!$G$10:$L$10)/1000</f>
        <v>0</v>
      </c>
      <c r="J47" s="6"/>
      <c r="K47" s="16" t="str">
        <f aca="false">"F01="&amp;L47&amp;",F02="&amp;M47&amp;",F03="&amp;N47&amp;",F04="&amp;O47&amp;",F06="&amp;P47&amp;",Q08="&amp;Q47&amp;",Q09="&amp;R47&amp;",C04="&amp;S47&amp;","</f>
        <v>F01=0.5,F02=-0.275,F03=1.5,F04=0.41,F06=78.75,Q08=0,Q09=0,C04=0.1,</v>
      </c>
      <c r="L47" s="19" t="n">
        <v>0.5</v>
      </c>
      <c r="M47" s="19" t="n">
        <v>-0.275</v>
      </c>
      <c r="N47" s="19" t="n">
        <v>1.5</v>
      </c>
      <c r="O47" s="19" t="n">
        <v>0.41</v>
      </c>
      <c r="P47" s="19" t="n">
        <v>78.75</v>
      </c>
      <c r="Q47" s="19" t="n">
        <v>0</v>
      </c>
      <c r="R47" s="19" t="n">
        <v>0</v>
      </c>
      <c r="S47" s="19" t="n">
        <v>0.1</v>
      </c>
      <c r="T47" s="42" t="s">
        <v>415</v>
      </c>
      <c r="U47" s="19" t="n">
        <v>2</v>
      </c>
      <c r="V47" s="16" t="str">
        <f aca="false">T47&amp;"|"&amp;U47</f>
        <v>호퍼라이너(평판)|2</v>
      </c>
    </row>
    <row r="48" customFormat="false" ht="23.25" hidden="false" customHeight="true" outlineLevel="0" collapsed="false">
      <c r="A48" s="6" t="n">
        <v>555</v>
      </c>
      <c r="B48" s="6" t="s">
        <v>54</v>
      </c>
      <c r="C48" s="6" t="n">
        <v>4700</v>
      </c>
      <c r="D48" s="6" t="s">
        <v>314</v>
      </c>
      <c r="E48" s="6" t="s">
        <v>418</v>
      </c>
      <c r="F48" s="6"/>
      <c r="G48" s="7" t="s">
        <v>419</v>
      </c>
      <c r="H48" s="6" t="s">
        <v>11</v>
      </c>
      <c r="I48" s="52" t="n">
        <f aca="false">SUMPRODUCT((제작물량산출!$G$12:$L$12=E48)*(제작물량산출!$G$6:$L$6="공장")*제작물량산출!$G$10:$L$10)/1000</f>
        <v>0</v>
      </c>
      <c r="J48" s="6"/>
      <c r="K48" s="16" t="str">
        <f aca="false">"F01="&amp;L48&amp;",F02="&amp;M48&amp;",F03="&amp;N48&amp;",F04="&amp;O48&amp;",F06="&amp;P48&amp;",Q08="&amp;Q48&amp;",Q09="&amp;R48&amp;",C04="&amp;S48&amp;","</f>
        <v>F01=0.4,F02=-0.275,F03=1.5,F04=0.41,F06=78.75,Q08=0,Q09=0,C04=0.1,</v>
      </c>
      <c r="L48" s="19" t="n">
        <v>0.4</v>
      </c>
      <c r="M48" s="19" t="n">
        <v>-0.275</v>
      </c>
      <c r="N48" s="19" t="n">
        <v>1.5</v>
      </c>
      <c r="O48" s="19" t="n">
        <v>0.41</v>
      </c>
      <c r="P48" s="19" t="n">
        <v>78.75</v>
      </c>
      <c r="Q48" s="19" t="n">
        <v>0</v>
      </c>
      <c r="R48" s="19" t="n">
        <v>0</v>
      </c>
      <c r="S48" s="19" t="n">
        <v>0.1</v>
      </c>
      <c r="T48" s="42" t="s">
        <v>415</v>
      </c>
      <c r="U48" s="19" t="n">
        <v>3</v>
      </c>
      <c r="V48" s="16" t="str">
        <f aca="false">T48&amp;"|"&amp;U48</f>
        <v>호퍼라이너(평판)|3</v>
      </c>
    </row>
    <row r="49" customFormat="false" ht="23.25" hidden="false" customHeight="true" outlineLevel="0" collapsed="false">
      <c r="A49" s="6" t="n">
        <v>555</v>
      </c>
      <c r="B49" s="6" t="s">
        <v>54</v>
      </c>
      <c r="C49" s="6" t="n">
        <v>4800</v>
      </c>
      <c r="D49" s="6" t="s">
        <v>314</v>
      </c>
      <c r="E49" s="6" t="s">
        <v>420</v>
      </c>
      <c r="F49" s="6"/>
      <c r="G49" s="7" t="s">
        <v>421</v>
      </c>
      <c r="H49" s="6" t="s">
        <v>11</v>
      </c>
      <c r="I49" s="52" t="n">
        <f aca="false">SUMPRODUCT((제작물량산출!$G$12:$L$12=E49)*(제작물량산출!$G$6:$L$6="공장")*제작물량산출!$G$10:$L$10)/1000</f>
        <v>0</v>
      </c>
      <c r="J49" s="6"/>
      <c r="K49" s="16" t="str">
        <f aca="false">"F01="&amp;L49&amp;",F02="&amp;M49&amp;",F03="&amp;N49&amp;",F04="&amp;O49&amp;",F06="&amp;P49&amp;",Q08="&amp;Q49&amp;",Q09="&amp;R49&amp;",C04="&amp;S49&amp;","</f>
        <v>F01=0,F02=-0.275,F03=1.5,F04=0.41,F06=78.75,Q08=0,Q09=0,C04=0.1,</v>
      </c>
      <c r="L49" s="19" t="n">
        <v>0</v>
      </c>
      <c r="M49" s="19" t="n">
        <v>-0.275</v>
      </c>
      <c r="N49" s="19" t="n">
        <v>1.5</v>
      </c>
      <c r="O49" s="19" t="n">
        <v>0.41</v>
      </c>
      <c r="P49" s="19" t="n">
        <v>78.75</v>
      </c>
      <c r="Q49" s="19" t="n">
        <v>0</v>
      </c>
      <c r="R49" s="19" t="n">
        <v>0</v>
      </c>
      <c r="S49" s="19" t="n">
        <v>0.1</v>
      </c>
      <c r="T49" s="42" t="s">
        <v>415</v>
      </c>
      <c r="U49" s="19" t="n">
        <v>4</v>
      </c>
      <c r="V49" s="16" t="str">
        <f aca="false">T49&amp;"|"&amp;U49</f>
        <v>호퍼라이너(평판)|4</v>
      </c>
    </row>
    <row r="50" customFormat="false" ht="23.25" hidden="false" customHeight="true" outlineLevel="0" collapsed="false">
      <c r="A50" s="6" t="n">
        <v>555</v>
      </c>
      <c r="B50" s="6" t="s">
        <v>54</v>
      </c>
      <c r="C50" s="6" t="n">
        <v>4900</v>
      </c>
      <c r="D50" s="6" t="s">
        <v>314</v>
      </c>
      <c r="E50" s="6" t="s">
        <v>422</v>
      </c>
      <c r="F50" s="6"/>
      <c r="G50" s="7" t="s">
        <v>423</v>
      </c>
      <c r="H50" s="6" t="s">
        <v>11</v>
      </c>
      <c r="I50" s="52" t="n">
        <f aca="false">SUMPRODUCT((제작물량산출!$G$12:$L$12=E50)*(제작물량산출!$G$6:$L$6="공장")*제작물량산출!$G$10:$L$10)/1000</f>
        <v>0</v>
      </c>
      <c r="J50" s="6"/>
      <c r="K50" s="16" t="str">
        <f aca="false">"F01="&amp;L50&amp;",F02="&amp;M50&amp;",F03="&amp;N50&amp;",F04="&amp;O50&amp;",F06="&amp;P50&amp;",Q08="&amp;Q50&amp;",Q09="&amp;R50&amp;",C04="&amp;S50&amp;","</f>
        <v>F01=0.7,F02=0.1,F03=0.98,F04=0.26,F06=67.5,Q08=0,Q09=0,C04=0.1,</v>
      </c>
      <c r="L50" s="19" t="n">
        <v>0.7</v>
      </c>
      <c r="M50" s="19" t="n">
        <v>0.1</v>
      </c>
      <c r="N50" s="19" t="n">
        <v>0.98</v>
      </c>
      <c r="O50" s="19" t="n">
        <v>0.26</v>
      </c>
      <c r="P50" s="19" t="n">
        <v>67.5</v>
      </c>
      <c r="Q50" s="19" t="n">
        <v>0</v>
      </c>
      <c r="R50" s="19" t="n">
        <v>0</v>
      </c>
      <c r="S50" s="19" t="n">
        <v>0.1</v>
      </c>
      <c r="T50" s="42" t="s">
        <v>424</v>
      </c>
      <c r="U50" s="19" t="n">
        <v>1</v>
      </c>
      <c r="V50" s="16" t="str">
        <f aca="false">T50&amp;"|"&amp;U50</f>
        <v>계단류|1</v>
      </c>
    </row>
    <row r="51" customFormat="false" ht="23.25" hidden="false" customHeight="true" outlineLevel="0" collapsed="false">
      <c r="A51" s="6" t="n">
        <v>555</v>
      </c>
      <c r="B51" s="6" t="s">
        <v>54</v>
      </c>
      <c r="C51" s="6" t="n">
        <v>5000</v>
      </c>
      <c r="D51" s="6" t="s">
        <v>314</v>
      </c>
      <c r="E51" s="6" t="s">
        <v>425</v>
      </c>
      <c r="F51" s="6"/>
      <c r="G51" s="7" t="s">
        <v>426</v>
      </c>
      <c r="H51" s="6" t="s">
        <v>11</v>
      </c>
      <c r="I51" s="52" t="n">
        <f aca="false">SUMPRODUCT((제작물량산출!$G$12:$L$12=E51)*(제작물량산출!$G$6:$L$6="공장")*제작물량산출!$G$10:$L$10)/1000</f>
        <v>0</v>
      </c>
      <c r="J51" s="6"/>
      <c r="K51" s="16" t="str">
        <f aca="false">"F01="&amp;L51&amp;",F02="&amp;M51&amp;",F03="&amp;N51&amp;",F04="&amp;O51&amp;",F06="&amp;P51&amp;",Q08="&amp;Q51&amp;",Q09="&amp;R51&amp;",C04="&amp;S51&amp;","</f>
        <v>F01=0.5,F02=0.1,F03=0.98,F04=0.26,F06=67.5,Q08=0,Q09=0,C04=0.1,</v>
      </c>
      <c r="L51" s="19" t="n">
        <v>0.5</v>
      </c>
      <c r="M51" s="19" t="n">
        <v>0.1</v>
      </c>
      <c r="N51" s="19" t="n">
        <v>0.98</v>
      </c>
      <c r="O51" s="19" t="n">
        <v>0.26</v>
      </c>
      <c r="P51" s="19" t="n">
        <v>67.5</v>
      </c>
      <c r="Q51" s="19" t="n">
        <v>0</v>
      </c>
      <c r="R51" s="19" t="n">
        <v>0</v>
      </c>
      <c r="S51" s="19" t="n">
        <v>0.1</v>
      </c>
      <c r="T51" s="42" t="s">
        <v>424</v>
      </c>
      <c r="U51" s="19" t="n">
        <v>2</v>
      </c>
      <c r="V51" s="16" t="str">
        <f aca="false">T51&amp;"|"&amp;U51</f>
        <v>계단류|2</v>
      </c>
    </row>
    <row r="52" customFormat="false" ht="23.25" hidden="false" customHeight="true" outlineLevel="0" collapsed="false">
      <c r="A52" s="6" t="n">
        <v>555</v>
      </c>
      <c r="B52" s="6" t="s">
        <v>54</v>
      </c>
      <c r="C52" s="6" t="n">
        <v>5100</v>
      </c>
      <c r="D52" s="6" t="s">
        <v>314</v>
      </c>
      <c r="E52" s="6" t="s">
        <v>427</v>
      </c>
      <c r="F52" s="6"/>
      <c r="G52" s="7" t="s">
        <v>428</v>
      </c>
      <c r="H52" s="6" t="s">
        <v>11</v>
      </c>
      <c r="I52" s="52" t="n">
        <f aca="false">SUMPRODUCT((제작물량산출!$G$12:$L$12=E52)*(제작물량산출!$G$6:$L$6="공장")*제작물량산출!$G$10:$L$10)/1000</f>
        <v>0</v>
      </c>
      <c r="J52" s="6"/>
      <c r="K52" s="16" t="str">
        <f aca="false">"F01="&amp;L52&amp;",F02="&amp;M52&amp;",F03="&amp;N52&amp;",F04="&amp;O52&amp;",F06="&amp;P52&amp;",Q08="&amp;Q52&amp;",Q09="&amp;R52&amp;",C04="&amp;S52&amp;","</f>
        <v>F01=0.4,F02=0.1,F03=0.98,F04=0.26,F06=67.5,Q08=0,Q09=0,C04=0.1,</v>
      </c>
      <c r="L52" s="19" t="n">
        <v>0.4</v>
      </c>
      <c r="M52" s="19" t="n">
        <v>0.1</v>
      </c>
      <c r="N52" s="19" t="n">
        <v>0.98</v>
      </c>
      <c r="O52" s="19" t="n">
        <v>0.26</v>
      </c>
      <c r="P52" s="19" t="n">
        <v>67.5</v>
      </c>
      <c r="Q52" s="19" t="n">
        <v>0</v>
      </c>
      <c r="R52" s="19" t="n">
        <v>0</v>
      </c>
      <c r="S52" s="19" t="n">
        <v>0.1</v>
      </c>
      <c r="T52" s="42" t="s">
        <v>424</v>
      </c>
      <c r="U52" s="19" t="n">
        <v>3</v>
      </c>
      <c r="V52" s="16" t="str">
        <f aca="false">T52&amp;"|"&amp;U52</f>
        <v>계단류|3</v>
      </c>
    </row>
    <row r="53" customFormat="false" ht="23.25" hidden="false" customHeight="true" outlineLevel="0" collapsed="false">
      <c r="A53" s="6" t="n">
        <v>555</v>
      </c>
      <c r="B53" s="6" t="s">
        <v>54</v>
      </c>
      <c r="C53" s="6" t="n">
        <v>5200</v>
      </c>
      <c r="D53" s="6" t="s">
        <v>314</v>
      </c>
      <c r="E53" s="6" t="s">
        <v>429</v>
      </c>
      <c r="F53" s="6"/>
      <c r="G53" s="7" t="s">
        <v>430</v>
      </c>
      <c r="H53" s="6" t="s">
        <v>11</v>
      </c>
      <c r="I53" s="52" t="n">
        <f aca="false">SUMPRODUCT((제작물량산출!$G$12:$L$12=E53)*(제작물량산출!$G$6:$L$6="공장")*제작물량산출!$G$10:$L$10)/1000</f>
        <v>0</v>
      </c>
      <c r="J53" s="6"/>
      <c r="K53" s="16" t="str">
        <f aca="false">"F01="&amp;L53&amp;",F02="&amp;M53&amp;",F03="&amp;N53&amp;",F04="&amp;O53&amp;",F06="&amp;P53&amp;",Q08="&amp;Q53&amp;",Q09="&amp;R53&amp;",C04="&amp;S53&amp;","</f>
        <v>F01=0,F02=0.1,F03=0.98,F04=0.26,F06=67.5,Q08=0,Q09=0,C04=0.1,</v>
      </c>
      <c r="L53" s="19" t="n">
        <v>0</v>
      </c>
      <c r="M53" s="19" t="n">
        <v>0.1</v>
      </c>
      <c r="N53" s="19" t="n">
        <v>0.98</v>
      </c>
      <c r="O53" s="19" t="n">
        <v>0.26</v>
      </c>
      <c r="P53" s="19" t="n">
        <v>67.5</v>
      </c>
      <c r="Q53" s="19" t="n">
        <v>0</v>
      </c>
      <c r="R53" s="19" t="n">
        <v>0</v>
      </c>
      <c r="S53" s="19" t="n">
        <v>0.1</v>
      </c>
      <c r="T53" s="42" t="s">
        <v>424</v>
      </c>
      <c r="U53" s="19" t="n">
        <v>4</v>
      </c>
      <c r="V53" s="16" t="str">
        <f aca="false">T53&amp;"|"&amp;U53</f>
        <v>계단류|4</v>
      </c>
    </row>
    <row r="54" customFormat="false" ht="23.25" hidden="false" customHeight="true" outlineLevel="0" collapsed="false">
      <c r="A54" s="6" t="n">
        <v>555</v>
      </c>
      <c r="B54" s="6" t="s">
        <v>54</v>
      </c>
      <c r="C54" s="6" t="n">
        <v>5300</v>
      </c>
      <c r="D54" s="6" t="s">
        <v>314</v>
      </c>
      <c r="E54" s="6" t="s">
        <v>431</v>
      </c>
      <c r="F54" s="6"/>
      <c r="G54" s="16" t="s">
        <v>432</v>
      </c>
      <c r="H54" s="6" t="s">
        <v>11</v>
      </c>
      <c r="I54" s="52" t="n">
        <f aca="false">SUMPRODUCT((제작물량산출!$G$12:$L$12=E54)*(제작물량산출!$G$6:$L$6="공장")*제작물량산출!$G$10:$L$10)/1000</f>
        <v>0</v>
      </c>
      <c r="J54" s="6"/>
      <c r="K54" s="16" t="str">
        <f aca="false">"F01="&amp;L54&amp;",F02="&amp;M54&amp;",F03="&amp;N54&amp;",F04="&amp;O54&amp;",F06="&amp;P54&amp;",Q08="&amp;Q54&amp;",Q09="&amp;R54&amp;",C04="&amp;S54&amp;","</f>
        <v>F01=0.7,F02=-0.175,F03=1.29,F04=0.34,F06=74.25,Q08=0,Q09=0,C04=0.1,</v>
      </c>
      <c r="L54" s="19" t="n">
        <v>0.7</v>
      </c>
      <c r="M54" s="19" t="n">
        <v>-0.175</v>
      </c>
      <c r="N54" s="19" t="n">
        <v>1.29</v>
      </c>
      <c r="O54" s="19" t="n">
        <v>0.34</v>
      </c>
      <c r="P54" s="19" t="n">
        <v>74.25</v>
      </c>
      <c r="Q54" s="19" t="n">
        <v>0</v>
      </c>
      <c r="R54" s="19" t="n">
        <v>0</v>
      </c>
      <c r="S54" s="19" t="n">
        <v>0.1</v>
      </c>
      <c r="T54" s="32" t="s">
        <v>433</v>
      </c>
      <c r="U54" s="19" t="n">
        <v>1</v>
      </c>
      <c r="V54" s="16" t="str">
        <f aca="false">T54&amp;"|"&amp;U54</f>
        <v>DECK류|1</v>
      </c>
    </row>
    <row r="55" customFormat="false" ht="23.25" hidden="false" customHeight="true" outlineLevel="0" collapsed="false">
      <c r="A55" s="6" t="n">
        <v>555</v>
      </c>
      <c r="B55" s="6" t="s">
        <v>54</v>
      </c>
      <c r="C55" s="6" t="n">
        <v>5400</v>
      </c>
      <c r="D55" s="6" t="s">
        <v>314</v>
      </c>
      <c r="E55" s="6" t="s">
        <v>434</v>
      </c>
      <c r="F55" s="6"/>
      <c r="G55" s="16" t="s">
        <v>435</v>
      </c>
      <c r="H55" s="6" t="s">
        <v>11</v>
      </c>
      <c r="I55" s="52" t="n">
        <f aca="false">SUMPRODUCT((제작물량산출!$G$12:$L$12=E55)*(제작물량산출!$G$6:$L$6="공장")*제작물량산출!$G$10:$L$10)/1000</f>
        <v>0</v>
      </c>
      <c r="J55" s="6"/>
      <c r="K55" s="16" t="str">
        <f aca="false">"F01="&amp;L55&amp;",F02="&amp;M55&amp;",F03="&amp;N55&amp;",F04="&amp;O55&amp;",F06="&amp;P55&amp;",Q08="&amp;Q55&amp;",Q09="&amp;R55&amp;",C04="&amp;S55&amp;","</f>
        <v>F01=0.5,F02=-0.175,F03=1.29,F04=0.34,F06=74.25,Q08=0,Q09=0,C04=0.1,</v>
      </c>
      <c r="L55" s="19" t="n">
        <v>0.5</v>
      </c>
      <c r="M55" s="19" t="n">
        <v>-0.175</v>
      </c>
      <c r="N55" s="19" t="n">
        <v>1.29</v>
      </c>
      <c r="O55" s="19" t="n">
        <v>0.34</v>
      </c>
      <c r="P55" s="19" t="n">
        <v>74.25</v>
      </c>
      <c r="Q55" s="19" t="n">
        <v>0</v>
      </c>
      <c r="R55" s="19" t="n">
        <v>0</v>
      </c>
      <c r="S55" s="19" t="n">
        <v>0.1</v>
      </c>
      <c r="T55" s="32" t="s">
        <v>433</v>
      </c>
      <c r="U55" s="19" t="n">
        <v>2</v>
      </c>
      <c r="V55" s="16" t="str">
        <f aca="false">T55&amp;"|"&amp;U55</f>
        <v>DECK류|2</v>
      </c>
    </row>
    <row r="56" customFormat="false" ht="23.25" hidden="false" customHeight="true" outlineLevel="0" collapsed="false">
      <c r="A56" s="6" t="n">
        <v>555</v>
      </c>
      <c r="B56" s="6" t="s">
        <v>54</v>
      </c>
      <c r="C56" s="6" t="n">
        <v>5500</v>
      </c>
      <c r="D56" s="6" t="s">
        <v>314</v>
      </c>
      <c r="E56" s="6" t="s">
        <v>436</v>
      </c>
      <c r="F56" s="6"/>
      <c r="G56" s="16" t="s">
        <v>437</v>
      </c>
      <c r="H56" s="6" t="s">
        <v>11</v>
      </c>
      <c r="I56" s="52" t="n">
        <f aca="false">SUMPRODUCT((제작물량산출!$G$12:$L$12=E56)*(제작물량산출!$G$6:$L$6="공장")*제작물량산출!$G$10:$L$10)/1000</f>
        <v>0</v>
      </c>
      <c r="J56" s="6"/>
      <c r="K56" s="16" t="str">
        <f aca="false">"F01="&amp;L56&amp;",F02="&amp;M56&amp;",F03="&amp;N56&amp;",F04="&amp;O56&amp;",F06="&amp;P56&amp;",Q08="&amp;Q56&amp;",Q09="&amp;R56&amp;",C04="&amp;S56&amp;","</f>
        <v>F01=0.4,F02=-0.175,F03=1.29,F04=0.34,F06=74.25,Q08=0,Q09=0,C04=0.1,</v>
      </c>
      <c r="L56" s="19" t="n">
        <v>0.4</v>
      </c>
      <c r="M56" s="19" t="n">
        <v>-0.175</v>
      </c>
      <c r="N56" s="19" t="n">
        <v>1.29</v>
      </c>
      <c r="O56" s="19" t="n">
        <v>0.34</v>
      </c>
      <c r="P56" s="19" t="n">
        <v>74.25</v>
      </c>
      <c r="Q56" s="19" t="n">
        <v>0</v>
      </c>
      <c r="R56" s="19" t="n">
        <v>0</v>
      </c>
      <c r="S56" s="19" t="n">
        <v>0.1</v>
      </c>
      <c r="T56" s="32" t="s">
        <v>433</v>
      </c>
      <c r="U56" s="19" t="n">
        <v>3</v>
      </c>
      <c r="V56" s="16" t="str">
        <f aca="false">T56&amp;"|"&amp;U56</f>
        <v>DECK류|3</v>
      </c>
    </row>
    <row r="57" customFormat="false" ht="23.25" hidden="false" customHeight="true" outlineLevel="0" collapsed="false">
      <c r="A57" s="6" t="n">
        <v>555</v>
      </c>
      <c r="B57" s="6" t="s">
        <v>54</v>
      </c>
      <c r="C57" s="6" t="n">
        <v>5600</v>
      </c>
      <c r="D57" s="6" t="s">
        <v>314</v>
      </c>
      <c r="E57" s="6" t="s">
        <v>438</v>
      </c>
      <c r="F57" s="6"/>
      <c r="G57" s="16" t="s">
        <v>439</v>
      </c>
      <c r="H57" s="6" t="s">
        <v>11</v>
      </c>
      <c r="I57" s="52" t="n">
        <f aca="false">SUMPRODUCT((제작물량산출!$G$12:$L$12=E57)*(제작물량산출!$G$6:$L$6="공장")*제작물량산출!$G$10:$L$10)/1000</f>
        <v>0</v>
      </c>
      <c r="J57" s="6"/>
      <c r="K57" s="16" t="str">
        <f aca="false">"F01="&amp;L57&amp;",F02="&amp;M57&amp;",F03="&amp;N57&amp;",F04="&amp;O57&amp;",F06="&amp;P57&amp;",Q08="&amp;Q57&amp;",Q09="&amp;R57&amp;",C04="&amp;S57&amp;","</f>
        <v>F01=0,F02=-0.175,F03=1.29,F04=0.34,F06=74.25,Q08=0,Q09=0,C04=0.1,</v>
      </c>
      <c r="L57" s="19" t="n">
        <v>0</v>
      </c>
      <c r="M57" s="19" t="n">
        <v>-0.175</v>
      </c>
      <c r="N57" s="19" t="n">
        <v>1.29</v>
      </c>
      <c r="O57" s="19" t="n">
        <v>0.34</v>
      </c>
      <c r="P57" s="19" t="n">
        <v>74.25</v>
      </c>
      <c r="Q57" s="19" t="n">
        <v>0</v>
      </c>
      <c r="R57" s="19" t="n">
        <v>0</v>
      </c>
      <c r="S57" s="19" t="n">
        <v>0.1</v>
      </c>
      <c r="T57" s="32" t="s">
        <v>433</v>
      </c>
      <c r="U57" s="19" t="n">
        <v>4</v>
      </c>
      <c r="V57" s="16" t="str">
        <f aca="false">T57&amp;"|"&amp;U57</f>
        <v>DECK류|4</v>
      </c>
    </row>
    <row r="58" customFormat="false" ht="23.25" hidden="false" customHeight="true" outlineLevel="0" collapsed="false">
      <c r="A58" s="6" t="n">
        <v>555</v>
      </c>
      <c r="B58" s="6" t="s">
        <v>54</v>
      </c>
      <c r="C58" s="6" t="n">
        <v>5700</v>
      </c>
      <c r="D58" s="6" t="s">
        <v>314</v>
      </c>
      <c r="E58" s="6" t="s">
        <v>440</v>
      </c>
      <c r="F58" s="6"/>
      <c r="G58" s="7" t="s">
        <v>441</v>
      </c>
      <c r="H58" s="6" t="s">
        <v>11</v>
      </c>
      <c r="I58" s="52" t="n">
        <f aca="false">SUMPRODUCT((제작물량산출!$G$12:$L$12=E58)*(제작물량산출!$G$6:$L$6="공장")*제작물량산출!$G$10:$L$10)/1000</f>
        <v>0</v>
      </c>
      <c r="J58" s="6"/>
      <c r="K58" s="16" t="str">
        <f aca="false">"F01="&amp;L58&amp;",F02="&amp;M58&amp;",F03="&amp;N58&amp;",F04="&amp;O58&amp;",F06="&amp;P58&amp;",Q08="&amp;Q58&amp;",Q09="&amp;R58&amp;",C04="&amp;S58&amp;","</f>
        <v>F01=0.7,F02=0.65,F03=2.27,F04=0.63,F06=119.25,Q08=0,Q09=0,C04=0.1,</v>
      </c>
      <c r="L58" s="19" t="n">
        <v>0.7</v>
      </c>
      <c r="M58" s="19" t="n">
        <v>0.65</v>
      </c>
      <c r="N58" s="19" t="n">
        <v>2.27</v>
      </c>
      <c r="O58" s="19" t="n">
        <v>0.63</v>
      </c>
      <c r="P58" s="19" t="n">
        <v>119.25</v>
      </c>
      <c r="Q58" s="19" t="n">
        <v>0</v>
      </c>
      <c r="R58" s="19" t="n">
        <v>0</v>
      </c>
      <c r="S58" s="19" t="n">
        <v>0.1</v>
      </c>
      <c r="T58" s="42" t="s">
        <v>442</v>
      </c>
      <c r="U58" s="19" t="n">
        <v>1</v>
      </c>
      <c r="V58" s="16" t="str">
        <f aca="false">T58&amp;"|"&amp;U58</f>
        <v>철피연돌류|1</v>
      </c>
    </row>
    <row r="59" customFormat="false" ht="23.25" hidden="false" customHeight="true" outlineLevel="0" collapsed="false">
      <c r="A59" s="6" t="n">
        <v>555</v>
      </c>
      <c r="B59" s="6" t="s">
        <v>54</v>
      </c>
      <c r="C59" s="6" t="n">
        <v>5800</v>
      </c>
      <c r="D59" s="6" t="s">
        <v>314</v>
      </c>
      <c r="E59" s="6" t="s">
        <v>443</v>
      </c>
      <c r="F59" s="6"/>
      <c r="G59" s="7" t="s">
        <v>444</v>
      </c>
      <c r="H59" s="6" t="s">
        <v>11</v>
      </c>
      <c r="I59" s="52" t="n">
        <f aca="false">SUMPRODUCT((제작물량산출!$G$12:$L$12=E59)*(제작물량산출!$G$6:$L$6="공장")*제작물량산출!$G$10:$L$10)/1000</f>
        <v>0</v>
      </c>
      <c r="J59" s="6"/>
      <c r="K59" s="16" t="str">
        <f aca="false">"F01="&amp;L59&amp;",F02="&amp;M59&amp;",F03="&amp;N59&amp;",F04="&amp;O59&amp;",F06="&amp;P59&amp;",Q08="&amp;Q59&amp;",Q09="&amp;R59&amp;",C04="&amp;S59&amp;","</f>
        <v>F01=0.5,F02=0.65,F03=2.27,F04=0.63,F06=119.25,Q08=0,Q09=0,C04=0.1,</v>
      </c>
      <c r="L59" s="19" t="n">
        <v>0.5</v>
      </c>
      <c r="M59" s="19" t="n">
        <v>0.65</v>
      </c>
      <c r="N59" s="19" t="n">
        <v>2.27</v>
      </c>
      <c r="O59" s="19" t="n">
        <v>0.63</v>
      </c>
      <c r="P59" s="19" t="n">
        <v>119.25</v>
      </c>
      <c r="Q59" s="19" t="n">
        <v>0</v>
      </c>
      <c r="R59" s="19" t="n">
        <v>0</v>
      </c>
      <c r="S59" s="19" t="n">
        <v>0.1</v>
      </c>
      <c r="T59" s="42" t="s">
        <v>442</v>
      </c>
      <c r="U59" s="19" t="n">
        <v>2</v>
      </c>
      <c r="V59" s="16" t="str">
        <f aca="false">T59&amp;"|"&amp;U59</f>
        <v>철피연돌류|2</v>
      </c>
    </row>
    <row r="60" customFormat="false" ht="23.25" hidden="false" customHeight="true" outlineLevel="0" collapsed="false">
      <c r="A60" s="6" t="n">
        <v>555</v>
      </c>
      <c r="B60" s="6" t="s">
        <v>54</v>
      </c>
      <c r="C60" s="6" t="n">
        <v>5900</v>
      </c>
      <c r="D60" s="6" t="s">
        <v>314</v>
      </c>
      <c r="E60" s="6" t="s">
        <v>445</v>
      </c>
      <c r="F60" s="6"/>
      <c r="G60" s="7" t="s">
        <v>446</v>
      </c>
      <c r="H60" s="6" t="s">
        <v>11</v>
      </c>
      <c r="I60" s="52" t="n">
        <f aca="false">SUMPRODUCT((제작물량산출!$G$12:$L$12=E60)*(제작물량산출!$G$6:$L$6="공장")*제작물량산출!$G$10:$L$10)/1000</f>
        <v>0</v>
      </c>
      <c r="J60" s="6"/>
      <c r="K60" s="16" t="str">
        <f aca="false">"F01="&amp;L60&amp;",F02="&amp;M60&amp;",F03="&amp;N60&amp;",F04="&amp;O60&amp;",F06="&amp;P60&amp;",Q08="&amp;Q60&amp;",Q09="&amp;R60&amp;",C04="&amp;S60&amp;","</f>
        <v>F01=0.4,F02=0.65,F03=2.27,F04=0.63,F06=119.25,Q08=0,Q09=0,C04=0.1,</v>
      </c>
      <c r="L60" s="19" t="n">
        <v>0.4</v>
      </c>
      <c r="M60" s="19" t="n">
        <v>0.65</v>
      </c>
      <c r="N60" s="19" t="n">
        <v>2.27</v>
      </c>
      <c r="O60" s="19" t="n">
        <v>0.63</v>
      </c>
      <c r="P60" s="19" t="n">
        <v>119.25</v>
      </c>
      <c r="Q60" s="19" t="n">
        <v>0</v>
      </c>
      <c r="R60" s="19" t="n">
        <v>0</v>
      </c>
      <c r="S60" s="19" t="n">
        <v>0.1</v>
      </c>
      <c r="T60" s="42" t="s">
        <v>442</v>
      </c>
      <c r="U60" s="19" t="n">
        <v>3</v>
      </c>
      <c r="V60" s="16" t="str">
        <f aca="false">T60&amp;"|"&amp;U60</f>
        <v>철피연돌류|3</v>
      </c>
    </row>
    <row r="61" customFormat="false" ht="23.25" hidden="false" customHeight="true" outlineLevel="0" collapsed="false">
      <c r="A61" s="6" t="n">
        <v>555</v>
      </c>
      <c r="B61" s="6" t="s">
        <v>54</v>
      </c>
      <c r="C61" s="6" t="n">
        <v>6000</v>
      </c>
      <c r="D61" s="6" t="s">
        <v>314</v>
      </c>
      <c r="E61" s="6" t="s">
        <v>447</v>
      </c>
      <c r="F61" s="6"/>
      <c r="G61" s="7" t="s">
        <v>448</v>
      </c>
      <c r="H61" s="6" t="s">
        <v>11</v>
      </c>
      <c r="I61" s="52" t="n">
        <f aca="false">SUMPRODUCT((제작물량산출!$G$12:$L$12=E61)*(제작물량산출!$G$6:$L$6="공장")*제작물량산출!$G$10:$L$10)/1000</f>
        <v>0</v>
      </c>
      <c r="J61" s="6"/>
      <c r="K61" s="16" t="str">
        <f aca="false">"F01="&amp;L61&amp;",F02="&amp;M61&amp;",F03="&amp;N61&amp;",F04="&amp;O61&amp;",F06="&amp;P61&amp;",Q08="&amp;Q61&amp;",Q09="&amp;R61&amp;",C04="&amp;S61&amp;","</f>
        <v>F01=0,F02=0.65,F03=2.27,F04=0.63,F06=119.25,Q08=0,Q09=0,C04=0.1,</v>
      </c>
      <c r="L61" s="19" t="n">
        <v>0</v>
      </c>
      <c r="M61" s="19" t="n">
        <v>0.65</v>
      </c>
      <c r="N61" s="19" t="n">
        <v>2.27</v>
      </c>
      <c r="O61" s="19" t="n">
        <v>0.63</v>
      </c>
      <c r="P61" s="19" t="n">
        <v>119.25</v>
      </c>
      <c r="Q61" s="19" t="n">
        <v>0</v>
      </c>
      <c r="R61" s="19" t="n">
        <v>0</v>
      </c>
      <c r="S61" s="19" t="n">
        <v>0.1</v>
      </c>
      <c r="T61" s="42" t="s">
        <v>442</v>
      </c>
      <c r="U61" s="19" t="n">
        <v>4</v>
      </c>
      <c r="V61" s="16" t="str">
        <f aca="false">T61&amp;"|"&amp;U61</f>
        <v>철피연돌류|4</v>
      </c>
    </row>
    <row r="62" customFormat="false" ht="23.25" hidden="false" customHeight="true" outlineLevel="0" collapsed="false">
      <c r="A62" s="6" t="n">
        <v>555</v>
      </c>
      <c r="B62" s="6" t="s">
        <v>54</v>
      </c>
      <c r="C62" s="6" t="n">
        <v>6100</v>
      </c>
      <c r="D62" s="6" t="s">
        <v>314</v>
      </c>
      <c r="E62" s="6" t="s">
        <v>449</v>
      </c>
      <c r="F62" s="6"/>
      <c r="G62" s="7" t="s">
        <v>450</v>
      </c>
      <c r="H62" s="6" t="s">
        <v>11</v>
      </c>
      <c r="I62" s="52" t="n">
        <f aca="false">SUMPRODUCT((제작물량산출!$G$12:$L$12=E62)*(제작물량산출!$G$6:$L$6="공장")*제작물량산출!$G$10:$L$10)/1000</f>
        <v>0</v>
      </c>
      <c r="J62" s="6"/>
      <c r="K62" s="16" t="str">
        <f aca="false">"F01="&amp;L62&amp;",F02="&amp;M62&amp;",F03="&amp;N62&amp;",F04="&amp;O62&amp;",F06="&amp;P62&amp;",Q08="&amp;Q62&amp;",Q09="&amp;R62&amp;",C04="&amp;S62&amp;","</f>
        <v>F01=0.7,F02=-0.55,F03=2.27,F04=0.63,F06=119.25,Q08=0,Q09=0,C04=0.1,</v>
      </c>
      <c r="L62" s="19" t="n">
        <v>0.7</v>
      </c>
      <c r="M62" s="19" t="n">
        <v>-0.55</v>
      </c>
      <c r="N62" s="19" t="n">
        <v>2.27</v>
      </c>
      <c r="O62" s="19" t="n">
        <v>0.63</v>
      </c>
      <c r="P62" s="19" t="n">
        <v>119.25</v>
      </c>
      <c r="Q62" s="19" t="n">
        <v>0</v>
      </c>
      <c r="R62" s="19" t="n">
        <v>0</v>
      </c>
      <c r="S62" s="19" t="n">
        <v>0.1</v>
      </c>
      <c r="T62" s="42" t="s">
        <v>451</v>
      </c>
      <c r="U62" s="19" t="n">
        <v>1</v>
      </c>
      <c r="V62" s="16" t="str">
        <f aca="false">T62&amp;"|"&amp;U62</f>
        <v>철피연돌류 가조립|1</v>
      </c>
    </row>
    <row r="63" customFormat="false" ht="23.25" hidden="false" customHeight="true" outlineLevel="0" collapsed="false">
      <c r="A63" s="6" t="n">
        <v>555</v>
      </c>
      <c r="B63" s="6" t="s">
        <v>54</v>
      </c>
      <c r="C63" s="6" t="n">
        <v>6200</v>
      </c>
      <c r="D63" s="6" t="s">
        <v>314</v>
      </c>
      <c r="E63" s="6" t="s">
        <v>452</v>
      </c>
      <c r="F63" s="6"/>
      <c r="G63" s="7" t="s">
        <v>453</v>
      </c>
      <c r="H63" s="6" t="s">
        <v>11</v>
      </c>
      <c r="I63" s="52" t="n">
        <f aca="false">SUMPRODUCT((제작물량산출!$G$12:$L$12=E63)*(제작물량산출!$G$6:$L$6="공장")*제작물량산출!$G$10:$L$10)/1000</f>
        <v>0</v>
      </c>
      <c r="J63" s="6"/>
      <c r="K63" s="16" t="str">
        <f aca="false">"F01="&amp;L63&amp;",F02="&amp;M63&amp;",F03="&amp;N63&amp;",F04="&amp;O63&amp;",F06="&amp;P63&amp;",Q08="&amp;Q63&amp;",Q09="&amp;R63&amp;",C04="&amp;S63&amp;","</f>
        <v>F01=0.5,F02=-0.55,F03=2.27,F04=0.63,F06=119.25,Q08=0,Q09=0,C04=0.1,</v>
      </c>
      <c r="L63" s="19" t="n">
        <v>0.5</v>
      </c>
      <c r="M63" s="19" t="n">
        <v>-0.55</v>
      </c>
      <c r="N63" s="19" t="n">
        <v>2.27</v>
      </c>
      <c r="O63" s="19" t="n">
        <v>0.63</v>
      </c>
      <c r="P63" s="19" t="n">
        <v>119.25</v>
      </c>
      <c r="Q63" s="19" t="n">
        <v>0</v>
      </c>
      <c r="R63" s="19" t="n">
        <v>0</v>
      </c>
      <c r="S63" s="19" t="n">
        <v>0.1</v>
      </c>
      <c r="T63" s="42" t="s">
        <v>451</v>
      </c>
      <c r="U63" s="19" t="n">
        <v>2</v>
      </c>
      <c r="V63" s="16" t="str">
        <f aca="false">T63&amp;"|"&amp;U63</f>
        <v>철피연돌류 가조립|2</v>
      </c>
    </row>
    <row r="64" customFormat="false" ht="23.25" hidden="false" customHeight="true" outlineLevel="0" collapsed="false">
      <c r="A64" s="6" t="n">
        <v>555</v>
      </c>
      <c r="B64" s="6" t="s">
        <v>54</v>
      </c>
      <c r="C64" s="6" t="n">
        <v>6300</v>
      </c>
      <c r="D64" s="6" t="s">
        <v>314</v>
      </c>
      <c r="E64" s="6" t="s">
        <v>454</v>
      </c>
      <c r="F64" s="6"/>
      <c r="G64" s="7" t="s">
        <v>455</v>
      </c>
      <c r="H64" s="6" t="s">
        <v>11</v>
      </c>
      <c r="I64" s="52" t="n">
        <f aca="false">SUMPRODUCT((제작물량산출!$G$12:$L$12=E64)*(제작물량산출!$G$6:$L$6="공장")*제작물량산출!$G$10:$L$10)/1000</f>
        <v>0</v>
      </c>
      <c r="J64" s="6"/>
      <c r="K64" s="16" t="str">
        <f aca="false">"F01="&amp;L64&amp;",F02="&amp;M64&amp;",F03="&amp;N64&amp;",F04="&amp;O64&amp;",F06="&amp;P64&amp;",Q08="&amp;Q64&amp;",Q09="&amp;R64&amp;",C04="&amp;S64&amp;","</f>
        <v>F01=0.4,F02=-0.55,F03=2.27,F04=0.63,F06=119.25,Q08=0,Q09=0,C04=0.1,</v>
      </c>
      <c r="L64" s="19" t="n">
        <v>0.4</v>
      </c>
      <c r="M64" s="19" t="n">
        <v>-0.55</v>
      </c>
      <c r="N64" s="19" t="n">
        <v>2.27</v>
      </c>
      <c r="O64" s="19" t="n">
        <v>0.63</v>
      </c>
      <c r="P64" s="19" t="n">
        <v>119.25</v>
      </c>
      <c r="Q64" s="19" t="n">
        <v>0</v>
      </c>
      <c r="R64" s="19" t="n">
        <v>0</v>
      </c>
      <c r="S64" s="19" t="n">
        <v>0.1</v>
      </c>
      <c r="T64" s="42" t="s">
        <v>451</v>
      </c>
      <c r="U64" s="19" t="n">
        <v>3</v>
      </c>
      <c r="V64" s="16" t="str">
        <f aca="false">T64&amp;"|"&amp;U64</f>
        <v>철피연돌류 가조립|3</v>
      </c>
    </row>
    <row r="65" customFormat="false" ht="23.25" hidden="false" customHeight="true" outlineLevel="0" collapsed="false">
      <c r="A65" s="6" t="n">
        <v>555</v>
      </c>
      <c r="B65" s="6" t="s">
        <v>54</v>
      </c>
      <c r="C65" s="6" t="n">
        <v>6400</v>
      </c>
      <c r="D65" s="6" t="s">
        <v>314</v>
      </c>
      <c r="E65" s="6" t="s">
        <v>456</v>
      </c>
      <c r="F65" s="6"/>
      <c r="G65" s="7" t="s">
        <v>457</v>
      </c>
      <c r="H65" s="6" t="s">
        <v>11</v>
      </c>
      <c r="I65" s="52" t="n">
        <f aca="false">SUMPRODUCT((제작물량산출!$G$12:$L$12=E65)*(제작물량산출!$G$6:$L$6="공장")*제작물량산출!$G$10:$L$10)/1000</f>
        <v>0</v>
      </c>
      <c r="J65" s="6"/>
      <c r="K65" s="16" t="str">
        <f aca="false">"F01="&amp;L65&amp;",F02="&amp;M65&amp;",F03="&amp;N65&amp;",F04="&amp;O65&amp;",F06="&amp;P65&amp;",Q08="&amp;Q65&amp;",Q09="&amp;R65&amp;",C04="&amp;S65&amp;","</f>
        <v>F01=0,F02=-0.55,F03=2.27,F04=0.63,F06=119.25,Q08=0,Q09=0,C04=0.1,</v>
      </c>
      <c r="L65" s="19" t="n">
        <v>0</v>
      </c>
      <c r="M65" s="19" t="n">
        <v>-0.55</v>
      </c>
      <c r="N65" s="19" t="n">
        <v>2.27</v>
      </c>
      <c r="O65" s="19" t="n">
        <v>0.63</v>
      </c>
      <c r="P65" s="19" t="n">
        <v>119.25</v>
      </c>
      <c r="Q65" s="19" t="n">
        <v>0</v>
      </c>
      <c r="R65" s="19" t="n">
        <v>0</v>
      </c>
      <c r="S65" s="19" t="n">
        <v>0.1</v>
      </c>
      <c r="T65" s="42" t="s">
        <v>451</v>
      </c>
      <c r="U65" s="19" t="n">
        <v>4</v>
      </c>
      <c r="V65" s="16" t="str">
        <f aca="false">T65&amp;"|"&amp;U65</f>
        <v>철피연돌류 가조립|4</v>
      </c>
    </row>
    <row r="66" customFormat="false" ht="23.25" hidden="false" customHeight="true" outlineLevel="0" collapsed="false">
      <c r="A66" s="6" t="n">
        <v>555</v>
      </c>
      <c r="B66" s="6" t="s">
        <v>54</v>
      </c>
      <c r="C66" s="6" t="n">
        <v>6500</v>
      </c>
      <c r="D66" s="6" t="s">
        <v>314</v>
      </c>
      <c r="E66" s="6" t="s">
        <v>458</v>
      </c>
      <c r="F66" s="6"/>
      <c r="G66" s="7" t="s">
        <v>459</v>
      </c>
      <c r="H66" s="6" t="s">
        <v>11</v>
      </c>
      <c r="I66" s="52" t="n">
        <f aca="false">SUMPRODUCT((제작물량산출!$G$12:$L$12=E66)*(제작물량산출!$G$6:$L$6="공장")*제작물량산출!$G$10:$L$10)/1000</f>
        <v>0</v>
      </c>
      <c r="J66" s="6"/>
      <c r="K66" s="16" t="str">
        <f aca="false">"F01="&amp;L66&amp;",F02="&amp;M66&amp;",F03="&amp;N66&amp;",F04="&amp;O66&amp;",F06="&amp;P66&amp;",Q08="&amp;Q66&amp;",Q09="&amp;R66&amp;",C04="&amp;S66&amp;","</f>
        <v>F01=0.7,F02=0.35,F03=2.59,F04=0.65,F06=159.75,Q08=0,Q09=0,C04=0.1,</v>
      </c>
      <c r="L66" s="19" t="n">
        <v>0.7</v>
      </c>
      <c r="M66" s="19" t="n">
        <v>0.35</v>
      </c>
      <c r="N66" s="19" t="n">
        <v>2.59</v>
      </c>
      <c r="O66" s="19" t="n">
        <v>0.65</v>
      </c>
      <c r="P66" s="19" t="n">
        <v>159.75</v>
      </c>
      <c r="Q66" s="19" t="n">
        <v>0</v>
      </c>
      <c r="R66" s="19" t="n">
        <v>0</v>
      </c>
      <c r="S66" s="19" t="n">
        <v>0.1</v>
      </c>
      <c r="T66" s="42" t="s">
        <v>460</v>
      </c>
      <c r="U66" s="19" t="n">
        <v>1</v>
      </c>
      <c r="V66" s="16" t="str">
        <f aca="false">T66&amp;"|"&amp;U66</f>
        <v>베이스 플레이트류|1</v>
      </c>
    </row>
    <row r="67" customFormat="false" ht="23.25" hidden="false" customHeight="true" outlineLevel="0" collapsed="false">
      <c r="A67" s="6" t="n">
        <v>555</v>
      </c>
      <c r="B67" s="6" t="s">
        <v>54</v>
      </c>
      <c r="C67" s="6" t="n">
        <v>6600</v>
      </c>
      <c r="D67" s="6" t="s">
        <v>314</v>
      </c>
      <c r="E67" s="6" t="s">
        <v>461</v>
      </c>
      <c r="F67" s="6"/>
      <c r="G67" s="7" t="s">
        <v>462</v>
      </c>
      <c r="H67" s="6" t="s">
        <v>11</v>
      </c>
      <c r="I67" s="52" t="n">
        <f aca="false">SUMPRODUCT((제작물량산출!$G$12:$L$12=E67)*(제작물량산출!$G$6:$L$6="공장")*제작물량산출!$G$10:$L$10)/1000</f>
        <v>0</v>
      </c>
      <c r="J67" s="6"/>
      <c r="K67" s="16" t="str">
        <f aca="false">"F01="&amp;L67&amp;",F02="&amp;M67&amp;",F03="&amp;N67&amp;",F04="&amp;O67&amp;",F06="&amp;P67&amp;",Q08="&amp;Q67&amp;",Q09="&amp;R67&amp;",C04="&amp;S67&amp;","</f>
        <v>F01=0.5,F02=0.35,F03=2.59,F04=0.65,F06=159.75,Q08=0,Q09=0,C04=0.1,</v>
      </c>
      <c r="L67" s="19" t="n">
        <v>0.5</v>
      </c>
      <c r="M67" s="19" t="n">
        <v>0.35</v>
      </c>
      <c r="N67" s="19" t="n">
        <v>2.59</v>
      </c>
      <c r="O67" s="19" t="n">
        <v>0.65</v>
      </c>
      <c r="P67" s="19" t="n">
        <v>159.75</v>
      </c>
      <c r="Q67" s="19" t="n">
        <v>0</v>
      </c>
      <c r="R67" s="19" t="n">
        <v>0</v>
      </c>
      <c r="S67" s="19" t="n">
        <v>0.1</v>
      </c>
      <c r="T67" s="42" t="s">
        <v>460</v>
      </c>
      <c r="U67" s="19" t="n">
        <v>2</v>
      </c>
      <c r="V67" s="16" t="str">
        <f aca="false">T67&amp;"|"&amp;U67</f>
        <v>베이스 플레이트류|2</v>
      </c>
    </row>
    <row r="68" customFormat="false" ht="23.25" hidden="false" customHeight="true" outlineLevel="0" collapsed="false">
      <c r="A68" s="6" t="n">
        <v>555</v>
      </c>
      <c r="B68" s="6" t="s">
        <v>54</v>
      </c>
      <c r="C68" s="6" t="n">
        <v>6700</v>
      </c>
      <c r="D68" s="6" t="s">
        <v>314</v>
      </c>
      <c r="E68" s="6" t="s">
        <v>463</v>
      </c>
      <c r="F68" s="6"/>
      <c r="G68" s="7" t="s">
        <v>464</v>
      </c>
      <c r="H68" s="6" t="s">
        <v>11</v>
      </c>
      <c r="I68" s="52" t="n">
        <f aca="false">SUMPRODUCT((제작물량산출!$G$12:$L$12=E68)*(제작물량산출!$G$6:$L$6="공장")*제작물량산출!$G$10:$L$10)/1000</f>
        <v>0</v>
      </c>
      <c r="J68" s="6"/>
      <c r="K68" s="16" t="str">
        <f aca="false">"F01="&amp;L68&amp;",F02="&amp;M68&amp;",F03="&amp;N68&amp;",F04="&amp;O68&amp;",F06="&amp;P68&amp;",Q08="&amp;Q68&amp;",Q09="&amp;R68&amp;",C04="&amp;S68&amp;","</f>
        <v>F01=0.4,F02=0.35,F03=2.59,F04=0.65,F06=159.75,Q08=0,Q09=0,C04=0.1,</v>
      </c>
      <c r="L68" s="19" t="n">
        <v>0.4</v>
      </c>
      <c r="M68" s="19" t="n">
        <v>0.35</v>
      </c>
      <c r="N68" s="19" t="n">
        <v>2.59</v>
      </c>
      <c r="O68" s="19" t="n">
        <v>0.65</v>
      </c>
      <c r="P68" s="19" t="n">
        <v>159.75</v>
      </c>
      <c r="Q68" s="19" t="n">
        <v>0</v>
      </c>
      <c r="R68" s="19" t="n">
        <v>0</v>
      </c>
      <c r="S68" s="19" t="n">
        <v>0.1</v>
      </c>
      <c r="T68" s="42" t="s">
        <v>460</v>
      </c>
      <c r="U68" s="19" t="n">
        <v>3</v>
      </c>
      <c r="V68" s="16" t="str">
        <f aca="false">T68&amp;"|"&amp;U68</f>
        <v>베이스 플레이트류|3</v>
      </c>
    </row>
    <row r="69" customFormat="false" ht="23.25" hidden="false" customHeight="true" outlineLevel="0" collapsed="false">
      <c r="A69" s="6" t="n">
        <v>555</v>
      </c>
      <c r="B69" s="6" t="s">
        <v>54</v>
      </c>
      <c r="C69" s="6" t="n">
        <v>6800</v>
      </c>
      <c r="D69" s="6" t="s">
        <v>314</v>
      </c>
      <c r="E69" s="6" t="s">
        <v>465</v>
      </c>
      <c r="F69" s="6"/>
      <c r="G69" s="7" t="s">
        <v>466</v>
      </c>
      <c r="H69" s="6" t="s">
        <v>11</v>
      </c>
      <c r="I69" s="52" t="n">
        <f aca="false">SUMPRODUCT((제작물량산출!$G$12:$L$12=E69)*(제작물량산출!$G$6:$L$6="공장")*제작물량산출!$G$10:$L$10)/1000</f>
        <v>0</v>
      </c>
      <c r="J69" s="6"/>
      <c r="K69" s="16" t="str">
        <f aca="false">"F01="&amp;L69&amp;",F02="&amp;M69&amp;",F03="&amp;N69&amp;",F04="&amp;O69&amp;",F06="&amp;P69&amp;",Q08="&amp;Q69&amp;",Q09="&amp;R69&amp;",C04="&amp;S69&amp;","</f>
        <v>F01=0,F02=0.35,F03=2.59,F04=0.65,F06=159.75,Q08=0,Q09=0,C04=0.1,</v>
      </c>
      <c r="L69" s="19" t="n">
        <v>0</v>
      </c>
      <c r="M69" s="19" t="n">
        <v>0.35</v>
      </c>
      <c r="N69" s="19" t="n">
        <v>2.59</v>
      </c>
      <c r="O69" s="19" t="n">
        <v>0.65</v>
      </c>
      <c r="P69" s="19" t="n">
        <v>159.75</v>
      </c>
      <c r="Q69" s="19" t="n">
        <v>0</v>
      </c>
      <c r="R69" s="19" t="n">
        <v>0</v>
      </c>
      <c r="S69" s="19" t="n">
        <v>0.1</v>
      </c>
      <c r="T69" s="42" t="s">
        <v>460</v>
      </c>
      <c r="U69" s="19" t="n">
        <v>4</v>
      </c>
      <c r="V69" s="16" t="str">
        <f aca="false">T69&amp;"|"&amp;U69</f>
        <v>베이스 플레이트류|4</v>
      </c>
    </row>
    <row r="71" customFormat="false" ht="15" hidden="false" customHeight="true" outlineLevel="0" collapsed="false">
      <c r="A71" s="3" t="s">
        <v>467</v>
      </c>
    </row>
  </sheetData>
  <autoFilter ref="A1:V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4" min="3" style="1" width="3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8" min="7" style="1" width="10"/>
    <col collapsed="false" customWidth="true" hidden="false" outlineLevel="0" max="9" min="9" style="1" width="26"/>
    <col collapsed="false" customWidth="true" hidden="false" outlineLevel="0" max="10" min="10" style="1" width="3"/>
    <col collapsed="false" customWidth="true" hidden="false" outlineLevel="0" max="11" min="11" style="1" width="22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30"/>
  </cols>
  <sheetData>
    <row r="1" customFormat="false" ht="19.5" hidden="false" customHeight="true" outlineLevel="0" collapsed="false">
      <c r="A1" s="49" t="s">
        <v>468</v>
      </c>
    </row>
    <row r="2" customFormat="false" ht="15" hidden="false" customHeight="true" outlineLevel="0" collapsed="false">
      <c r="A2" s="3" t="s">
        <v>469</v>
      </c>
    </row>
    <row r="4" customFormat="false" ht="15" hidden="false" customHeight="true" outlineLevel="0" collapsed="false">
      <c r="A4" s="4" t="s">
        <v>231</v>
      </c>
      <c r="B4" s="4" t="s">
        <v>232</v>
      </c>
      <c r="E4" s="4" t="s">
        <v>470</v>
      </c>
      <c r="F4" s="4" t="s">
        <v>471</v>
      </c>
      <c r="G4" s="4" t="s">
        <v>472</v>
      </c>
      <c r="H4" s="4" t="s">
        <v>473</v>
      </c>
      <c r="I4" s="4" t="s">
        <v>313</v>
      </c>
      <c r="K4" s="4" t="s">
        <v>474</v>
      </c>
      <c r="L4" s="4" t="s">
        <v>475</v>
      </c>
      <c r="M4" s="4" t="s">
        <v>476</v>
      </c>
      <c r="N4" s="66" t="s">
        <v>477</v>
      </c>
    </row>
    <row r="5" customFormat="false" ht="15" hidden="false" customHeight="true" outlineLevel="0" collapsed="false">
      <c r="A5" s="42" t="s">
        <v>478</v>
      </c>
      <c r="B5" s="67" t="n">
        <v>0.05</v>
      </c>
      <c r="E5" s="19" t="s">
        <v>260</v>
      </c>
      <c r="F5" s="19" t="s">
        <v>479</v>
      </c>
      <c r="G5" s="68" t="n">
        <v>0.03299</v>
      </c>
      <c r="H5" s="69" t="n">
        <v>78.727</v>
      </c>
      <c r="I5" s="16" t="str">
        <f aca="false">E5&amp;"|"&amp;F5</f>
        <v>PIPE|6A</v>
      </c>
      <c r="K5" s="7" t="s">
        <v>480</v>
      </c>
      <c r="L5" s="40" t="n">
        <v>2.25</v>
      </c>
      <c r="M5" s="16" t="s">
        <v>481</v>
      </c>
      <c r="N5" s="42" t="s">
        <v>209</v>
      </c>
    </row>
    <row r="6" customFormat="false" ht="15" hidden="false" customHeight="true" outlineLevel="0" collapsed="false">
      <c r="A6" s="42" t="s">
        <v>482</v>
      </c>
      <c r="B6" s="67" t="n">
        <v>0.045</v>
      </c>
      <c r="E6" s="19" t="s">
        <v>260</v>
      </c>
      <c r="F6" s="19" t="s">
        <v>483</v>
      </c>
      <c r="G6" s="68" t="n">
        <v>0.04335</v>
      </c>
      <c r="H6" s="69" t="n">
        <v>65.292</v>
      </c>
      <c r="I6" s="16" t="str">
        <f aca="false">E6&amp;"|"&amp;F6</f>
        <v>PIPE|8A</v>
      </c>
      <c r="K6" s="7" t="s">
        <v>484</v>
      </c>
      <c r="L6" s="40" t="n">
        <v>0.33</v>
      </c>
      <c r="M6" s="16" t="s">
        <v>485</v>
      </c>
      <c r="N6" s="42" t="s">
        <v>325</v>
      </c>
    </row>
    <row r="7" customFormat="false" ht="15" hidden="false" customHeight="true" outlineLevel="0" collapsed="false">
      <c r="A7" s="42" t="s">
        <v>272</v>
      </c>
      <c r="B7" s="67" t="n">
        <v>0.05</v>
      </c>
      <c r="E7" s="19" t="s">
        <v>260</v>
      </c>
      <c r="F7" s="19" t="s">
        <v>486</v>
      </c>
      <c r="G7" s="68" t="n">
        <v>0.05435</v>
      </c>
      <c r="H7" s="69" t="n">
        <v>62.759</v>
      </c>
      <c r="I7" s="16" t="str">
        <f aca="false">E7&amp;"|"&amp;F7</f>
        <v>PIPE|10A</v>
      </c>
      <c r="K7" s="16" t="s">
        <v>487</v>
      </c>
      <c r="L7" s="70" t="n">
        <v>0.7</v>
      </c>
      <c r="M7" s="16" t="s">
        <v>488</v>
      </c>
      <c r="N7" s="42" t="s">
        <v>334</v>
      </c>
    </row>
    <row r="8" customFormat="false" ht="15" hidden="false" customHeight="true" outlineLevel="0" collapsed="false">
      <c r="A8" s="42" t="s">
        <v>276</v>
      </c>
      <c r="B8" s="67" t="n">
        <v>0.03</v>
      </c>
      <c r="E8" s="19" t="s">
        <v>260</v>
      </c>
      <c r="F8" s="19" t="s">
        <v>489</v>
      </c>
      <c r="G8" s="68" t="n">
        <v>0.06817</v>
      </c>
      <c r="H8" s="69" t="n">
        <v>54.538</v>
      </c>
      <c r="I8" s="16" t="str">
        <f aca="false">E8&amp;"|"&amp;F8</f>
        <v>PIPE|15A</v>
      </c>
      <c r="K8" s="7" t="s">
        <v>490</v>
      </c>
      <c r="L8" s="40" t="n">
        <v>7.85</v>
      </c>
      <c r="M8" s="7" t="s">
        <v>491</v>
      </c>
      <c r="N8" s="42" t="s">
        <v>343</v>
      </c>
    </row>
    <row r="9" customFormat="false" ht="15" hidden="false" customHeight="true" outlineLevel="0" collapsed="false">
      <c r="A9" s="42" t="s">
        <v>256</v>
      </c>
      <c r="B9" s="67" t="n">
        <v>0.05</v>
      </c>
      <c r="E9" s="19" t="s">
        <v>260</v>
      </c>
      <c r="F9" s="19" t="s">
        <v>492</v>
      </c>
      <c r="G9" s="68" t="n">
        <v>0.08545</v>
      </c>
      <c r="H9" s="69" t="n">
        <v>53.407</v>
      </c>
      <c r="I9" s="16" t="str">
        <f aca="false">E9&amp;"|"&amp;F9</f>
        <v>PIPE|20A</v>
      </c>
      <c r="N9" s="42" t="s">
        <v>352</v>
      </c>
    </row>
    <row r="10" customFormat="false" ht="15" hidden="false" customHeight="true" outlineLevel="0" collapsed="false">
      <c r="A10" s="42" t="s">
        <v>263</v>
      </c>
      <c r="B10" s="67" t="n">
        <v>0.05</v>
      </c>
      <c r="E10" s="19" t="s">
        <v>260</v>
      </c>
      <c r="F10" s="19" t="s">
        <v>261</v>
      </c>
      <c r="G10" s="68" t="n">
        <v>0.10681</v>
      </c>
      <c r="H10" s="69" t="n">
        <v>43.598</v>
      </c>
      <c r="I10" s="16" t="str">
        <f aca="false">E10&amp;"|"&amp;F10</f>
        <v>PIPE|25A</v>
      </c>
      <c r="K10" s="29" t="s">
        <v>493</v>
      </c>
      <c r="N10" s="42" t="s">
        <v>361</v>
      </c>
    </row>
    <row r="11" customFormat="false" ht="15" hidden="false" customHeight="true" outlineLevel="0" collapsed="false">
      <c r="A11" s="42" t="s">
        <v>494</v>
      </c>
      <c r="B11" s="67" t="n">
        <v>0.025</v>
      </c>
      <c r="E11" s="19" t="s">
        <v>260</v>
      </c>
      <c r="F11" s="19" t="s">
        <v>495</v>
      </c>
      <c r="G11" s="68" t="n">
        <v>0.13415</v>
      </c>
      <c r="H11" s="69" t="n">
        <v>42.451</v>
      </c>
      <c r="I11" s="16" t="str">
        <f aca="false">E11&amp;"|"&amp;F11</f>
        <v>PIPE|32A</v>
      </c>
      <c r="K11" s="3" t="s">
        <v>496</v>
      </c>
      <c r="N11" s="42" t="s">
        <v>370</v>
      </c>
    </row>
    <row r="12" customFormat="false" ht="15" hidden="false" customHeight="true" outlineLevel="0" collapsed="false">
      <c r="A12" s="32" t="s">
        <v>497</v>
      </c>
      <c r="B12" s="67" t="n">
        <v>0.1</v>
      </c>
      <c r="E12" s="19" t="s">
        <v>260</v>
      </c>
      <c r="F12" s="19" t="s">
        <v>498</v>
      </c>
      <c r="G12" s="68" t="n">
        <v>0.15268</v>
      </c>
      <c r="H12" s="69" t="n">
        <v>42.061</v>
      </c>
      <c r="I12" s="16" t="str">
        <f aca="false">E12&amp;"|"&amp;F12</f>
        <v>PIPE|40A</v>
      </c>
      <c r="N12" s="42" t="s">
        <v>379</v>
      </c>
    </row>
    <row r="13" customFormat="false" ht="15" hidden="false" customHeight="true" outlineLevel="0" collapsed="false">
      <c r="A13" s="32" t="s">
        <v>499</v>
      </c>
      <c r="B13" s="67" t="n">
        <v>0.05</v>
      </c>
      <c r="E13" s="19" t="s">
        <v>260</v>
      </c>
      <c r="F13" s="19" t="s">
        <v>500</v>
      </c>
      <c r="G13" s="68" t="n">
        <v>0.19007</v>
      </c>
      <c r="H13" s="69" t="n">
        <v>37.122</v>
      </c>
      <c r="I13" s="16" t="str">
        <f aca="false">E13&amp;"|"&amp;F13</f>
        <v>PIPE|50A</v>
      </c>
      <c r="N13" s="42" t="s">
        <v>388</v>
      </c>
    </row>
    <row r="14" customFormat="false" ht="15" hidden="false" customHeight="true" outlineLevel="0" collapsed="false">
      <c r="A14" s="42" t="s">
        <v>501</v>
      </c>
      <c r="B14" s="67" t="n">
        <v>0.05</v>
      </c>
      <c r="E14" s="19" t="s">
        <v>260</v>
      </c>
      <c r="F14" s="19" t="s">
        <v>502</v>
      </c>
      <c r="G14" s="68" t="n">
        <v>0.2397</v>
      </c>
      <c r="H14" s="69" t="n">
        <v>37.808</v>
      </c>
      <c r="I14" s="16" t="str">
        <f aca="false">E14&amp;"|"&amp;F14</f>
        <v>PIPE|65A</v>
      </c>
      <c r="N14" s="42" t="s">
        <v>397</v>
      </c>
    </row>
    <row r="15" customFormat="false" ht="15" hidden="false" customHeight="true" outlineLevel="0" collapsed="false">
      <c r="A15" s="42" t="s">
        <v>503</v>
      </c>
      <c r="B15" s="67" t="n">
        <v>0.025</v>
      </c>
      <c r="E15" s="19" t="s">
        <v>260</v>
      </c>
      <c r="F15" s="19" t="s">
        <v>504</v>
      </c>
      <c r="G15" s="68" t="n">
        <v>0.27992</v>
      </c>
      <c r="H15" s="69" t="n">
        <v>32.97</v>
      </c>
      <c r="I15" s="16" t="str">
        <f aca="false">E15&amp;"|"&amp;F15</f>
        <v>PIPE|80A</v>
      </c>
      <c r="N15" s="42" t="s">
        <v>406</v>
      </c>
    </row>
    <row r="16" customFormat="false" ht="15" hidden="false" customHeight="true" outlineLevel="0" collapsed="false">
      <c r="A16" s="42" t="s">
        <v>238</v>
      </c>
      <c r="B16" s="67" t="n">
        <v>0.035</v>
      </c>
      <c r="E16" s="19" t="s">
        <v>260</v>
      </c>
      <c r="F16" s="19" t="s">
        <v>505</v>
      </c>
      <c r="G16" s="68" t="n">
        <v>0.3192</v>
      </c>
      <c r="H16" s="69" t="n">
        <v>32.771</v>
      </c>
      <c r="I16" s="16" t="str">
        <f aca="false">E16&amp;"|"&amp;F16</f>
        <v>PIPE|90A</v>
      </c>
      <c r="N16" s="42" t="s">
        <v>415</v>
      </c>
    </row>
    <row r="17" customFormat="false" ht="15" hidden="false" customHeight="true" outlineLevel="0" collapsed="false">
      <c r="A17" s="42" t="s">
        <v>251</v>
      </c>
      <c r="B17" s="67" t="n">
        <v>0.025</v>
      </c>
      <c r="E17" s="19" t="s">
        <v>260</v>
      </c>
      <c r="F17" s="19" t="s">
        <v>506</v>
      </c>
      <c r="G17" s="68" t="n">
        <v>0.3591</v>
      </c>
      <c r="H17" s="69" t="n">
        <v>29.433</v>
      </c>
      <c r="I17" s="16" t="str">
        <f aca="false">E17&amp;"|"&amp;F17</f>
        <v>PIPE|100A</v>
      </c>
      <c r="N17" s="42" t="s">
        <v>424</v>
      </c>
    </row>
    <row r="18" customFormat="false" ht="15" hidden="false" customHeight="true" outlineLevel="0" collapsed="false">
      <c r="A18" s="42" t="s">
        <v>507</v>
      </c>
      <c r="B18" s="67" t="n">
        <v>0.025</v>
      </c>
      <c r="E18" s="19" t="s">
        <v>260</v>
      </c>
      <c r="F18" s="19" t="s">
        <v>508</v>
      </c>
      <c r="G18" s="68" t="n">
        <v>0.4392</v>
      </c>
      <c r="H18" s="69" t="n">
        <v>27.279</v>
      </c>
      <c r="I18" s="16" t="str">
        <f aca="false">E18&amp;"|"&amp;F18</f>
        <v>PIPE|125A</v>
      </c>
      <c r="N18" s="32" t="s">
        <v>433</v>
      </c>
    </row>
    <row r="19" customFormat="false" ht="15" hidden="false" customHeight="true" outlineLevel="0" collapsed="false">
      <c r="A19" s="42" t="s">
        <v>509</v>
      </c>
      <c r="B19" s="67" t="n">
        <v>0.025</v>
      </c>
      <c r="E19" s="19" t="s">
        <v>260</v>
      </c>
      <c r="F19" s="19" t="s">
        <v>510</v>
      </c>
      <c r="G19" s="68" t="n">
        <v>0.519</v>
      </c>
      <c r="H19" s="69" t="n">
        <v>27.031</v>
      </c>
      <c r="I19" s="16" t="str">
        <f aca="false">E19&amp;"|"&amp;F19</f>
        <v>PIPE|150A</v>
      </c>
      <c r="N19" s="42" t="s">
        <v>442</v>
      </c>
    </row>
    <row r="20" customFormat="false" ht="15" hidden="false" customHeight="true" outlineLevel="0" collapsed="false">
      <c r="A20" s="42" t="s">
        <v>511</v>
      </c>
      <c r="B20" s="67" t="n">
        <v>0.025</v>
      </c>
      <c r="E20" s="19" t="s">
        <v>260</v>
      </c>
      <c r="F20" s="19" t="s">
        <v>512</v>
      </c>
      <c r="G20" s="68" t="n">
        <v>0.5991</v>
      </c>
      <c r="H20" s="69" t="n">
        <v>22.16</v>
      </c>
      <c r="I20" s="16" t="str">
        <f aca="false">E20&amp;"|"&amp;F20</f>
        <v>PIPE|175A</v>
      </c>
      <c r="N20" s="42" t="s">
        <v>451</v>
      </c>
    </row>
    <row r="21" customFormat="false" ht="15" hidden="false" customHeight="true" outlineLevel="0" collapsed="false">
      <c r="A21" s="42" t="s">
        <v>513</v>
      </c>
      <c r="B21" s="67" t="n">
        <v>0.05</v>
      </c>
      <c r="E21" s="19" t="s">
        <v>260</v>
      </c>
      <c r="F21" s="19" t="s">
        <v>514</v>
      </c>
      <c r="G21" s="68" t="n">
        <v>0.6795</v>
      </c>
      <c r="H21" s="69" t="n">
        <v>22.353</v>
      </c>
      <c r="I21" s="16" t="str">
        <f aca="false">E21&amp;"|"&amp;F21</f>
        <v>PIPE|200A</v>
      </c>
      <c r="N21" s="42" t="s">
        <v>460</v>
      </c>
    </row>
    <row r="22" customFormat="false" ht="15" hidden="false" customHeight="true" outlineLevel="0" collapsed="false">
      <c r="A22" s="42" t="s">
        <v>515</v>
      </c>
      <c r="B22" s="67" t="n">
        <v>0.025</v>
      </c>
      <c r="E22" s="19" t="s">
        <v>260</v>
      </c>
      <c r="F22" s="19" t="s">
        <v>516</v>
      </c>
      <c r="G22" s="68" t="n">
        <v>0.7596</v>
      </c>
      <c r="H22" s="69" t="n">
        <v>21.101</v>
      </c>
      <c r="I22" s="16" t="str">
        <f aca="false">E22&amp;"|"&amp;F22</f>
        <v>PIPE|225A</v>
      </c>
    </row>
    <row r="23" customFormat="false" ht="15" hidden="false" customHeight="true" outlineLevel="0" collapsed="false">
      <c r="A23" s="42" t="s">
        <v>517</v>
      </c>
      <c r="B23" s="67" t="n">
        <v>0.015</v>
      </c>
      <c r="E23" s="19" t="s">
        <v>260</v>
      </c>
      <c r="F23" s="19" t="s">
        <v>518</v>
      </c>
      <c r="G23" s="68" t="n">
        <v>0.8401</v>
      </c>
      <c r="H23" s="69" t="n">
        <v>20.39</v>
      </c>
      <c r="I23" s="16" t="str">
        <f aca="false">E23&amp;"|"&amp;F23</f>
        <v>PIPE|250A</v>
      </c>
    </row>
    <row r="24" customFormat="false" ht="15" hidden="false" customHeight="true" outlineLevel="0" collapsed="false">
      <c r="A24" s="42" t="s">
        <v>519</v>
      </c>
      <c r="B24" s="67" t="n">
        <v>0</v>
      </c>
      <c r="E24" s="19" t="s">
        <v>260</v>
      </c>
      <c r="F24" s="19" t="s">
        <v>520</v>
      </c>
      <c r="G24" s="68" t="n">
        <v>1.0006</v>
      </c>
      <c r="H24" s="69" t="n">
        <v>18.598</v>
      </c>
      <c r="I24" s="16" t="str">
        <f aca="false">E24&amp;"|"&amp;F24</f>
        <v>PIPE|300A</v>
      </c>
    </row>
    <row r="25" customFormat="false" ht="15" hidden="false" customHeight="true" outlineLevel="0" collapsed="false">
      <c r="A25" s="42" t="s">
        <v>521</v>
      </c>
      <c r="B25" s="67" t="n">
        <v>0.035</v>
      </c>
      <c r="E25" s="19" t="s">
        <v>260</v>
      </c>
      <c r="F25" s="19" t="s">
        <v>522</v>
      </c>
      <c r="G25" s="68" t="n">
        <v>1.1172</v>
      </c>
      <c r="H25" s="69" t="n">
        <v>17.134</v>
      </c>
      <c r="I25" s="16" t="str">
        <f aca="false">E25&amp;"|"&amp;F25</f>
        <v>PIPE|350A</v>
      </c>
    </row>
    <row r="26" customFormat="false" ht="15" hidden="false" customHeight="true" outlineLevel="0" collapsed="false">
      <c r="A26" s="42" t="s">
        <v>523</v>
      </c>
      <c r="B26" s="67" t="n">
        <v>0.025</v>
      </c>
      <c r="E26" s="19" t="s">
        <v>260</v>
      </c>
      <c r="F26" s="19" t="s">
        <v>524</v>
      </c>
      <c r="G26" s="68" t="n">
        <v>1.2767</v>
      </c>
      <c r="H26" s="69" t="n">
        <v>16.453</v>
      </c>
      <c r="I26" s="16" t="str">
        <f aca="false">E26&amp;"|"&amp;F26</f>
        <v>PIPE|400A</v>
      </c>
    </row>
    <row r="27" customFormat="false" ht="15" hidden="false" customHeight="true" outlineLevel="0" collapsed="false">
      <c r="A27" s="42" t="s">
        <v>525</v>
      </c>
      <c r="B27" s="67" t="n">
        <v>0.05</v>
      </c>
      <c r="E27" s="19" t="s">
        <v>260</v>
      </c>
      <c r="F27" s="19" t="s">
        <v>526</v>
      </c>
      <c r="G27" s="68" t="n">
        <v>1.4363</v>
      </c>
      <c r="H27" s="69" t="n">
        <v>16.415</v>
      </c>
      <c r="I27" s="16" t="str">
        <f aca="false">E27&amp;"|"&amp;F27</f>
        <v>PIPE|450A</v>
      </c>
    </row>
    <row r="28" customFormat="false" ht="15" hidden="false" customHeight="true" outlineLevel="0" collapsed="false">
      <c r="A28" s="42" t="s">
        <v>527</v>
      </c>
      <c r="B28" s="67" t="n">
        <v>0.03</v>
      </c>
      <c r="E28" s="19" t="s">
        <v>260</v>
      </c>
      <c r="F28" s="19" t="s">
        <v>528</v>
      </c>
      <c r="G28" s="68" t="n">
        <v>1.5959</v>
      </c>
      <c r="H28" s="69" t="n">
        <v>16.385</v>
      </c>
      <c r="I28" s="16" t="str">
        <f aca="false">E28&amp;"|"&amp;F28</f>
        <v>PIPE|500A</v>
      </c>
    </row>
    <row r="29" customFormat="false" ht="15" hidden="false" customHeight="true" outlineLevel="0" collapsed="false">
      <c r="A29" s="42" t="s">
        <v>529</v>
      </c>
      <c r="B29" s="67" t="n">
        <v>0.1</v>
      </c>
      <c r="E29" s="19" t="s">
        <v>248</v>
      </c>
      <c r="F29" s="19" t="s">
        <v>530</v>
      </c>
      <c r="G29" s="68" t="n">
        <v>0.07657</v>
      </c>
      <c r="H29" s="69" t="n">
        <v>86.53</v>
      </c>
      <c r="I29" s="16" t="str">
        <f aca="false">E29&amp;"|"&amp;F29</f>
        <v>ANGLE|20X3</v>
      </c>
    </row>
    <row r="30" customFormat="false" ht="15" hidden="false" customHeight="true" outlineLevel="0" collapsed="false">
      <c r="A30" s="42" t="s">
        <v>279</v>
      </c>
      <c r="B30" s="67" t="n">
        <v>0</v>
      </c>
      <c r="E30" s="19" t="s">
        <v>248</v>
      </c>
      <c r="F30" s="19" t="s">
        <v>531</v>
      </c>
      <c r="G30" s="68" t="n">
        <v>0.09657</v>
      </c>
      <c r="H30" s="69" t="n">
        <v>86.19</v>
      </c>
      <c r="I30" s="16" t="str">
        <f aca="false">E30&amp;"|"&amp;F30</f>
        <v>ANGLE|25X3</v>
      </c>
    </row>
    <row r="31" customFormat="false" ht="15" hidden="false" customHeight="true" outlineLevel="0" collapsed="false">
      <c r="E31" s="19" t="s">
        <v>248</v>
      </c>
      <c r="F31" s="19" t="s">
        <v>532</v>
      </c>
      <c r="G31" s="68" t="n">
        <v>0.11657</v>
      </c>
      <c r="H31" s="69" t="n">
        <v>85.97</v>
      </c>
      <c r="I31" s="16" t="str">
        <f aca="false">E31&amp;"|"&amp;F31</f>
        <v>ANGLE|30X3</v>
      </c>
    </row>
    <row r="32" customFormat="false" ht="15" hidden="false" customHeight="true" outlineLevel="0" collapsed="false">
      <c r="E32" s="19" t="s">
        <v>248</v>
      </c>
      <c r="F32" s="19" t="s">
        <v>533</v>
      </c>
      <c r="G32" s="68" t="n">
        <v>0.11571</v>
      </c>
      <c r="H32" s="69" t="n">
        <v>53.68</v>
      </c>
      <c r="I32" s="16" t="str">
        <f aca="false">E32&amp;"|"&amp;F32</f>
        <v>ANGLE|30X5</v>
      </c>
    </row>
    <row r="33" customFormat="false" ht="15" hidden="false" customHeight="true" outlineLevel="0" collapsed="false">
      <c r="E33" s="19" t="s">
        <v>248</v>
      </c>
      <c r="F33" s="19" t="s">
        <v>534</v>
      </c>
      <c r="G33" s="68" t="n">
        <v>0.13635</v>
      </c>
      <c r="H33" s="69" t="n">
        <v>85.3</v>
      </c>
      <c r="I33" s="16" t="str">
        <f aca="false">E33&amp;"|"&amp;F33</f>
        <v>ANGLE|35X3</v>
      </c>
    </row>
    <row r="34" customFormat="false" ht="15" hidden="false" customHeight="true" outlineLevel="0" collapsed="false">
      <c r="E34" s="19" t="s">
        <v>248</v>
      </c>
      <c r="F34" s="19" t="s">
        <v>535</v>
      </c>
      <c r="G34" s="68" t="n">
        <v>0.13549</v>
      </c>
      <c r="H34" s="69" t="n">
        <v>53.03</v>
      </c>
      <c r="I34" s="16" t="str">
        <f aca="false">E34&amp;"|"&amp;F34</f>
        <v>ANGLE|35X5</v>
      </c>
    </row>
    <row r="35" customFormat="false" ht="15" hidden="false" customHeight="true" outlineLevel="0" collapsed="false">
      <c r="E35" s="19" t="s">
        <v>248</v>
      </c>
      <c r="F35" s="19" t="s">
        <v>536</v>
      </c>
      <c r="G35" s="68" t="n">
        <v>0.15635</v>
      </c>
      <c r="H35" s="69" t="n">
        <v>85.25</v>
      </c>
      <c r="I35" s="16" t="str">
        <f aca="false">E35&amp;"|"&amp;F35</f>
        <v>ANGLE|40X3</v>
      </c>
    </row>
    <row r="36" customFormat="false" ht="15" hidden="false" customHeight="true" outlineLevel="0" collapsed="false">
      <c r="E36" s="19" t="s">
        <v>248</v>
      </c>
      <c r="F36" s="19" t="s">
        <v>537</v>
      </c>
      <c r="G36" s="68" t="n">
        <v>0.15549</v>
      </c>
      <c r="H36" s="69" t="n">
        <v>52.75</v>
      </c>
      <c r="I36" s="16" t="str">
        <f aca="false">E36&amp;"|"&amp;F36</f>
        <v>ANGLE|40X5</v>
      </c>
    </row>
    <row r="37" customFormat="false" ht="15" hidden="false" customHeight="true" outlineLevel="0" collapsed="false">
      <c r="E37" s="19" t="s">
        <v>248</v>
      </c>
      <c r="F37" s="19" t="s">
        <v>538</v>
      </c>
      <c r="G37" s="68" t="n">
        <v>0.17463</v>
      </c>
      <c r="H37" s="69" t="n">
        <v>83.57</v>
      </c>
      <c r="I37" s="16" t="str">
        <f aca="false">E37&amp;"|"&amp;F37</f>
        <v>ANGLE|45X3</v>
      </c>
    </row>
    <row r="38" customFormat="false" ht="15" hidden="false" customHeight="true" outlineLevel="0" collapsed="false">
      <c r="E38" s="19" t="s">
        <v>248</v>
      </c>
      <c r="F38" s="19" t="s">
        <v>539</v>
      </c>
      <c r="G38" s="68" t="n">
        <v>0.17463</v>
      </c>
      <c r="H38" s="69" t="n">
        <v>63.71</v>
      </c>
      <c r="I38" s="16" t="str">
        <f aca="false">E38&amp;"|"&amp;F38</f>
        <v>ANGLE|45X4</v>
      </c>
    </row>
    <row r="39" customFormat="false" ht="15" hidden="false" customHeight="true" outlineLevel="0" collapsed="false">
      <c r="E39" s="19" t="s">
        <v>248</v>
      </c>
      <c r="F39" s="19" t="s">
        <v>540</v>
      </c>
      <c r="G39" s="68" t="n">
        <v>0.17335</v>
      </c>
      <c r="H39" s="69" t="n">
        <v>43.78</v>
      </c>
      <c r="I39" s="16" t="str">
        <f aca="false">E39&amp;"|"&amp;F39</f>
        <v>ANGLE|45X6</v>
      </c>
    </row>
    <row r="40" customFormat="false" ht="15" hidden="false" customHeight="true" outlineLevel="0" collapsed="false">
      <c r="E40" s="19" t="s">
        <v>248</v>
      </c>
      <c r="F40" s="19" t="s">
        <v>541</v>
      </c>
      <c r="G40" s="68" t="n">
        <v>0.17335</v>
      </c>
      <c r="H40" s="69" t="n">
        <v>33.64</v>
      </c>
      <c r="I40" s="16" t="str">
        <f aca="false">E40&amp;"|"&amp;F40</f>
        <v>ANGLE|45X8</v>
      </c>
    </row>
    <row r="41" customFormat="false" ht="15" hidden="false" customHeight="true" outlineLevel="0" collapsed="false">
      <c r="E41" s="19" t="s">
        <v>248</v>
      </c>
      <c r="F41" s="19" t="s">
        <v>542</v>
      </c>
      <c r="G41" s="68" t="n">
        <v>0.19463</v>
      </c>
      <c r="H41" s="69" t="n">
        <v>63.71</v>
      </c>
      <c r="I41" s="16" t="str">
        <f aca="false">E41&amp;"|"&amp;F41</f>
        <v>ANGLE|50X4</v>
      </c>
    </row>
    <row r="42" customFormat="false" ht="15" hidden="false" customHeight="true" outlineLevel="0" collapsed="false">
      <c r="E42" s="19" t="s">
        <v>248</v>
      </c>
      <c r="F42" s="19" t="s">
        <v>543</v>
      </c>
      <c r="G42" s="68" t="n">
        <v>0.19335</v>
      </c>
      <c r="H42" s="69" t="n">
        <v>43.64</v>
      </c>
      <c r="I42" s="16" t="str">
        <f aca="false">E42&amp;"|"&amp;F42</f>
        <v>ANGLE|50X6</v>
      </c>
    </row>
    <row r="43" customFormat="false" ht="15" hidden="false" customHeight="true" outlineLevel="0" collapsed="false">
      <c r="E43" s="19" t="s">
        <v>248</v>
      </c>
      <c r="F43" s="19" t="s">
        <v>544</v>
      </c>
      <c r="G43" s="68" t="n">
        <v>0.19335</v>
      </c>
      <c r="H43" s="69" t="n">
        <v>33.45</v>
      </c>
      <c r="I43" s="16" t="str">
        <f aca="false">E43&amp;"|"&amp;F43</f>
        <v>ANGLE|50X8</v>
      </c>
    </row>
    <row r="44" customFormat="false" ht="15" hidden="false" customHeight="true" outlineLevel="0" collapsed="false">
      <c r="E44" s="19" t="s">
        <v>248</v>
      </c>
      <c r="F44" s="19" t="s">
        <v>545</v>
      </c>
      <c r="G44" s="68" t="n">
        <v>0.23335</v>
      </c>
      <c r="H44" s="69" t="n">
        <v>64.01</v>
      </c>
      <c r="I44" s="16" t="str">
        <f aca="false">E44&amp;"|"&amp;F44</f>
        <v>ANGLE|60X4</v>
      </c>
    </row>
    <row r="45" customFormat="false" ht="15" hidden="false" customHeight="true" outlineLevel="0" collapsed="false">
      <c r="E45" s="19" t="s">
        <v>248</v>
      </c>
      <c r="F45" s="19" t="s">
        <v>546</v>
      </c>
      <c r="G45" s="68" t="n">
        <v>0.23463</v>
      </c>
      <c r="H45" s="69" t="n">
        <v>51.52</v>
      </c>
      <c r="I45" s="16" t="str">
        <f aca="false">E45&amp;"|"&amp;F45</f>
        <v>ANGLE|60X5</v>
      </c>
    </row>
    <row r="46" customFormat="false" ht="15" hidden="false" customHeight="true" outlineLevel="0" collapsed="false">
      <c r="E46" s="19" t="s">
        <v>248</v>
      </c>
      <c r="F46" s="19" t="s">
        <v>547</v>
      </c>
      <c r="G46" s="68" t="n">
        <v>0.23335</v>
      </c>
      <c r="H46" s="69" t="n">
        <v>43.43</v>
      </c>
      <c r="I46" s="16" t="str">
        <f aca="false">E46&amp;"|"&amp;F46</f>
        <v>ANGLE|60X6</v>
      </c>
    </row>
    <row r="47" customFormat="false" ht="15" hidden="false" customHeight="true" outlineLevel="0" collapsed="false">
      <c r="E47" s="19" t="s">
        <v>248</v>
      </c>
      <c r="F47" s="19" t="s">
        <v>548</v>
      </c>
      <c r="G47" s="68" t="n">
        <v>0.23335</v>
      </c>
      <c r="H47" s="69" t="n">
        <v>37.56</v>
      </c>
      <c r="I47" s="16" t="str">
        <f aca="false">E47&amp;"|"&amp;F47</f>
        <v>ANGLE|60X7</v>
      </c>
    </row>
    <row r="48" customFormat="false" ht="15" hidden="false" customHeight="true" outlineLevel="0" collapsed="false">
      <c r="E48" s="19" t="s">
        <v>248</v>
      </c>
      <c r="F48" s="19" t="s">
        <v>549</v>
      </c>
      <c r="G48" s="68" t="n">
        <v>0.23335</v>
      </c>
      <c r="H48" s="69" t="n">
        <v>29.744</v>
      </c>
      <c r="I48" s="16" t="str">
        <f aca="false">E48&amp;"|"&amp;F48</f>
        <v>ANGLE|60X9</v>
      </c>
    </row>
    <row r="49" customFormat="false" ht="15" hidden="false" customHeight="true" outlineLevel="0" collapsed="false">
      <c r="E49" s="19" t="s">
        <v>248</v>
      </c>
      <c r="F49" s="19" t="s">
        <v>250</v>
      </c>
      <c r="G49" s="68" t="n">
        <v>0.25292</v>
      </c>
      <c r="H49" s="69" t="n">
        <v>42.81</v>
      </c>
      <c r="I49" s="16" t="str">
        <f aca="false">E49&amp;"|"&amp;F49</f>
        <v>ANGLE|65X6</v>
      </c>
    </row>
    <row r="50" customFormat="false" ht="15" hidden="false" customHeight="true" outlineLevel="0" collapsed="false">
      <c r="E50" s="19" t="s">
        <v>248</v>
      </c>
      <c r="F50" s="19" t="s">
        <v>550</v>
      </c>
      <c r="G50" s="68" t="n">
        <v>0.2512</v>
      </c>
      <c r="H50" s="69" t="n">
        <v>32.79</v>
      </c>
      <c r="I50" s="16" t="str">
        <f aca="false">E50&amp;"|"&amp;F50</f>
        <v>ANGLE|65X8</v>
      </c>
    </row>
    <row r="51" customFormat="false" ht="15" hidden="false" customHeight="true" outlineLevel="0" collapsed="false">
      <c r="E51" s="19" t="s">
        <v>248</v>
      </c>
      <c r="F51" s="19" t="s">
        <v>551</v>
      </c>
      <c r="G51" s="68" t="n">
        <v>0.2512</v>
      </c>
      <c r="H51" s="69" t="n">
        <v>26.666</v>
      </c>
      <c r="I51" s="16" t="str">
        <f aca="false">E51&amp;"|"&amp;F51</f>
        <v>ANGLE|65X10</v>
      </c>
    </row>
    <row r="52" customFormat="false" ht="15" hidden="false" customHeight="true" outlineLevel="0" collapsed="false">
      <c r="E52" s="19" t="s">
        <v>248</v>
      </c>
      <c r="F52" s="19" t="s">
        <v>552</v>
      </c>
      <c r="G52" s="68" t="n">
        <v>0.27292</v>
      </c>
      <c r="H52" s="69" t="n">
        <v>42.78</v>
      </c>
      <c r="I52" s="16" t="str">
        <f aca="false">E52&amp;"|"&amp;F52</f>
        <v>ANGLE|70X6</v>
      </c>
    </row>
    <row r="53" customFormat="false" ht="15" hidden="false" customHeight="true" outlineLevel="0" collapsed="false">
      <c r="E53" s="19" t="s">
        <v>248</v>
      </c>
      <c r="F53" s="19" t="s">
        <v>553</v>
      </c>
      <c r="G53" s="68" t="n">
        <v>0.29292</v>
      </c>
      <c r="H53" s="69" t="n">
        <v>42.76</v>
      </c>
      <c r="I53" s="16" t="str">
        <f aca="false">E53&amp;"|"&amp;F53</f>
        <v>ANGLE|75X6</v>
      </c>
    </row>
    <row r="54" customFormat="false" ht="15" hidden="false" customHeight="true" outlineLevel="0" collapsed="false">
      <c r="E54" s="19" t="s">
        <v>248</v>
      </c>
      <c r="F54" s="19" t="s">
        <v>253</v>
      </c>
      <c r="G54" s="68" t="n">
        <v>0.2912</v>
      </c>
      <c r="H54" s="69" t="n">
        <v>29.231</v>
      </c>
      <c r="I54" s="16" t="str">
        <f aca="false">E54&amp;"|"&amp;F54</f>
        <v>ANGLE|75X9</v>
      </c>
    </row>
    <row r="55" customFormat="false" ht="15" hidden="false" customHeight="true" outlineLevel="0" collapsed="false">
      <c r="E55" s="19" t="s">
        <v>248</v>
      </c>
      <c r="F55" s="19" t="s">
        <v>554</v>
      </c>
      <c r="G55" s="68" t="n">
        <v>0.2912</v>
      </c>
      <c r="H55" s="69" t="n">
        <v>22.4</v>
      </c>
      <c r="I55" s="16" t="str">
        <f aca="false">E55&amp;"|"&amp;F55</f>
        <v>ANGLE|75X12</v>
      </c>
    </row>
    <row r="56" customFormat="false" ht="15" hidden="false" customHeight="true" outlineLevel="0" collapsed="false">
      <c r="E56" s="19" t="s">
        <v>248</v>
      </c>
      <c r="F56" s="19" t="s">
        <v>555</v>
      </c>
      <c r="G56" s="68" t="n">
        <v>0.3129</v>
      </c>
      <c r="H56" s="69" t="n">
        <v>42.74</v>
      </c>
      <c r="I56" s="16" t="str">
        <f aca="false">E56&amp;"|"&amp;F56</f>
        <v>ANGLE|80X6</v>
      </c>
    </row>
    <row r="57" customFormat="false" ht="15" hidden="false" customHeight="true" outlineLevel="0" collapsed="false">
      <c r="E57" s="19" t="s">
        <v>248</v>
      </c>
      <c r="F57" s="19" t="s">
        <v>556</v>
      </c>
      <c r="G57" s="68" t="n">
        <v>0.3514</v>
      </c>
      <c r="H57" s="69" t="n">
        <v>42.44</v>
      </c>
      <c r="I57" s="16" t="str">
        <f aca="false">E57&amp;"|"&amp;F57</f>
        <v>ANGLE|90X6</v>
      </c>
    </row>
    <row r="58" customFormat="false" ht="15" hidden="false" customHeight="true" outlineLevel="0" collapsed="false">
      <c r="E58" s="19" t="s">
        <v>248</v>
      </c>
      <c r="F58" s="19" t="s">
        <v>557</v>
      </c>
      <c r="G58" s="68" t="n">
        <v>0.3514</v>
      </c>
      <c r="H58" s="69" t="n">
        <v>36.64</v>
      </c>
      <c r="I58" s="16" t="str">
        <f aca="false">E58&amp;"|"&amp;F58</f>
        <v>ANGLE|90X7</v>
      </c>
    </row>
    <row r="59" customFormat="false" ht="15" hidden="false" customHeight="true" outlineLevel="0" collapsed="false">
      <c r="E59" s="19" t="s">
        <v>248</v>
      </c>
      <c r="F59" s="19" t="s">
        <v>558</v>
      </c>
      <c r="G59" s="68" t="n">
        <v>0.3497</v>
      </c>
      <c r="H59" s="69" t="n">
        <v>26.198</v>
      </c>
      <c r="I59" s="16" t="str">
        <f aca="false">E59&amp;"|"&amp;F59</f>
        <v>ANGLE|90X10</v>
      </c>
    </row>
    <row r="60" customFormat="false" ht="15" hidden="false" customHeight="true" outlineLevel="0" collapsed="false">
      <c r="E60" s="19" t="s">
        <v>248</v>
      </c>
      <c r="F60" s="19" t="s">
        <v>559</v>
      </c>
      <c r="G60" s="68" t="n">
        <v>0.3497</v>
      </c>
      <c r="H60" s="69" t="n">
        <v>20.515</v>
      </c>
      <c r="I60" s="16" t="str">
        <f aca="false">E60&amp;"|"&amp;F60</f>
        <v>ANGLE|90X13</v>
      </c>
    </row>
    <row r="61" customFormat="false" ht="15" hidden="false" customHeight="true" outlineLevel="0" collapsed="false">
      <c r="E61" s="19" t="s">
        <v>248</v>
      </c>
      <c r="F61" s="19" t="s">
        <v>560</v>
      </c>
      <c r="G61" s="68" t="n">
        <v>0.3914</v>
      </c>
      <c r="H61" s="69" t="n">
        <v>36.62</v>
      </c>
      <c r="I61" s="16" t="str">
        <f aca="false">E61&amp;"|"&amp;F61</f>
        <v>ANGLE|100X7</v>
      </c>
    </row>
    <row r="62" customFormat="false" ht="15" hidden="false" customHeight="true" outlineLevel="0" collapsed="false">
      <c r="E62" s="19" t="s">
        <v>248</v>
      </c>
      <c r="F62" s="19" t="s">
        <v>561</v>
      </c>
      <c r="G62" s="68" t="n">
        <v>0.3897</v>
      </c>
      <c r="H62" s="69" t="n">
        <v>26.122</v>
      </c>
      <c r="I62" s="16" t="str">
        <f aca="false">E62&amp;"|"&amp;F62</f>
        <v>ANGLE|100X10</v>
      </c>
    </row>
    <row r="63" customFormat="false" ht="15" hidden="false" customHeight="true" outlineLevel="0" collapsed="false">
      <c r="E63" s="19" t="s">
        <v>248</v>
      </c>
      <c r="F63" s="19" t="s">
        <v>562</v>
      </c>
      <c r="G63" s="68" t="n">
        <v>0.3897</v>
      </c>
      <c r="H63" s="69" t="n">
        <v>20.417</v>
      </c>
      <c r="I63" s="16" t="str">
        <f aca="false">E63&amp;"|"&amp;F63</f>
        <v>ANGLE|100X13</v>
      </c>
    </row>
    <row r="64" customFormat="false" ht="15" hidden="false" customHeight="true" outlineLevel="0" collapsed="false">
      <c r="E64" s="19" t="s">
        <v>248</v>
      </c>
      <c r="F64" s="19" t="s">
        <v>563</v>
      </c>
      <c r="G64" s="68" t="n">
        <v>0.4706</v>
      </c>
      <c r="H64" s="69" t="n">
        <v>31.95</v>
      </c>
      <c r="I64" s="16" t="str">
        <f aca="false">E64&amp;"|"&amp;F64</f>
        <v>ANGLE|120X8</v>
      </c>
    </row>
    <row r="65" customFormat="false" ht="15" hidden="false" customHeight="true" outlineLevel="0" collapsed="false">
      <c r="E65" s="19" t="s">
        <v>248</v>
      </c>
      <c r="F65" s="19" t="s">
        <v>564</v>
      </c>
      <c r="G65" s="68" t="n">
        <v>0.5097</v>
      </c>
      <c r="H65" s="69" t="n">
        <v>28.547</v>
      </c>
      <c r="I65" s="16" t="str">
        <f aca="false">E65&amp;"|"&amp;F65</f>
        <v>ANGLE|130X9</v>
      </c>
    </row>
    <row r="66" customFormat="false" ht="15" hidden="false" customHeight="true" outlineLevel="0" collapsed="false">
      <c r="E66" s="19" t="s">
        <v>248</v>
      </c>
      <c r="F66" s="19" t="s">
        <v>565</v>
      </c>
      <c r="G66" s="68" t="n">
        <v>0.5076</v>
      </c>
      <c r="H66" s="69" t="n">
        <v>21.727</v>
      </c>
      <c r="I66" s="16" t="str">
        <f aca="false">E66&amp;"|"&amp;F66</f>
        <v>ANGLE|130X12</v>
      </c>
    </row>
    <row r="67" customFormat="false" ht="15" hidden="false" customHeight="true" outlineLevel="0" collapsed="false">
      <c r="E67" s="19" t="s">
        <v>248</v>
      </c>
      <c r="F67" s="19" t="s">
        <v>566</v>
      </c>
      <c r="G67" s="68" t="n">
        <v>0.5076</v>
      </c>
      <c r="H67" s="69" t="n">
        <v>17.594</v>
      </c>
      <c r="I67" s="16" t="str">
        <f aca="false">E67&amp;"|"&amp;F67</f>
        <v>ANGLE|130X15</v>
      </c>
    </row>
    <row r="68" customFormat="false" ht="15" hidden="false" customHeight="true" outlineLevel="0" collapsed="false">
      <c r="E68" s="19" t="s">
        <v>248</v>
      </c>
      <c r="F68" s="19" t="s">
        <v>567</v>
      </c>
      <c r="G68" s="68" t="n">
        <v>0.5888</v>
      </c>
      <c r="H68" s="69" t="n">
        <v>21.643</v>
      </c>
      <c r="I68" s="16" t="str">
        <f aca="false">E68&amp;"|"&amp;F68</f>
        <v>ANGLE|150X12</v>
      </c>
    </row>
    <row r="69" customFormat="false" ht="15" hidden="false" customHeight="true" outlineLevel="0" collapsed="false">
      <c r="E69" s="19" t="s">
        <v>248</v>
      </c>
      <c r="F69" s="19" t="s">
        <v>568</v>
      </c>
      <c r="G69" s="68" t="n">
        <v>0.5854</v>
      </c>
      <c r="H69" s="69" t="n">
        <v>17.448</v>
      </c>
      <c r="I69" s="16" t="str">
        <f aca="false">E69&amp;"|"&amp;F69</f>
        <v>ANGLE|150X15</v>
      </c>
    </row>
    <row r="70" customFormat="false" ht="15" hidden="false" customHeight="true" outlineLevel="0" collapsed="false">
      <c r="E70" s="19" t="s">
        <v>248</v>
      </c>
      <c r="F70" s="19" t="s">
        <v>569</v>
      </c>
      <c r="G70" s="68" t="n">
        <v>0.5854</v>
      </c>
      <c r="H70" s="69" t="n">
        <v>13.97</v>
      </c>
      <c r="I70" s="16" t="str">
        <f aca="false">E70&amp;"|"&amp;F70</f>
        <v>ANGLE|150X19</v>
      </c>
    </row>
    <row r="71" customFormat="false" ht="15" hidden="false" customHeight="true" outlineLevel="0" collapsed="false">
      <c r="E71" s="19" t="s">
        <v>241</v>
      </c>
      <c r="F71" s="19" t="s">
        <v>570</v>
      </c>
      <c r="G71" s="68" t="n">
        <v>0.2858</v>
      </c>
      <c r="H71" s="69" t="n">
        <v>41.81</v>
      </c>
      <c r="I71" s="16" t="str">
        <f aca="false">E71&amp;"|"&amp;F71</f>
        <v>CHANNEL|75X40X5X7</v>
      </c>
    </row>
    <row r="72" customFormat="false" ht="15" hidden="false" customHeight="true" outlineLevel="0" collapsed="false">
      <c r="E72" s="19" t="s">
        <v>241</v>
      </c>
      <c r="F72" s="19" t="s">
        <v>571</v>
      </c>
      <c r="G72" s="68" t="n">
        <v>0.3741</v>
      </c>
      <c r="H72" s="69" t="n">
        <v>40.37</v>
      </c>
      <c r="I72" s="16" t="str">
        <f aca="false">E72&amp;"|"&amp;F72</f>
        <v>CHANNEL|100X50X5X7.5</v>
      </c>
    </row>
    <row r="73" customFormat="false" ht="15" hidden="false" customHeight="true" outlineLevel="0" collapsed="false">
      <c r="E73" s="19" t="s">
        <v>241</v>
      </c>
      <c r="F73" s="19" t="s">
        <v>572</v>
      </c>
      <c r="G73" s="68" t="n">
        <v>0.4798</v>
      </c>
      <c r="H73" s="69" t="n">
        <v>35.96</v>
      </c>
      <c r="I73" s="16" t="str">
        <f aca="false">E73&amp;"|"&amp;F73</f>
        <v>CHANNEL|125X65X6X8</v>
      </c>
    </row>
    <row r="74" customFormat="false" ht="15" hidden="false" customHeight="true" outlineLevel="0" collapsed="false">
      <c r="E74" s="19" t="s">
        <v>241</v>
      </c>
      <c r="F74" s="19" t="s">
        <v>573</v>
      </c>
      <c r="G74" s="68" t="n">
        <v>0.5479</v>
      </c>
      <c r="H74" s="69" t="n">
        <v>34.98</v>
      </c>
      <c r="I74" s="16" t="str">
        <f aca="false">E74&amp;"|"&amp;F74</f>
        <v>CHANNEL|150X70X6X8.5</v>
      </c>
    </row>
    <row r="75" customFormat="false" ht="15" hidden="false" customHeight="true" outlineLevel="0" collapsed="false">
      <c r="E75" s="19" t="s">
        <v>241</v>
      </c>
      <c r="F75" s="19" t="s">
        <v>243</v>
      </c>
      <c r="G75" s="68" t="n">
        <v>0.5651</v>
      </c>
      <c r="H75" s="69" t="n">
        <v>30.58</v>
      </c>
      <c r="I75" s="16" t="str">
        <f aca="false">E75&amp;"|"&amp;F75</f>
        <v>CHANNEL|150X75X6.5X10</v>
      </c>
    </row>
    <row r="76" customFormat="false" ht="15" hidden="false" customHeight="true" outlineLevel="0" collapsed="false">
      <c r="E76" s="19" t="s">
        <v>241</v>
      </c>
      <c r="F76" s="19" t="s">
        <v>245</v>
      </c>
      <c r="G76" s="68" t="n">
        <v>0.5553</v>
      </c>
      <c r="H76" s="69" t="n">
        <v>23.424</v>
      </c>
      <c r="I76" s="16" t="str">
        <f aca="false">E76&amp;"|"&amp;F76</f>
        <v>CHANNEL|150X75X9X12.5</v>
      </c>
    </row>
    <row r="77" customFormat="false" ht="15" hidden="false" customHeight="true" outlineLevel="0" collapsed="false">
      <c r="E77" s="19" t="s">
        <v>241</v>
      </c>
      <c r="F77" s="19" t="s">
        <v>574</v>
      </c>
      <c r="G77" s="68" t="n">
        <v>0.6231</v>
      </c>
      <c r="H77" s="69" t="n">
        <v>29.414</v>
      </c>
      <c r="I77" s="16" t="str">
        <f aca="false">E77&amp;"|"&amp;F77</f>
        <v>CHANNEL|180X75X7X10.5</v>
      </c>
    </row>
    <row r="78" customFormat="false" ht="23.25" hidden="false" customHeight="true" outlineLevel="0" collapsed="false">
      <c r="E78" s="19" t="s">
        <v>241</v>
      </c>
      <c r="F78" s="19" t="s">
        <v>575</v>
      </c>
      <c r="G78" s="68" t="n">
        <v>0.6776</v>
      </c>
      <c r="H78" s="69" t="n">
        <v>25.185</v>
      </c>
      <c r="I78" s="16" t="str">
        <f aca="false">E78&amp;"|"&amp;F78</f>
        <v>CHANNEL|180X90X7.5X12.5</v>
      </c>
    </row>
    <row r="79" customFormat="false" ht="15" hidden="false" customHeight="true" outlineLevel="0" collapsed="false">
      <c r="E79" s="19" t="s">
        <v>241</v>
      </c>
      <c r="F79" s="19" t="s">
        <v>576</v>
      </c>
      <c r="G79" s="68" t="n">
        <v>0.6439</v>
      </c>
      <c r="H79" s="69" t="n">
        <v>30.72</v>
      </c>
      <c r="I79" s="16" t="str">
        <f aca="false">E79&amp;"|"&amp;F79</f>
        <v>CHANNEL|200X70X7X10</v>
      </c>
    </row>
    <row r="80" customFormat="false" ht="15" hidden="false" customHeight="true" outlineLevel="0" collapsed="false">
      <c r="E80" s="19" t="s">
        <v>241</v>
      </c>
      <c r="F80" s="19" t="s">
        <v>247</v>
      </c>
      <c r="G80" s="68" t="n">
        <v>0.6803</v>
      </c>
      <c r="H80" s="69" t="n">
        <v>27.888</v>
      </c>
      <c r="I80" s="16" t="str">
        <f aca="false">E80&amp;"|"&amp;F80</f>
        <v>CHANNEL|200X80X7.5X11</v>
      </c>
    </row>
    <row r="81" customFormat="false" ht="15" hidden="false" customHeight="true" outlineLevel="0" collapsed="false">
      <c r="E81" s="19" t="s">
        <v>241</v>
      </c>
      <c r="F81" s="19" t="s">
        <v>577</v>
      </c>
      <c r="G81" s="68" t="n">
        <v>0.7156</v>
      </c>
      <c r="H81" s="69" t="n">
        <v>23.795</v>
      </c>
      <c r="I81" s="16" t="str">
        <f aca="false">E81&amp;"|"&amp;F81</f>
        <v>CHANNEL|200X90X8X13.5</v>
      </c>
    </row>
    <row r="82" customFormat="false" ht="15" hidden="false" customHeight="true" outlineLevel="0" collapsed="false">
      <c r="E82" s="19" t="s">
        <v>241</v>
      </c>
      <c r="F82" s="19" t="s">
        <v>578</v>
      </c>
      <c r="G82" s="68" t="n">
        <v>0.7383</v>
      </c>
      <c r="H82" s="69" t="n">
        <v>26.252</v>
      </c>
      <c r="I82" s="16" t="str">
        <f aca="false">E82&amp;"|"&amp;F82</f>
        <v>CHANNEL|230X80X8X12</v>
      </c>
    </row>
    <row r="83" customFormat="false" ht="23.25" hidden="false" customHeight="true" outlineLevel="0" collapsed="false">
      <c r="E83" s="19" t="s">
        <v>241</v>
      </c>
      <c r="F83" s="19" t="s">
        <v>579</v>
      </c>
      <c r="G83" s="68" t="n">
        <v>0.7737</v>
      </c>
      <c r="H83" s="69" t="n">
        <v>23.605</v>
      </c>
      <c r="I83" s="16" t="str">
        <f aca="false">E83&amp;"|"&amp;F83</f>
        <v>CHANNEL|230X90X8.5X13.5</v>
      </c>
    </row>
    <row r="84" customFormat="false" ht="15" hidden="false" customHeight="true" outlineLevel="0" collapsed="false">
      <c r="E84" s="19" t="s">
        <v>241</v>
      </c>
      <c r="F84" s="19" t="s">
        <v>580</v>
      </c>
      <c r="G84" s="68" t="n">
        <v>0.7773</v>
      </c>
      <c r="H84" s="69" t="n">
        <v>25.941</v>
      </c>
      <c r="I84" s="16" t="str">
        <f aca="false">E84&amp;"|"&amp;F84</f>
        <v>CHANNEL|250X80X8X12.5</v>
      </c>
    </row>
    <row r="85" customFormat="false" ht="15" hidden="false" customHeight="true" outlineLevel="0" collapsed="false">
      <c r="E85" s="19" t="s">
        <v>241</v>
      </c>
      <c r="F85" s="19" t="s">
        <v>581</v>
      </c>
      <c r="G85" s="68" t="n">
        <v>0.8138</v>
      </c>
      <c r="H85" s="69" t="n">
        <v>23.706</v>
      </c>
      <c r="I85" s="16" t="str">
        <f aca="false">E85&amp;"|"&amp;F85</f>
        <v>CHANNEL|250X90X9X13</v>
      </c>
    </row>
    <row r="86" customFormat="false" ht="15" hidden="false" customHeight="true" outlineLevel="0" collapsed="false">
      <c r="E86" s="19" t="s">
        <v>241</v>
      </c>
      <c r="F86" s="19" t="s">
        <v>582</v>
      </c>
      <c r="G86" s="68" t="n">
        <v>0.807</v>
      </c>
      <c r="H86" s="69" t="n">
        <v>20.291</v>
      </c>
      <c r="I86" s="16" t="str">
        <f aca="false">E86&amp;"|"&amp;F86</f>
        <v>CHANNEL|250X90X11X14.5</v>
      </c>
    </row>
    <row r="87" customFormat="false" ht="15" hidden="false" customHeight="true" outlineLevel="0" collapsed="false">
      <c r="E87" s="19" t="s">
        <v>241</v>
      </c>
      <c r="F87" s="19" t="s">
        <v>583</v>
      </c>
      <c r="G87" s="68" t="n">
        <v>0.9121</v>
      </c>
      <c r="H87" s="69" t="n">
        <v>23.698</v>
      </c>
      <c r="I87" s="16" t="str">
        <f aca="false">E87&amp;"|"&amp;F87</f>
        <v>CHANNEL|280X100X9X13</v>
      </c>
    </row>
    <row r="88" customFormat="false" ht="23.25" hidden="false" customHeight="true" outlineLevel="0" collapsed="false">
      <c r="E88" s="19" t="s">
        <v>241</v>
      </c>
      <c r="F88" s="19" t="s">
        <v>584</v>
      </c>
      <c r="G88" s="68" t="n">
        <v>0.9033</v>
      </c>
      <c r="H88" s="69" t="n">
        <v>18.926</v>
      </c>
      <c r="I88" s="16" t="str">
        <f aca="false">E88&amp;"|"&amp;F88</f>
        <v>CHANNEL|280X100X11.5X16</v>
      </c>
    </row>
    <row r="89" customFormat="false" ht="15" hidden="false" customHeight="true" outlineLevel="0" collapsed="false">
      <c r="E89" s="19" t="s">
        <v>241</v>
      </c>
      <c r="F89" s="19" t="s">
        <v>585</v>
      </c>
      <c r="G89" s="68" t="n">
        <v>0.9138</v>
      </c>
      <c r="H89" s="69" t="n">
        <v>24.135</v>
      </c>
      <c r="I89" s="16" t="str">
        <f aca="false">E89&amp;"|"&amp;F89</f>
        <v>CHANNEL|300X90X9X13</v>
      </c>
    </row>
    <row r="90" customFormat="false" ht="15" hidden="false" customHeight="true" outlineLevel="0" collapsed="false">
      <c r="E90" s="19" t="s">
        <v>241</v>
      </c>
      <c r="F90" s="19" t="s">
        <v>586</v>
      </c>
      <c r="G90" s="68" t="n">
        <v>0.9067</v>
      </c>
      <c r="H90" s="69" t="n">
        <v>20.957</v>
      </c>
      <c r="I90" s="16" t="str">
        <f aca="false">E90&amp;"|"&amp;F90</f>
        <v>CHANNEL|300X90X10X15.5</v>
      </c>
    </row>
    <row r="91" customFormat="false" ht="23.25" hidden="false" customHeight="true" outlineLevel="0" collapsed="false">
      <c r="E91" s="19" t="s">
        <v>241</v>
      </c>
      <c r="F91" s="19" t="s">
        <v>587</v>
      </c>
      <c r="G91" s="68" t="n">
        <v>0.9058</v>
      </c>
      <c r="H91" s="69" t="n">
        <v>20.437</v>
      </c>
      <c r="I91" s="16" t="str">
        <f aca="false">E91&amp;"|"&amp;F91</f>
        <v>CHANNEL|300X90X10.5X15.5</v>
      </c>
    </row>
    <row r="92" customFormat="false" ht="15" hidden="false" customHeight="true" outlineLevel="0" collapsed="false">
      <c r="E92" s="19" t="s">
        <v>241</v>
      </c>
      <c r="F92" s="19" t="s">
        <v>588</v>
      </c>
      <c r="G92" s="68" t="n">
        <v>0.9031</v>
      </c>
      <c r="H92" s="69" t="n">
        <v>18.774</v>
      </c>
      <c r="I92" s="16" t="str">
        <f aca="false">E92&amp;"|"&amp;F92</f>
        <v>CHANNEL|300X90X12X16</v>
      </c>
    </row>
    <row r="93" customFormat="false" ht="15" hidden="false" customHeight="true" outlineLevel="0" collapsed="false">
      <c r="E93" s="19" t="s">
        <v>241</v>
      </c>
      <c r="F93" s="19" t="s">
        <v>589</v>
      </c>
      <c r="G93" s="68" t="n">
        <v>0.9471</v>
      </c>
      <c r="H93" s="69" t="n">
        <v>20.432</v>
      </c>
      <c r="I93" s="16" t="str">
        <f aca="false">E93&amp;"|"&amp;F93</f>
        <v>CHANNEL|300X100X10X16</v>
      </c>
    </row>
    <row r="94" customFormat="false" ht="15" hidden="false" customHeight="true" outlineLevel="0" collapsed="false">
      <c r="E94" s="19" t="s">
        <v>241</v>
      </c>
      <c r="F94" s="19" t="s">
        <v>590</v>
      </c>
      <c r="G94" s="68" t="n">
        <v>0.9393</v>
      </c>
      <c r="H94" s="69" t="n">
        <v>17.579</v>
      </c>
      <c r="I94" s="16" t="str">
        <f aca="false">E94&amp;"|"&amp;F94</f>
        <v>CHANNEL|300X100X12X18</v>
      </c>
    </row>
    <row r="95" customFormat="false" ht="23.25" hidden="false" customHeight="true" outlineLevel="0" collapsed="false">
      <c r="E95" s="19" t="s">
        <v>241</v>
      </c>
      <c r="F95" s="19" t="s">
        <v>591</v>
      </c>
      <c r="G95" s="68" t="n">
        <v>1.1052</v>
      </c>
      <c r="H95" s="69" t="n">
        <v>20.456</v>
      </c>
      <c r="I95" s="16" t="str">
        <f aca="false">E95&amp;"|"&amp;F95</f>
        <v>CHANNEL|350X100X10.5X16</v>
      </c>
    </row>
    <row r="96" customFormat="false" ht="15" hidden="false" customHeight="true" outlineLevel="0" collapsed="false">
      <c r="E96" s="19" t="s">
        <v>241</v>
      </c>
      <c r="F96" s="19" t="s">
        <v>592</v>
      </c>
      <c r="G96" s="68" t="n">
        <v>1.0943</v>
      </c>
      <c r="H96" s="69" t="n">
        <v>16.458</v>
      </c>
      <c r="I96" s="16" t="str">
        <f aca="false">E96&amp;"|"&amp;F96</f>
        <v>CHANNEL|380X100X13X20</v>
      </c>
    </row>
    <row r="97" customFormat="false" ht="15" hidden="false" customHeight="true" outlineLevel="0" collapsed="false">
      <c r="E97" s="19" t="s">
        <v>593</v>
      </c>
      <c r="F97" s="19" t="s">
        <v>594</v>
      </c>
      <c r="G97" s="68" t="n">
        <v>0.4088</v>
      </c>
      <c r="H97" s="69" t="n">
        <v>34.31</v>
      </c>
      <c r="I97" s="16" t="str">
        <f aca="false">E97&amp;"|"&amp;F97</f>
        <v>I-BEAM|75X75X5X8</v>
      </c>
    </row>
    <row r="98" customFormat="false" ht="15" hidden="false" customHeight="true" outlineLevel="0" collapsed="false">
      <c r="E98" s="19" t="s">
        <v>593</v>
      </c>
      <c r="F98" s="19" t="s">
        <v>595</v>
      </c>
      <c r="G98" s="68" t="n">
        <v>0.4588</v>
      </c>
      <c r="H98" s="69" t="n">
        <v>35.58</v>
      </c>
      <c r="I98" s="16" t="str">
        <f aca="false">E98&amp;"|"&amp;F98</f>
        <v>I-BEAM|100X75X5X8</v>
      </c>
    </row>
    <row r="99" customFormat="false" ht="15" hidden="false" customHeight="true" outlineLevel="0" collapsed="false">
      <c r="E99" s="19" t="s">
        <v>593</v>
      </c>
      <c r="F99" s="19" t="s">
        <v>596</v>
      </c>
      <c r="G99" s="68" t="n">
        <v>0.5042</v>
      </c>
      <c r="H99" s="69" t="n">
        <v>31.4</v>
      </c>
      <c r="I99" s="16" t="str">
        <f aca="false">E99&amp;"|"&amp;F99</f>
        <v>I-BEAM|125X75X5.5X9.5</v>
      </c>
    </row>
    <row r="100" customFormat="false" ht="15" hidden="false" customHeight="true" outlineLevel="0" collapsed="false">
      <c r="E100" s="19" t="s">
        <v>593</v>
      </c>
      <c r="F100" s="19" t="s">
        <v>597</v>
      </c>
      <c r="G100" s="68" t="n">
        <v>0.5542</v>
      </c>
      <c r="H100" s="69" t="n">
        <v>32.34</v>
      </c>
      <c r="I100" s="16" t="str">
        <f aca="false">E100&amp;"|"&amp;F100</f>
        <v>I-BEAM|150X75X5.5X9.5</v>
      </c>
    </row>
    <row r="101" customFormat="false" ht="15" hidden="false" customHeight="true" outlineLevel="0" collapsed="false">
      <c r="E101" s="19" t="s">
        <v>593</v>
      </c>
      <c r="F101" s="19" t="s">
        <v>598</v>
      </c>
      <c r="G101" s="68" t="n">
        <v>0.7286</v>
      </c>
      <c r="H101" s="69" t="n">
        <v>20.111</v>
      </c>
      <c r="I101" s="16" t="str">
        <f aca="false">E101&amp;"|"&amp;F101</f>
        <v>I-BEAM|150X125X8.5X14</v>
      </c>
    </row>
    <row r="102" customFormat="false" ht="15" hidden="false" customHeight="true" outlineLevel="0" collapsed="false">
      <c r="E102" s="19" t="s">
        <v>593</v>
      </c>
      <c r="F102" s="19" t="s">
        <v>599</v>
      </c>
      <c r="G102" s="68" t="n">
        <v>0.705</v>
      </c>
      <c r="H102" s="69" t="n">
        <v>29.875</v>
      </c>
      <c r="I102" s="16" t="str">
        <f aca="false">E102&amp;"|"&amp;F102</f>
        <v>I-BEAM|180X100X6X10</v>
      </c>
    </row>
    <row r="103" customFormat="false" ht="15" hidden="false" customHeight="true" outlineLevel="0" collapsed="false">
      <c r="E103" s="19" t="s">
        <v>593</v>
      </c>
      <c r="F103" s="19" t="s">
        <v>600</v>
      </c>
      <c r="G103" s="68" t="n">
        <v>0.7433</v>
      </c>
      <c r="H103" s="69" t="n">
        <v>28.638</v>
      </c>
      <c r="I103" s="16" t="str">
        <f aca="false">E103&amp;"|"&amp;F103</f>
        <v>I-BEAM|200X100X7X10</v>
      </c>
    </row>
    <row r="104" customFormat="false" ht="15" hidden="false" customHeight="true" outlineLevel="0" collapsed="false">
      <c r="E104" s="19" t="s">
        <v>593</v>
      </c>
      <c r="F104" s="19" t="s">
        <v>601</v>
      </c>
      <c r="G104" s="68" t="n">
        <v>0.9175</v>
      </c>
      <c r="H104" s="69" t="n">
        <v>18.217</v>
      </c>
      <c r="I104" s="16" t="str">
        <f aca="false">E104&amp;"|"&amp;F104</f>
        <v>I-BEAM|200X150X9X16</v>
      </c>
    </row>
    <row r="105" customFormat="false" ht="15" hidden="false" customHeight="true" outlineLevel="0" collapsed="false">
      <c r="E105" s="19" t="s">
        <v>593</v>
      </c>
      <c r="F105" s="19" t="s">
        <v>602</v>
      </c>
      <c r="G105" s="68" t="n">
        <v>0.8005</v>
      </c>
      <c r="H105" s="69" t="n">
        <v>26.093</v>
      </c>
      <c r="I105" s="16" t="str">
        <f aca="false">E105&amp;"|"&amp;F105</f>
        <v>I-BEAM|230X100X7.5X11</v>
      </c>
    </row>
    <row r="106" customFormat="false" ht="15" hidden="false" customHeight="true" outlineLevel="0" collapsed="false">
      <c r="E106" s="19" t="s">
        <v>593</v>
      </c>
      <c r="F106" s="19" t="s">
        <v>603</v>
      </c>
      <c r="G106" s="68" t="n">
        <v>0.9322</v>
      </c>
      <c r="H106" s="69" t="n">
        <v>24.339</v>
      </c>
      <c r="I106" s="16" t="str">
        <f aca="false">E106&amp;"|"&amp;F106</f>
        <v>I-BEAM|250X125X7.5X12.5</v>
      </c>
    </row>
    <row r="107" customFormat="false" ht="15" hidden="false" customHeight="true" outlineLevel="0" collapsed="false">
      <c r="E107" s="19" t="s">
        <v>593</v>
      </c>
      <c r="F107" s="19" t="s">
        <v>604</v>
      </c>
      <c r="G107" s="68" t="n">
        <v>0.9112</v>
      </c>
      <c r="H107" s="69" t="n">
        <v>16.411</v>
      </c>
      <c r="I107" s="16" t="str">
        <f aca="false">E107&amp;"|"&amp;F107</f>
        <v>I-BEAM|250X125X10X19</v>
      </c>
    </row>
    <row r="108" customFormat="false" ht="15" hidden="false" customHeight="true" outlineLevel="0" collapsed="false">
      <c r="E108" s="19" t="s">
        <v>593</v>
      </c>
      <c r="F108" s="19" t="s">
        <v>605</v>
      </c>
      <c r="G108" s="68" t="n">
        <v>1.1248</v>
      </c>
      <c r="H108" s="69" t="n">
        <v>23.266</v>
      </c>
      <c r="I108" s="16" t="str">
        <f aca="false">E108&amp;"|"&amp;F108</f>
        <v>I-BEAM|300X150X8X13</v>
      </c>
    </row>
    <row r="109" customFormat="false" ht="15" hidden="false" customHeight="true" outlineLevel="0" collapsed="false">
      <c r="E109" s="19" t="s">
        <v>593</v>
      </c>
      <c r="F109" s="19" t="s">
        <v>606</v>
      </c>
      <c r="G109" s="68" t="n">
        <v>1.1084</v>
      </c>
      <c r="H109" s="69" t="n">
        <v>16.916</v>
      </c>
      <c r="I109" s="16" t="str">
        <f aca="false">E109&amp;"|"&amp;F109</f>
        <v>I-BEAM|300X150X10X18.5</v>
      </c>
    </row>
    <row r="110" customFormat="false" ht="15" hidden="false" customHeight="true" outlineLevel="0" collapsed="false">
      <c r="E110" s="19" t="s">
        <v>593</v>
      </c>
      <c r="F110" s="19" t="s">
        <v>607</v>
      </c>
      <c r="G110" s="68" t="n">
        <v>1.0984</v>
      </c>
      <c r="H110" s="69" t="n">
        <v>14.295</v>
      </c>
      <c r="I110" s="16" t="str">
        <f aca="false">E110&amp;"|"&amp;F110</f>
        <v>I-BEAM|300X150X11.5X22</v>
      </c>
    </row>
    <row r="111" customFormat="false" ht="15" hidden="false" customHeight="true" outlineLevel="0" collapsed="false">
      <c r="E111" s="19" t="s">
        <v>593</v>
      </c>
      <c r="F111" s="19" t="s">
        <v>608</v>
      </c>
      <c r="G111" s="68" t="n">
        <v>1.2212</v>
      </c>
      <c r="H111" s="69" t="n">
        <v>20.859</v>
      </c>
      <c r="I111" s="16" t="str">
        <f aca="false">E111&amp;"|"&amp;F111</f>
        <v>I-BEAM|350X150X9X15</v>
      </c>
    </row>
    <row r="112" customFormat="false" ht="15" hidden="false" customHeight="true" outlineLevel="0" collapsed="false">
      <c r="E112" s="19" t="s">
        <v>593</v>
      </c>
      <c r="F112" s="19" t="s">
        <v>609</v>
      </c>
      <c r="G112" s="68" t="n">
        <v>1.1938</v>
      </c>
      <c r="H112" s="69" t="n">
        <v>13.686</v>
      </c>
      <c r="I112" s="16" t="str">
        <f aca="false">E112&amp;"|"&amp;F112</f>
        <v>I-BEAM|350X150X12X24</v>
      </c>
    </row>
    <row r="113" customFormat="false" ht="15" hidden="false" customHeight="true" outlineLevel="0" collapsed="false">
      <c r="E113" s="19" t="s">
        <v>593</v>
      </c>
      <c r="F113" s="19" t="s">
        <v>610</v>
      </c>
      <c r="G113" s="68" t="n">
        <v>1.312</v>
      </c>
      <c r="H113" s="69" t="n">
        <v>18.22</v>
      </c>
      <c r="I113" s="16" t="str">
        <f aca="false">E113&amp;"|"&amp;F113</f>
        <v>I-BEAM|400X150X10X18</v>
      </c>
    </row>
    <row r="114" customFormat="false" ht="15" hidden="false" customHeight="true" outlineLevel="0" collapsed="false">
      <c r="E114" s="19" t="s">
        <v>593</v>
      </c>
      <c r="F114" s="19" t="s">
        <v>611</v>
      </c>
      <c r="G114" s="68" t="n">
        <v>1.2893</v>
      </c>
      <c r="H114" s="69" t="n">
        <v>13.45</v>
      </c>
      <c r="I114" s="16" t="str">
        <f aca="false">E114&amp;"|"&amp;F114</f>
        <v>I-BEAM|400X150X12.5X25</v>
      </c>
    </row>
    <row r="115" customFormat="false" ht="15" hidden="false" customHeight="true" outlineLevel="0" collapsed="false">
      <c r="E115" s="19" t="s">
        <v>593</v>
      </c>
      <c r="F115" s="19" t="s">
        <v>612</v>
      </c>
      <c r="G115" s="68" t="n">
        <v>1.5001</v>
      </c>
      <c r="H115" s="69" t="n">
        <v>16.336</v>
      </c>
      <c r="I115" s="16" t="str">
        <f aca="false">E115&amp;"|"&amp;F115</f>
        <v>I-BEAM|450X175X11X20</v>
      </c>
    </row>
    <row r="116" customFormat="false" ht="15" hidden="false" customHeight="true" outlineLevel="0" collapsed="false">
      <c r="E116" s="19" t="s">
        <v>593</v>
      </c>
      <c r="F116" s="19" t="s">
        <v>613</v>
      </c>
      <c r="G116" s="68" t="n">
        <v>1.4819</v>
      </c>
      <c r="H116" s="69" t="n">
        <v>12.921</v>
      </c>
      <c r="I116" s="16" t="str">
        <f aca="false">E116&amp;"|"&amp;F116</f>
        <v>I-BEAM|450X175X13X26</v>
      </c>
    </row>
    <row r="117" customFormat="false" ht="15" hidden="false" customHeight="true" outlineLevel="0" collapsed="false">
      <c r="E117" s="19" t="s">
        <v>593</v>
      </c>
      <c r="F117" s="19" t="s">
        <v>614</v>
      </c>
      <c r="G117" s="68" t="n">
        <v>1.6498</v>
      </c>
      <c r="H117" s="69" t="n">
        <v>14.817</v>
      </c>
      <c r="I117" s="16" t="str">
        <f aca="false">E117&amp;"|"&amp;F117</f>
        <v>I-BEAM|500X190X11.5X23</v>
      </c>
    </row>
    <row r="118" customFormat="false" ht="15" hidden="false" customHeight="true" outlineLevel="0" collapsed="false">
      <c r="E118" s="19" t="s">
        <v>593</v>
      </c>
      <c r="F118" s="19" t="s">
        <v>615</v>
      </c>
      <c r="G118" s="68" t="n">
        <v>1.6252</v>
      </c>
      <c r="H118" s="69" t="n">
        <v>11.208</v>
      </c>
      <c r="I118" s="16" t="str">
        <f aca="false">E118&amp;"|"&amp;F118</f>
        <v>I-BEAM|500X190X15X30</v>
      </c>
    </row>
    <row r="119" customFormat="false" ht="15" hidden="false" customHeight="true" outlineLevel="0" collapsed="false">
      <c r="E119" s="19" t="s">
        <v>593</v>
      </c>
      <c r="F119" s="19" t="s">
        <v>616</v>
      </c>
      <c r="G119" s="68" t="n">
        <v>1.8416</v>
      </c>
      <c r="H119" s="69" t="n">
        <v>13.85</v>
      </c>
      <c r="I119" s="16" t="str">
        <f aca="false">E119&amp;"|"&amp;F119</f>
        <v>I-BEAM|600X190X13X25</v>
      </c>
    </row>
    <row r="120" customFormat="false" ht="15" hidden="false" customHeight="true" outlineLevel="0" collapsed="false">
      <c r="E120" s="19" t="s">
        <v>593</v>
      </c>
      <c r="F120" s="19" t="s">
        <v>617</v>
      </c>
      <c r="G120" s="68" t="n">
        <v>1.8124</v>
      </c>
      <c r="H120" s="69" t="n">
        <v>10.286</v>
      </c>
      <c r="I120" s="16" t="str">
        <f aca="false">E120&amp;"|"&amp;F120</f>
        <v>I-BEAM|600X190X16X35</v>
      </c>
    </row>
    <row r="121" customFormat="false" ht="15" hidden="false" customHeight="true" outlineLevel="0" collapsed="false">
      <c r="E121" s="19" t="s">
        <v>234</v>
      </c>
      <c r="F121" s="19" t="s">
        <v>618</v>
      </c>
      <c r="G121" s="68" t="n">
        <v>0.3263</v>
      </c>
      <c r="H121" s="69" t="n">
        <v>40.45</v>
      </c>
      <c r="I121" s="16" t="str">
        <f aca="false">E121&amp;"|"&amp;F121</f>
        <v>H-BEAM|100X50X5X7</v>
      </c>
    </row>
    <row r="122" customFormat="false" ht="15" hidden="false" customHeight="true" outlineLevel="0" collapsed="false">
      <c r="E122" s="19" t="s">
        <v>234</v>
      </c>
      <c r="F122" s="19" t="s">
        <v>619</v>
      </c>
      <c r="G122" s="68" t="n">
        <v>0.5708</v>
      </c>
      <c r="H122" s="69" t="n">
        <v>33.21</v>
      </c>
      <c r="I122" s="16" t="str">
        <f aca="false">E122&amp;"|"&amp;F122</f>
        <v>H-BEAM|100X100X6X8</v>
      </c>
    </row>
    <row r="123" customFormat="false" ht="15" hidden="false" customHeight="true" outlineLevel="0" collapsed="false">
      <c r="E123" s="19" t="s">
        <v>234</v>
      </c>
      <c r="F123" s="19" t="s">
        <v>620</v>
      </c>
      <c r="G123" s="68" t="n">
        <v>0.4625</v>
      </c>
      <c r="H123" s="69" t="n">
        <v>35</v>
      </c>
      <c r="I123" s="16" t="str">
        <f aca="false">E123&amp;"|"&amp;F123</f>
        <v>H-BEAM|125X60X6X8</v>
      </c>
    </row>
    <row r="124" customFormat="false" ht="15" hidden="false" customHeight="true" outlineLevel="0" collapsed="false">
      <c r="E124" s="19" t="s">
        <v>234</v>
      </c>
      <c r="F124" s="19" t="s">
        <v>621</v>
      </c>
      <c r="G124" s="68" t="n">
        <v>0.7198</v>
      </c>
      <c r="H124" s="69" t="n">
        <v>30.25</v>
      </c>
      <c r="I124" s="16" t="str">
        <f aca="false">E124&amp;"|"&amp;F124</f>
        <v>H-BEAM|125X125X6.5X9</v>
      </c>
    </row>
    <row r="125" customFormat="false" ht="15" hidden="false" customHeight="true" outlineLevel="0" collapsed="false">
      <c r="E125" s="19" t="s">
        <v>234</v>
      </c>
      <c r="F125" s="19" t="s">
        <v>622</v>
      </c>
      <c r="G125" s="68" t="n">
        <v>0.6651</v>
      </c>
      <c r="H125" s="69" t="n">
        <v>31.57</v>
      </c>
      <c r="I125" s="16" t="str">
        <f aca="false">E125&amp;"|"&amp;F125</f>
        <v>H-BEAM|148X100X6X9</v>
      </c>
    </row>
    <row r="126" customFormat="false" ht="15" hidden="false" customHeight="true" outlineLevel="0" collapsed="false">
      <c r="E126" s="19" t="s">
        <v>234</v>
      </c>
      <c r="F126" s="19" t="s">
        <v>623</v>
      </c>
      <c r="G126" s="68" t="n">
        <v>0.5763</v>
      </c>
      <c r="H126" s="69" t="n">
        <v>41.13</v>
      </c>
      <c r="I126" s="16" t="str">
        <f aca="false">E126&amp;"|"&amp;F126</f>
        <v>H-BEAM|150X75X5X7</v>
      </c>
    </row>
    <row r="127" customFormat="false" ht="15" hidden="false" customHeight="true" outlineLevel="0" collapsed="false">
      <c r="E127" s="19" t="s">
        <v>234</v>
      </c>
      <c r="F127" s="19" t="s">
        <v>236</v>
      </c>
      <c r="G127" s="68" t="n">
        <v>0.8671</v>
      </c>
      <c r="H127" s="69" t="n">
        <v>27.52</v>
      </c>
      <c r="I127" s="16" t="str">
        <f aca="false">E127&amp;"|"&amp;F127</f>
        <v>H-BEAM|150X150X7X10</v>
      </c>
    </row>
    <row r="128" customFormat="false" ht="15" hidden="false" customHeight="true" outlineLevel="0" collapsed="false">
      <c r="E128" s="19" t="s">
        <v>234</v>
      </c>
      <c r="F128" s="19" t="s">
        <v>624</v>
      </c>
      <c r="G128" s="68" t="n">
        <v>0.6845</v>
      </c>
      <c r="H128" s="69" t="n">
        <v>37.84</v>
      </c>
      <c r="I128" s="16" t="str">
        <f aca="false">E128&amp;"|"&amp;F128</f>
        <v>H-BEAM|175X90X5X8</v>
      </c>
    </row>
    <row r="129" customFormat="false" ht="15" hidden="false" customHeight="true" outlineLevel="0" collapsed="false">
      <c r="E129" s="19" t="s">
        <v>234</v>
      </c>
      <c r="F129" s="19" t="s">
        <v>625</v>
      </c>
      <c r="G129" s="68" t="n">
        <v>1.0144</v>
      </c>
      <c r="H129" s="69" t="n">
        <v>25.233</v>
      </c>
      <c r="I129" s="16" t="str">
        <f aca="false">E129&amp;"|"&amp;F129</f>
        <v>H-BEAM|175X175X7.5X11</v>
      </c>
    </row>
    <row r="130" customFormat="false" ht="15" hidden="false" customHeight="true" outlineLevel="0" collapsed="false">
      <c r="E130" s="19" t="s">
        <v>234</v>
      </c>
      <c r="F130" s="19" t="s">
        <v>626</v>
      </c>
      <c r="G130" s="68" t="n">
        <v>0.7641</v>
      </c>
      <c r="H130" s="69" t="n">
        <v>42</v>
      </c>
      <c r="I130" s="16" t="str">
        <f aca="false">E130&amp;"|"&amp;F130</f>
        <v>H-BEAM|198X99X4.5X7</v>
      </c>
    </row>
    <row r="131" customFormat="false" ht="15" hidden="false" customHeight="true" outlineLevel="0" collapsed="false">
      <c r="E131" s="19" t="s">
        <v>234</v>
      </c>
      <c r="F131" s="19" t="s">
        <v>627</v>
      </c>
      <c r="G131" s="68" t="n">
        <v>0.7701</v>
      </c>
      <c r="H131" s="69" t="n">
        <v>36.12</v>
      </c>
      <c r="I131" s="16" t="str">
        <f aca="false">E131&amp;"|"&amp;F131</f>
        <v>H-BEAM|200X100X5.5X8</v>
      </c>
    </row>
    <row r="132" customFormat="false" ht="15" hidden="false" customHeight="true" outlineLevel="0" collapsed="false">
      <c r="E132" s="19" t="s">
        <v>234</v>
      </c>
      <c r="F132" s="19" t="s">
        <v>628</v>
      </c>
      <c r="G132" s="68" t="n">
        <v>0.9537</v>
      </c>
      <c r="H132" s="69" t="n">
        <v>31.14</v>
      </c>
      <c r="I132" s="16" t="str">
        <f aca="false">E132&amp;"|"&amp;F132</f>
        <v>H-BEAM|194X150X6X9</v>
      </c>
    </row>
    <row r="133" customFormat="false" ht="15" hidden="false" customHeight="true" outlineLevel="0" collapsed="false">
      <c r="E133" s="19" t="s">
        <v>234</v>
      </c>
      <c r="F133" s="19" t="s">
        <v>240</v>
      </c>
      <c r="G133" s="68" t="n">
        <v>1.1617</v>
      </c>
      <c r="H133" s="69" t="n">
        <v>23.293</v>
      </c>
      <c r="I133" s="16" t="str">
        <f aca="false">E133&amp;"|"&amp;F133</f>
        <v>H-BEAM|200X200X8X12</v>
      </c>
    </row>
    <row r="134" customFormat="false" ht="15" hidden="false" customHeight="true" outlineLevel="0" collapsed="false">
      <c r="E134" s="19" t="s">
        <v>234</v>
      </c>
      <c r="F134" s="19" t="s">
        <v>629</v>
      </c>
      <c r="G134" s="68" t="n">
        <v>1.1697</v>
      </c>
      <c r="H134" s="69" t="n">
        <v>20.831</v>
      </c>
      <c r="I134" s="16" t="str">
        <f aca="false">E134&amp;"|"&amp;F134</f>
        <v>H-BEAM|200X204X12X12</v>
      </c>
    </row>
    <row r="135" customFormat="false" ht="15" hidden="false" customHeight="true" outlineLevel="0" collapsed="false">
      <c r="E135" s="19" t="s">
        <v>234</v>
      </c>
      <c r="F135" s="19" t="s">
        <v>630</v>
      </c>
      <c r="G135" s="68" t="n">
        <v>0.9614</v>
      </c>
      <c r="H135" s="69" t="n">
        <v>37.48</v>
      </c>
      <c r="I135" s="16" t="str">
        <f aca="false">E135&amp;"|"&amp;F135</f>
        <v>H-BEAM|248X124X5X8</v>
      </c>
    </row>
    <row r="136" customFormat="false" ht="15" hidden="false" customHeight="true" outlineLevel="0" collapsed="false">
      <c r="E136" s="19" t="s">
        <v>234</v>
      </c>
      <c r="F136" s="19" t="s">
        <v>631</v>
      </c>
      <c r="G136" s="68" t="n">
        <v>0.9674</v>
      </c>
      <c r="H136" s="69" t="n">
        <v>32.73</v>
      </c>
      <c r="I136" s="16" t="str">
        <f aca="false">E136&amp;"|"&amp;F136</f>
        <v>H-BEAM|250X125X6X9</v>
      </c>
    </row>
    <row r="137" customFormat="false" ht="15" hidden="false" customHeight="true" outlineLevel="0" collapsed="false">
      <c r="E137" s="19" t="s">
        <v>234</v>
      </c>
      <c r="F137" s="19" t="s">
        <v>632</v>
      </c>
      <c r="G137" s="68" t="n">
        <v>1.1465</v>
      </c>
      <c r="H137" s="69" t="n">
        <v>25.971</v>
      </c>
      <c r="I137" s="16" t="str">
        <f aca="false">E137&amp;"|"&amp;F137</f>
        <v>H-BEAM|244X175X7X11</v>
      </c>
    </row>
    <row r="138" customFormat="false" ht="15" hidden="false" customHeight="true" outlineLevel="0" collapsed="false">
      <c r="E138" s="19" t="s">
        <v>234</v>
      </c>
      <c r="F138" s="19" t="s">
        <v>633</v>
      </c>
      <c r="G138" s="68" t="n">
        <v>1.4545</v>
      </c>
      <c r="H138" s="69" t="n">
        <v>20.101</v>
      </c>
      <c r="I138" s="16" t="str">
        <f aca="false">E138&amp;"|"&amp;F138</f>
        <v>H-BEAM|250X250X9X14</v>
      </c>
    </row>
    <row r="139" customFormat="false" ht="15" hidden="false" customHeight="true" outlineLevel="0" collapsed="false">
      <c r="E139" s="19" t="s">
        <v>234</v>
      </c>
      <c r="F139" s="19" t="s">
        <v>634</v>
      </c>
      <c r="G139" s="68" t="n">
        <v>1.4645</v>
      </c>
      <c r="H139" s="69" t="n">
        <v>17.823</v>
      </c>
      <c r="I139" s="16" t="str">
        <f aca="false">E139&amp;"|"&amp;F139</f>
        <v>H-BEAM|250X255X14X14</v>
      </c>
    </row>
    <row r="140" customFormat="false" ht="15" hidden="false" customHeight="true" outlineLevel="0" collapsed="false">
      <c r="E140" s="19" t="s">
        <v>234</v>
      </c>
      <c r="F140" s="19" t="s">
        <v>635</v>
      </c>
      <c r="G140" s="68" t="n">
        <v>1.1587</v>
      </c>
      <c r="H140" s="69" t="n">
        <v>36.177</v>
      </c>
      <c r="I140" s="16" t="str">
        <f aca="false">E140&amp;"|"&amp;F140</f>
        <v>H-BEAM|298X149X5.5X8</v>
      </c>
    </row>
    <row r="141" customFormat="false" ht="15" hidden="false" customHeight="true" outlineLevel="0" collapsed="false">
      <c r="E141" s="19" t="s">
        <v>234</v>
      </c>
      <c r="F141" s="19" t="s">
        <v>636</v>
      </c>
      <c r="G141" s="68" t="n">
        <v>1.1647</v>
      </c>
      <c r="H141" s="69" t="n">
        <v>31.72</v>
      </c>
      <c r="I141" s="16" t="str">
        <f aca="false">E141&amp;"|"&amp;F141</f>
        <v>H-BEAM|300X150X6.5X9</v>
      </c>
    </row>
    <row r="142" customFormat="false" ht="15" hidden="false" customHeight="true" outlineLevel="0" collapsed="false">
      <c r="E142" s="19" t="s">
        <v>234</v>
      </c>
      <c r="F142" s="19" t="s">
        <v>637</v>
      </c>
      <c r="G142" s="68" t="n">
        <v>1.3411</v>
      </c>
      <c r="H142" s="69" t="n">
        <v>23.603</v>
      </c>
      <c r="I142" s="16" t="str">
        <f aca="false">E142&amp;"|"&amp;F142</f>
        <v>H-BEAM|294X200X8X12</v>
      </c>
    </row>
    <row r="143" customFormat="false" ht="15" hidden="false" customHeight="true" outlineLevel="0" collapsed="false">
      <c r="E143" s="19" t="s">
        <v>234</v>
      </c>
      <c r="F143" s="19" t="s">
        <v>638</v>
      </c>
      <c r="G143" s="68" t="n">
        <v>1.7411</v>
      </c>
      <c r="H143" s="69" t="n">
        <v>20.601</v>
      </c>
      <c r="I143" s="16" t="str">
        <f aca="false">E143&amp;"|"&amp;F143</f>
        <v>H-BEAM|294X302X12X12</v>
      </c>
    </row>
    <row r="144" customFormat="false" ht="15" hidden="false" customHeight="true" outlineLevel="0" collapsed="false">
      <c r="E144" s="19" t="s">
        <v>234</v>
      </c>
      <c r="F144" s="19" t="s">
        <v>639</v>
      </c>
      <c r="G144" s="68" t="n">
        <v>1.7491</v>
      </c>
      <c r="H144" s="69" t="n">
        <v>18.602</v>
      </c>
      <c r="I144" s="16" t="str">
        <f aca="false">E144&amp;"|"&amp;F144</f>
        <v>H-BEAM|300X300X10X15</v>
      </c>
    </row>
    <row r="145" customFormat="false" ht="15" hidden="false" customHeight="true" outlineLevel="0" collapsed="false">
      <c r="E145" s="19" t="s">
        <v>234</v>
      </c>
      <c r="F145" s="19" t="s">
        <v>640</v>
      </c>
      <c r="G145" s="68" t="n">
        <v>1.7591</v>
      </c>
      <c r="H145" s="69" t="n">
        <v>16.626</v>
      </c>
      <c r="I145" s="16" t="str">
        <f aca="false">E145&amp;"|"&amp;F145</f>
        <v>H-BEAM|300X305X15X15</v>
      </c>
    </row>
    <row r="146" customFormat="false" ht="15" hidden="false" customHeight="true" outlineLevel="0" collapsed="false">
      <c r="E146" s="19" t="s">
        <v>234</v>
      </c>
      <c r="F146" s="19" t="s">
        <v>641</v>
      </c>
      <c r="G146" s="68" t="n">
        <v>1.352</v>
      </c>
      <c r="H146" s="69" t="n">
        <v>32.69</v>
      </c>
      <c r="I146" s="16" t="str">
        <f aca="false">E146&amp;"|"&amp;F146</f>
        <v>H-BEAM|346X174X6X9</v>
      </c>
    </row>
    <row r="147" customFormat="false" ht="15" hidden="false" customHeight="true" outlineLevel="0" collapsed="false">
      <c r="E147" s="19" t="s">
        <v>234</v>
      </c>
      <c r="F147" s="19" t="s">
        <v>642</v>
      </c>
      <c r="G147" s="68" t="n">
        <v>1.362</v>
      </c>
      <c r="H147" s="69" t="n">
        <v>27.477</v>
      </c>
      <c r="I147" s="16" t="str">
        <f aca="false">E147&amp;"|"&amp;F147</f>
        <v>H-BEAM|350X175X7X11</v>
      </c>
    </row>
    <row r="148" customFormat="false" ht="15" hidden="false" customHeight="true" outlineLevel="0" collapsed="false">
      <c r="E148" s="19" t="s">
        <v>234</v>
      </c>
      <c r="F148" s="19" t="s">
        <v>643</v>
      </c>
      <c r="G148" s="68" t="n">
        <v>1.6277</v>
      </c>
      <c r="H148" s="69" t="n">
        <v>20.425</v>
      </c>
      <c r="I148" s="16" t="str">
        <f aca="false">E148&amp;"|"&amp;F148</f>
        <v>H-BEAM|340X250X9X14</v>
      </c>
    </row>
    <row r="149" customFormat="false" ht="15" hidden="false" customHeight="true" outlineLevel="0" collapsed="false">
      <c r="E149" s="19" t="s">
        <v>234</v>
      </c>
      <c r="F149" s="19" t="s">
        <v>644</v>
      </c>
      <c r="G149" s="68" t="n">
        <v>2.0257</v>
      </c>
      <c r="H149" s="69" t="n">
        <v>17.675</v>
      </c>
      <c r="I149" s="16" t="str">
        <f aca="false">E149&amp;"|"&amp;F149</f>
        <v>H-BEAM|344X348X10X16</v>
      </c>
    </row>
    <row r="150" customFormat="false" ht="15" hidden="false" customHeight="true" outlineLevel="0" collapsed="false">
      <c r="E150" s="19" t="s">
        <v>234</v>
      </c>
      <c r="F150" s="19" t="s">
        <v>645</v>
      </c>
      <c r="G150" s="68" t="n">
        <v>2.0417</v>
      </c>
      <c r="H150" s="69" t="n">
        <v>14.958</v>
      </c>
      <c r="I150" s="16" t="str">
        <f aca="false">E150&amp;"|"&amp;F150</f>
        <v>H-BEAM|350X350X12X19</v>
      </c>
    </row>
    <row r="151" customFormat="false" ht="15" hidden="false" customHeight="true" outlineLevel="0" collapsed="false">
      <c r="E151" s="19" t="s">
        <v>234</v>
      </c>
      <c r="F151" s="19" t="s">
        <v>646</v>
      </c>
      <c r="G151" s="68" t="n">
        <v>1.5465</v>
      </c>
      <c r="H151" s="69" t="n">
        <v>27.303</v>
      </c>
      <c r="I151" s="16" t="str">
        <f aca="false">E151&amp;"|"&amp;F151</f>
        <v>H-BEAM|396X199X7X11</v>
      </c>
    </row>
    <row r="152" customFormat="false" ht="15" hidden="false" customHeight="true" outlineLevel="0" collapsed="false">
      <c r="E152" s="19" t="s">
        <v>234</v>
      </c>
      <c r="F152" s="19" t="s">
        <v>647</v>
      </c>
      <c r="G152" s="68" t="n">
        <v>1.5565</v>
      </c>
      <c r="H152" s="69" t="n">
        <v>23.572</v>
      </c>
      <c r="I152" s="16" t="str">
        <f aca="false">E152&amp;"|"&amp;F152</f>
        <v>H-BEAM|400X200X8X13</v>
      </c>
    </row>
    <row r="153" customFormat="false" ht="15" hidden="false" customHeight="true" outlineLevel="0" collapsed="false">
      <c r="E153" s="19" t="s">
        <v>234</v>
      </c>
      <c r="F153" s="19" t="s">
        <v>648</v>
      </c>
      <c r="G153" s="68" t="n">
        <v>1.9222</v>
      </c>
      <c r="H153" s="69" t="n">
        <v>18.011</v>
      </c>
      <c r="I153" s="16" t="str">
        <f aca="false">E153&amp;"|"&amp;F153</f>
        <v>H-BEAM|390X300X10X16</v>
      </c>
    </row>
    <row r="154" customFormat="false" ht="15" hidden="false" customHeight="true" outlineLevel="0" collapsed="false">
      <c r="E154" s="19" t="s">
        <v>234</v>
      </c>
      <c r="F154" s="19" t="s">
        <v>649</v>
      </c>
      <c r="G154" s="68" t="n">
        <v>2.3162</v>
      </c>
      <c r="H154" s="69" t="n">
        <v>16.534</v>
      </c>
      <c r="I154" s="16" t="str">
        <f aca="false">E154&amp;"|"&amp;F154</f>
        <v>H-BEAM|388X402X15X15</v>
      </c>
    </row>
    <row r="155" customFormat="false" ht="15" hidden="false" customHeight="true" outlineLevel="0" collapsed="false">
      <c r="E155" s="19" t="s">
        <v>234</v>
      </c>
      <c r="F155" s="19" t="s">
        <v>650</v>
      </c>
      <c r="G155" s="68" t="n">
        <v>2.3202</v>
      </c>
      <c r="H155" s="69" t="n">
        <v>15.822</v>
      </c>
      <c r="I155" s="16" t="str">
        <f aca="false">E155&amp;"|"&amp;F155</f>
        <v>H-BEAM|394X398X11X18</v>
      </c>
    </row>
    <row r="156" customFormat="false" ht="15" hidden="false" customHeight="true" outlineLevel="0" collapsed="false">
      <c r="E156" s="19" t="s">
        <v>234</v>
      </c>
      <c r="F156" s="19" t="s">
        <v>651</v>
      </c>
      <c r="G156" s="68" t="n">
        <v>2.3402</v>
      </c>
      <c r="H156" s="69" t="n">
        <v>13.632</v>
      </c>
      <c r="I156" s="16" t="str">
        <f aca="false">E156&amp;"|"&amp;F156</f>
        <v>H-BEAM|400X400X13X21</v>
      </c>
    </row>
    <row r="157" customFormat="false" ht="15" hidden="false" customHeight="true" outlineLevel="0" collapsed="false">
      <c r="E157" s="19" t="s">
        <v>234</v>
      </c>
      <c r="F157" s="19" t="s">
        <v>652</v>
      </c>
      <c r="G157" s="68" t="n">
        <v>2.3522</v>
      </c>
      <c r="H157" s="69" t="n">
        <v>11.953</v>
      </c>
      <c r="I157" s="16" t="str">
        <f aca="false">E157&amp;"|"&amp;F157</f>
        <v>H-BEAM|400X408X21X21</v>
      </c>
    </row>
    <row r="158" customFormat="false" ht="15" hidden="false" customHeight="true" outlineLevel="0" collapsed="false">
      <c r="E158" s="19" t="s">
        <v>234</v>
      </c>
      <c r="F158" s="19" t="s">
        <v>653</v>
      </c>
      <c r="G158" s="68" t="n">
        <v>2.3742</v>
      </c>
      <c r="H158" s="69" t="n">
        <v>10.239</v>
      </c>
      <c r="I158" s="16" t="str">
        <f aca="false">E158&amp;"|"&amp;F158</f>
        <v>H-BEAM|414X405X18X28</v>
      </c>
    </row>
    <row r="159" customFormat="false" ht="15" hidden="false" customHeight="true" outlineLevel="0" collapsed="false">
      <c r="E159" s="19" t="s">
        <v>234</v>
      </c>
      <c r="F159" s="19" t="s">
        <v>654</v>
      </c>
      <c r="G159" s="68" t="n">
        <v>2.4062</v>
      </c>
      <c r="H159" s="69" t="n">
        <v>8.499</v>
      </c>
      <c r="I159" s="16" t="str">
        <f aca="false">E159&amp;"|"&amp;F159</f>
        <v>H-BEAM|428X407X20X35</v>
      </c>
    </row>
    <row r="160" customFormat="false" ht="15" hidden="false" customHeight="true" outlineLevel="0" collapsed="false">
      <c r="E160" s="19" t="s">
        <v>234</v>
      </c>
      <c r="F160" s="19" t="s">
        <v>655</v>
      </c>
      <c r="G160" s="68" t="n">
        <v>2.4862</v>
      </c>
      <c r="H160" s="69" t="n">
        <v>5.992</v>
      </c>
      <c r="I160" s="16" t="str">
        <f aca="false">E160&amp;"|"&amp;F160</f>
        <v>H-BEAM|457X417X30X50</v>
      </c>
    </row>
    <row r="161" customFormat="false" ht="15" hidden="false" customHeight="true" outlineLevel="0" collapsed="false">
      <c r="E161" s="19" t="s">
        <v>234</v>
      </c>
      <c r="F161" s="19" t="s">
        <v>656</v>
      </c>
      <c r="G161" s="68" t="n">
        <v>2.5962</v>
      </c>
      <c r="H161" s="69" t="n">
        <v>4.295</v>
      </c>
      <c r="I161" s="16" t="str">
        <f aca="false">E161&amp;"|"&amp;F161</f>
        <v>H-BEAM|498X432X45X70</v>
      </c>
    </row>
    <row r="162" customFormat="false" ht="15" hidden="false" customHeight="true" outlineLevel="0" collapsed="false">
      <c r="E162" s="19" t="s">
        <v>234</v>
      </c>
      <c r="F162" s="19" t="s">
        <v>657</v>
      </c>
      <c r="G162" s="68" t="n">
        <v>1.6411</v>
      </c>
      <c r="H162" s="69" t="n">
        <v>24.799</v>
      </c>
      <c r="I162" s="16" t="str">
        <f aca="false">E162&amp;"|"&amp;F162</f>
        <v>H-BEAM|446X199X8X12</v>
      </c>
    </row>
    <row r="163" customFormat="false" ht="15" hidden="false" customHeight="true" outlineLevel="0" collapsed="false">
      <c r="E163" s="19" t="s">
        <v>234</v>
      </c>
      <c r="F163" s="19" t="s">
        <v>658</v>
      </c>
      <c r="G163" s="68" t="n">
        <v>1.6511</v>
      </c>
      <c r="H163" s="69" t="n">
        <v>21.737</v>
      </c>
      <c r="I163" s="16" t="str">
        <f aca="false">E163&amp;"|"&amp;F163</f>
        <v>H-BEAM|450X200X9X14</v>
      </c>
    </row>
    <row r="164" customFormat="false" ht="15" hidden="false" customHeight="true" outlineLevel="0" collapsed="false">
      <c r="E164" s="19" t="s">
        <v>234</v>
      </c>
      <c r="F164" s="19" t="s">
        <v>659</v>
      </c>
      <c r="G164" s="68" t="n">
        <v>2.017</v>
      </c>
      <c r="H164" s="69" t="n">
        <v>16.324</v>
      </c>
      <c r="I164" s="16" t="str">
        <f aca="false">E164&amp;"|"&amp;F164</f>
        <v>H-BEAM|440X300X11X18</v>
      </c>
    </row>
    <row r="165" customFormat="false" ht="15" hidden="false" customHeight="true" outlineLevel="0" collapsed="false">
      <c r="E165" s="19" t="s">
        <v>234</v>
      </c>
      <c r="F165" s="19" t="s">
        <v>660</v>
      </c>
      <c r="G165" s="68" t="n">
        <v>1.7357</v>
      </c>
      <c r="H165" s="69" t="n">
        <v>21.832</v>
      </c>
      <c r="I165" s="16" t="str">
        <f aca="false">E165&amp;"|"&amp;F165</f>
        <v>H-BEAM|496X199X9X14</v>
      </c>
    </row>
    <row r="166" customFormat="false" ht="15" hidden="false" customHeight="true" outlineLevel="0" collapsed="false">
      <c r="E166" s="19" t="s">
        <v>234</v>
      </c>
      <c r="F166" s="19" t="s">
        <v>661</v>
      </c>
      <c r="G166" s="68" t="n">
        <v>1.7457</v>
      </c>
      <c r="H166" s="69" t="n">
        <v>19.467</v>
      </c>
      <c r="I166" s="16" t="str">
        <f aca="false">E166&amp;"|"&amp;F166</f>
        <v>H-BEAM|500X200X10X16</v>
      </c>
    </row>
    <row r="167" customFormat="false" ht="15" hidden="false" customHeight="true" outlineLevel="0" collapsed="false">
      <c r="E167" s="19" t="s">
        <v>234</v>
      </c>
      <c r="F167" s="19" t="s">
        <v>662</v>
      </c>
      <c r="G167" s="68" t="n">
        <v>1.7597</v>
      </c>
      <c r="H167" s="69" t="n">
        <v>17.073</v>
      </c>
      <c r="I167" s="16" t="str">
        <f aca="false">E167&amp;"|"&amp;F167</f>
        <v>H-BEAM|506X201X11X19</v>
      </c>
    </row>
    <row r="168" customFormat="false" ht="15" hidden="false" customHeight="true" outlineLevel="0" collapsed="false">
      <c r="E168" s="19" t="s">
        <v>234</v>
      </c>
      <c r="F168" s="19" t="s">
        <v>663</v>
      </c>
      <c r="G168" s="68" t="n">
        <v>2.0974</v>
      </c>
      <c r="H168" s="69" t="n">
        <v>18.36</v>
      </c>
      <c r="I168" s="16" t="str">
        <f aca="false">E168&amp;"|"&amp;F168</f>
        <v>H-BEAM|482X300X11X15</v>
      </c>
    </row>
    <row r="169" customFormat="false" ht="15" hidden="false" customHeight="true" outlineLevel="0" collapsed="false">
      <c r="E169" s="19" t="s">
        <v>234</v>
      </c>
      <c r="F169" s="19" t="s">
        <v>664</v>
      </c>
      <c r="G169" s="68" t="n">
        <v>2.1094</v>
      </c>
      <c r="H169" s="69" t="n">
        <v>16.432</v>
      </c>
      <c r="I169" s="16" t="str">
        <f aca="false">E169&amp;"|"&amp;F169</f>
        <v>H-BEAM|488X300X11X18</v>
      </c>
    </row>
    <row r="170" customFormat="false" ht="15" hidden="false" customHeight="true" outlineLevel="0" collapsed="false">
      <c r="E170" s="19" t="s">
        <v>234</v>
      </c>
      <c r="F170" s="19" t="s">
        <v>665</v>
      </c>
      <c r="G170" s="68" t="n">
        <v>1.9302</v>
      </c>
      <c r="H170" s="69" t="n">
        <v>20.413</v>
      </c>
      <c r="I170" s="16" t="str">
        <f aca="false">E170&amp;"|"&amp;F170</f>
        <v>H-BEAM|596X199X10X15</v>
      </c>
    </row>
    <row r="171" customFormat="false" ht="15" hidden="false" customHeight="true" outlineLevel="0" collapsed="false">
      <c r="E171" s="19" t="s">
        <v>234</v>
      </c>
      <c r="F171" s="19" t="s">
        <v>666</v>
      </c>
      <c r="G171" s="68" t="n">
        <v>1.9402</v>
      </c>
      <c r="H171" s="69" t="n">
        <v>18.388</v>
      </c>
      <c r="I171" s="16" t="str">
        <f aca="false">E171&amp;"|"&amp;F171</f>
        <v>H-BEAM|600X200X11X17</v>
      </c>
    </row>
    <row r="172" customFormat="false" ht="15" hidden="false" customHeight="true" outlineLevel="0" collapsed="false">
      <c r="E172" s="19" t="s">
        <v>234</v>
      </c>
      <c r="F172" s="19" t="s">
        <v>667</v>
      </c>
      <c r="G172" s="68" t="n">
        <v>1.9542</v>
      </c>
      <c r="H172" s="69" t="n">
        <v>16.733</v>
      </c>
      <c r="I172" s="16" t="str">
        <f aca="false">E172&amp;"|"&amp;F172</f>
        <v>H-BEAM|606X201X12X20</v>
      </c>
    </row>
    <row r="173" customFormat="false" ht="15" hidden="false" customHeight="true" outlineLevel="0" collapsed="false">
      <c r="E173" s="19" t="s">
        <v>234</v>
      </c>
      <c r="F173" s="19" t="s">
        <v>668</v>
      </c>
      <c r="G173" s="68" t="n">
        <v>2.2919</v>
      </c>
      <c r="H173" s="69" t="n">
        <v>16.788</v>
      </c>
      <c r="I173" s="16" t="str">
        <f aca="false">E173&amp;"|"&amp;F173</f>
        <v>H-BEAM|582X300X12X17</v>
      </c>
    </row>
    <row r="174" customFormat="false" ht="15" hidden="false" customHeight="true" outlineLevel="0" collapsed="false">
      <c r="E174" s="19" t="s">
        <v>234</v>
      </c>
      <c r="F174" s="19" t="s">
        <v>669</v>
      </c>
      <c r="G174" s="68" t="n">
        <v>2.3039</v>
      </c>
      <c r="H174" s="69" t="n">
        <v>15.247</v>
      </c>
      <c r="I174" s="16" t="str">
        <f aca="false">E174&amp;"|"&amp;F174</f>
        <v>H-BEAM|588X300X12X20</v>
      </c>
    </row>
    <row r="175" customFormat="false" ht="15" hidden="false" customHeight="true" outlineLevel="0" collapsed="false">
      <c r="E175" s="19" t="s">
        <v>234</v>
      </c>
      <c r="F175" s="19" t="s">
        <v>670</v>
      </c>
      <c r="G175" s="68" t="n">
        <v>2.3199</v>
      </c>
      <c r="H175" s="69" t="n">
        <v>13.29</v>
      </c>
      <c r="I175" s="16" t="str">
        <f aca="false">E175&amp;"|"&amp;F175</f>
        <v>H-BEAM|594X302X14X23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4" min="3" style="1" width="9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32"/>
    <col collapsed="false" customWidth="true" hidden="false" outlineLevel="0" max="10" min="9" style="1" width="8"/>
    <col collapsed="false" customWidth="true" hidden="false" outlineLevel="0" max="11" min="11" style="1" width="6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11"/>
    <col collapsed="false" customWidth="true" hidden="false" outlineLevel="0" max="17" min="17" style="1" width="5"/>
    <col collapsed="false" customWidth="true" hidden="false" outlineLevel="0" max="18" min="18" style="1" width="10"/>
    <col collapsed="false" customWidth="true" hidden="false" outlineLevel="0" max="19" min="19" style="1" width="8"/>
    <col collapsed="false" customWidth="true" hidden="false" outlineLevel="0" max="20" min="20" style="1" width="26"/>
    <col collapsed="false" customWidth="true" hidden="false" outlineLevel="0" max="22" min="21" style="1" width="12"/>
    <col collapsed="false" customWidth="true" hidden="false" outlineLevel="0" max="25" min="23" style="1" width="7"/>
    <col collapsed="false" customWidth="true" hidden="false" outlineLevel="0" max="26" min="26" style="1" width="10"/>
    <col collapsed="false" customWidth="true" hidden="false" outlineLevel="0" max="27" min="27" style="1" width="8"/>
    <col collapsed="false" customWidth="true" hidden="false" outlineLevel="0" max="28" min="28" style="1" width="9"/>
    <col collapsed="false" customWidth="true" hidden="false" outlineLevel="0" max="29" min="29" style="1" width="30"/>
    <col collapsed="false" customWidth="true" hidden="false" outlineLevel="0" max="30" min="30" style="1" width="11"/>
    <col collapsed="false" customWidth="true" hidden="false" outlineLevel="0" max="31" min="31" style="1" width="9"/>
    <col collapsed="false" customWidth="true" hidden="false" outlineLevel="0" max="32" min="32" style="1" width="10"/>
    <col collapsed="false" customWidth="true" hidden="false" outlineLevel="0" max="33" min="33" style="1" width="8"/>
  </cols>
  <sheetData>
    <row r="1" customFormat="false" ht="21" hidden="false" customHeight="true" outlineLevel="0" collapsed="false">
      <c r="A1" s="71" t="s">
        <v>671</v>
      </c>
    </row>
    <row r="2" customFormat="false" ht="15" hidden="false" customHeight="true" outlineLevel="0" collapsed="false">
      <c r="A2" s="3" t="s">
        <v>672</v>
      </c>
    </row>
    <row r="3" customFormat="false" ht="15" hidden="false" customHeight="true" outlineLevel="0" collapsed="false">
      <c r="A3" s="3" t="s">
        <v>673</v>
      </c>
    </row>
    <row r="5" customFormat="false" ht="15" hidden="false" customHeight="true" outlineLevel="0" collapsed="false">
      <c r="W5" s="72" t="s">
        <v>674</v>
      </c>
    </row>
    <row r="6" customFormat="false" ht="43.5" hidden="false" customHeight="true" outlineLevel="0" collapsed="false">
      <c r="A6" s="31" t="s">
        <v>117</v>
      </c>
      <c r="B6" s="4" t="s">
        <v>192</v>
      </c>
      <c r="C6" s="4" t="s">
        <v>675</v>
      </c>
      <c r="D6" s="4" t="s">
        <v>676</v>
      </c>
      <c r="E6" s="4" t="s">
        <v>677</v>
      </c>
      <c r="F6" s="4" t="s">
        <v>225</v>
      </c>
      <c r="G6" s="4" t="s">
        <v>678</v>
      </c>
      <c r="H6" s="4" t="s">
        <v>679</v>
      </c>
      <c r="I6" s="4" t="s">
        <v>680</v>
      </c>
      <c r="J6" s="31" t="s">
        <v>681</v>
      </c>
      <c r="K6" s="4" t="s">
        <v>5</v>
      </c>
      <c r="L6" s="4" t="s">
        <v>119</v>
      </c>
      <c r="M6" s="4" t="s">
        <v>682</v>
      </c>
      <c r="N6" s="4" t="s">
        <v>683</v>
      </c>
      <c r="O6" s="4" t="s">
        <v>684</v>
      </c>
      <c r="P6" s="4" t="s">
        <v>685</v>
      </c>
      <c r="Q6" s="31" t="s">
        <v>686</v>
      </c>
      <c r="R6" s="31" t="s">
        <v>687</v>
      </c>
      <c r="S6" s="4" t="s">
        <v>688</v>
      </c>
      <c r="T6" s="4" t="s">
        <v>233</v>
      </c>
      <c r="U6" s="31" t="s">
        <v>689</v>
      </c>
      <c r="V6" s="4" t="s">
        <v>690</v>
      </c>
      <c r="W6" s="4" t="s">
        <v>691</v>
      </c>
      <c r="X6" s="31" t="s">
        <v>692</v>
      </c>
      <c r="Y6" s="4" t="s">
        <v>693</v>
      </c>
      <c r="Z6" s="31" t="s">
        <v>694</v>
      </c>
      <c r="AA6" s="31" t="s">
        <v>695</v>
      </c>
      <c r="AB6" s="31" t="s">
        <v>696</v>
      </c>
      <c r="AC6" s="31" t="s">
        <v>697</v>
      </c>
      <c r="AD6" s="4" t="s">
        <v>698</v>
      </c>
      <c r="AE6" s="31" t="s">
        <v>699</v>
      </c>
      <c r="AF6" s="4" t="s">
        <v>700</v>
      </c>
      <c r="AG6" s="4" t="s">
        <v>701</v>
      </c>
    </row>
    <row r="7" customFormat="false" ht="15" hidden="false" customHeight="true" outlineLevel="0" collapsed="false">
      <c r="A7" s="6" t="n">
        <v>1</v>
      </c>
      <c r="B7" s="20" t="s">
        <v>142</v>
      </c>
      <c r="C7" s="20" t="s">
        <v>702</v>
      </c>
      <c r="D7" s="19" t="s">
        <v>703</v>
      </c>
      <c r="E7" s="19" t="s">
        <v>704</v>
      </c>
      <c r="F7" s="19" t="s">
        <v>705</v>
      </c>
      <c r="G7" s="19" t="s">
        <v>260</v>
      </c>
      <c r="H7" s="32" t="s">
        <v>260</v>
      </c>
      <c r="I7" s="19" t="n">
        <v>15</v>
      </c>
      <c r="J7" s="19" t="s">
        <v>706</v>
      </c>
      <c r="K7" s="19" t="s">
        <v>54</v>
      </c>
      <c r="L7" s="73" t="n">
        <v>1.837</v>
      </c>
      <c r="M7" s="37" t="n">
        <f aca="false">IF($G7&lt;&gt;"PIPE","",IFERROR(1/(1/INDEX(배관단중표!$B$7:$W$41,MATCH($I7,배관단중표!$A$7:$A$41,0),MATCH(IF($J7="SPP","SPP",IF(LEFT($F7,3)="STS",IF(ISNUMBER(SEARCH("316",$F7)),"STS316","STS304"),"SPPS")&amp;"|"&amp;$J7),배관단중표!$B$6:$W$6,0))),"DB확인"))</f>
        <v>1.31</v>
      </c>
      <c r="N7" s="74"/>
      <c r="O7" s="56"/>
      <c r="P7" s="54" t="n">
        <f aca="false">IF($G7="","",IFERROR(IF(O7&lt;&gt;"",O7,L7*IF(G7="PIPE",M7,N7)),0))</f>
        <v>2.40647</v>
      </c>
      <c r="Q7" s="6" t="str">
        <f aca="false">IF($G7="","",IF(G7="PIPE","P","F"))</f>
        <v>P</v>
      </c>
      <c r="R7" s="35" t="n">
        <f aca="false">IF($G7&lt;&gt;"PIPE","",IFERROR(IF(O7&lt;&gt;"",O7/M7,IF(K7="M",L7,"")),""))</f>
        <v>1.837</v>
      </c>
      <c r="S7" s="6" t="str">
        <f aca="false">IF($G7&lt;&gt;"PIPE","",IF(AND($AA7="○",OR($W7&lt;&gt;"○",배관기준!$AG$17="N"),$C7&lt;&gt;"매설",LEFT($F7,3)&lt;&gt;"STS",LEFT($F7,3)&lt;&gt;"SUS"),"Y","N"))</f>
        <v>N</v>
      </c>
      <c r="T7" s="16"/>
      <c r="U7" s="19" t="s">
        <v>705</v>
      </c>
      <c r="V7" s="19"/>
      <c r="W7" s="6" t="str">
        <f aca="false">IF($G7="","",IFERROR(INDEX(배관집계!$AC$7:$AC$32,MATCH($AC7,배관집계!$AJ$7:$AJ$32,0))&amp;"",""))</f>
        <v>○</v>
      </c>
      <c r="X7" s="6" t="str">
        <f aca="false">IF($G7="","",IFERROR(INDEX(배관집계!$AD$7:$AD$32,MATCH($AC7,배관집계!$AJ$7:$AJ$32,0))&amp;"",""))</f>
        <v>○</v>
      </c>
      <c r="Y7" s="6" t="str">
        <f aca="false">IF($G7="","",IFERROR(INDEX(배관집계!$AE$7:$AE$32,MATCH($AC7,배관집계!$AJ$7:$AJ$32,0))&amp;"",""))</f>
        <v>×</v>
      </c>
      <c r="Z7" s="6" t="str">
        <f aca="false">IF($G7="","",IFERROR(INDEX(배관집계!$AF$7:$AF$32,MATCH($AC7,배관집계!$AJ$7:$AJ$32,0))&amp;"",""))</f>
        <v>○</v>
      </c>
      <c r="AA7" s="6" t="str">
        <f aca="false">IF($G7="","",IFERROR(INDEX(배관집계!$AG$7:$AG$32,MATCH($AC7,배관집계!$AJ$7:$AJ$32,0))&amp;"",""))</f>
        <v>×</v>
      </c>
      <c r="AB7" s="6" t="str">
        <f aca="false">IF($G7="","",IFERROR(INDEX(배관집계!$AH$7:$AH$32,MATCH($AC7,배관집계!$AJ$7:$AJ$32,0))&amp;"",""))</f>
        <v>C/C</v>
      </c>
      <c r="AC7" s="75" t="str">
        <f aca="false">IF($G7="","",$B7&amp;"|"&amp;$C7&amp;"|"&amp;$E7&amp;"|"&amp;$U7&amp;"|"&amp;$I7)</f>
        <v>설치|옥외|5kg/cm2이상|STPG370S|15</v>
      </c>
      <c r="AD7" s="76" t="str">
        <f aca="false">IF($G7="","",IF($B7&lt;&gt;"설치","",IF($G7="PIPE","PIPE",IF($G7="VALVE",IF(ISNUMBER(SEARCH("GLOBE",$H7)),"GLOBE",IF(ISNUMBER(SEARCH("GATE",$H7)),"GATE",IF(ISNUMBER(SEARCH("BUTTER",$H7)),"BFLY","VALVE기타"))),IF($G7="FITTING",IF(LEFT($H7,5)="ELBOW",IF($AE7=90,"90EL",IF($AE7=45,"45EL","비규격EL")),IF(LEFT($H7,6)="FLANGE","FLANGE",IF(ISNUMBER(SEARCH("TEE",$H7)),"TEE",""))),"")))))</f>
        <v>PIPE</v>
      </c>
      <c r="AE7" s="76" t="str">
        <f aca="false">IF(AND($G7="FITTING",LEFT($H7,5)="ELBOW"),IFERROR(VALUE(LEFT(MID($H7,7,12),MIN(IFERROR(FIND("L",MID($H7,7,12)),99),IFERROR(FIND("S",MID($H7,7,12)),99),IFERROR(FIND(" ",MID($H7,7,12)),99))-1)),""),"")</f>
        <v/>
      </c>
      <c r="AF7" s="77" t="n">
        <f aca="false">IF($AD7="비규격EL",N($L7)*RADIANS(N($AE7))*보온기준!$F$15*N($I7)*보온기준!$F$16/1000,0)</f>
        <v>0</v>
      </c>
      <c r="AG7" s="76" t="str">
        <f aca="false">IF($G7="","",IF(OR($AA7&lt;&gt;"○",LEFT($F7,3)="STS",LEFT($F7,3)="SUS",$C7="매설"),"Y","N"))</f>
        <v>Y</v>
      </c>
    </row>
    <row r="8" customFormat="false" ht="15" hidden="false" customHeight="true" outlineLevel="0" collapsed="false">
      <c r="A8" s="6" t="n">
        <v>2</v>
      </c>
      <c r="B8" s="20" t="s">
        <v>142</v>
      </c>
      <c r="C8" s="20" t="s">
        <v>702</v>
      </c>
      <c r="D8" s="19" t="s">
        <v>703</v>
      </c>
      <c r="E8" s="19" t="s">
        <v>704</v>
      </c>
      <c r="F8" s="19" t="s">
        <v>705</v>
      </c>
      <c r="G8" s="19" t="s">
        <v>260</v>
      </c>
      <c r="H8" s="32" t="s">
        <v>260</v>
      </c>
      <c r="I8" s="19" t="n">
        <v>50</v>
      </c>
      <c r="J8" s="19" t="s">
        <v>706</v>
      </c>
      <c r="K8" s="19" t="s">
        <v>54</v>
      </c>
      <c r="L8" s="73" t="n">
        <v>17.658</v>
      </c>
      <c r="M8" s="37" t="n">
        <f aca="false">IF($G8&lt;&gt;"PIPE","",IFERROR(1/(1/INDEX(배관단중표!$B$7:$W$41,MATCH($I8,배관단중표!$A$7:$A$41,0),MATCH(IF($J8="SPP","SPP",IF(LEFT($F8,3)="STS",IF(ISNUMBER(SEARCH("316",$F8)),"STS316","STS304"),"SPPS")&amp;"|"&amp;$J8),배관단중표!$B$6:$W$6,0))),"DB확인"))</f>
        <v>5.44</v>
      </c>
      <c r="N8" s="74"/>
      <c r="O8" s="56"/>
      <c r="P8" s="54" t="n">
        <f aca="false">IF($G8="","",IFERROR(IF(O8&lt;&gt;"",O8,L8*IF(G8="PIPE",M8,N8)),0))</f>
        <v>96.05952</v>
      </c>
      <c r="Q8" s="6" t="str">
        <f aca="false">IF($G8="","",IF(G8="PIPE","P","F"))</f>
        <v>P</v>
      </c>
      <c r="R8" s="35" t="n">
        <f aca="false">IF($G8&lt;&gt;"PIPE","",IFERROR(IF(O8&lt;&gt;"",O8/M8,IF(K8="M",L8,"")),""))</f>
        <v>17.658</v>
      </c>
      <c r="S8" s="6" t="str">
        <f aca="false">IF($G8&lt;&gt;"PIPE","",IF(AND($AA8="○",OR($W8&lt;&gt;"○",배관기준!$AG$17="N"),$C8&lt;&gt;"매설",LEFT($F8,3)&lt;&gt;"STS",LEFT($F8,3)&lt;&gt;"SUS"),"Y","N"))</f>
        <v>N</v>
      </c>
      <c r="T8" s="16"/>
      <c r="U8" s="19" t="s">
        <v>705</v>
      </c>
      <c r="V8" s="19"/>
      <c r="W8" s="6" t="str">
        <f aca="false">IF($G8="","",IFERROR(INDEX(배관집계!$AC$7:$AC$32,MATCH($AC8,배관집계!$AJ$7:$AJ$32,0))&amp;"",""))</f>
        <v>○</v>
      </c>
      <c r="X8" s="6" t="str">
        <f aca="false">IF($G8="","",IFERROR(INDEX(배관집계!$AD$7:$AD$32,MATCH($AC8,배관집계!$AJ$7:$AJ$32,0))&amp;"",""))</f>
        <v>○</v>
      </c>
      <c r="Y8" s="6" t="str">
        <f aca="false">IF($G8="","",IFERROR(INDEX(배관집계!$AE$7:$AE$32,MATCH($AC8,배관집계!$AJ$7:$AJ$32,0))&amp;"",""))</f>
        <v>×</v>
      </c>
      <c r="Z8" s="6" t="str">
        <f aca="false">IF($G8="","",IFERROR(INDEX(배관집계!$AF$7:$AF$32,MATCH($AC8,배관집계!$AJ$7:$AJ$32,0))&amp;"",""))</f>
        <v>○</v>
      </c>
      <c r="AA8" s="6" t="str">
        <f aca="false">IF($G8="","",IFERROR(INDEX(배관집계!$AG$7:$AG$32,MATCH($AC8,배관집계!$AJ$7:$AJ$32,0))&amp;"",""))</f>
        <v>×</v>
      </c>
      <c r="AB8" s="6" t="str">
        <f aca="false">IF($G8="","",IFERROR(INDEX(배관집계!$AH$7:$AH$32,MATCH($AC8,배관집계!$AJ$7:$AJ$32,0))&amp;"",""))</f>
        <v>C/C</v>
      </c>
      <c r="AC8" s="75" t="str">
        <f aca="false">IF($G8="","",$B8&amp;"|"&amp;$C8&amp;"|"&amp;$E8&amp;"|"&amp;$U8&amp;"|"&amp;$I8)</f>
        <v>설치|옥외|5kg/cm2이상|STPG370S|50</v>
      </c>
      <c r="AD8" s="76" t="str">
        <f aca="false">IF($G8="","",IF($B8&lt;&gt;"설치","",IF($G8="PIPE","PIPE",IF($G8="VALVE",IF(ISNUMBER(SEARCH("GLOBE",$H8)),"GLOBE",IF(ISNUMBER(SEARCH("GATE",$H8)),"GATE",IF(ISNUMBER(SEARCH("BUTTER",$H8)),"BFLY","VALVE기타"))),IF($G8="FITTING",IF(LEFT($H8,5)="ELBOW",IF($AE8=90,"90EL",IF($AE8=45,"45EL","비규격EL")),IF(LEFT($H8,6)="FLANGE","FLANGE",IF(ISNUMBER(SEARCH("TEE",$H8)),"TEE",""))),"")))))</f>
        <v>PIPE</v>
      </c>
      <c r="AE8" s="76" t="str">
        <f aca="false">IF(AND($G8="FITTING",LEFT($H8,5)="ELBOW"),IFERROR(VALUE(LEFT(MID($H8,7,12),MIN(IFERROR(FIND("L",MID($H8,7,12)),99),IFERROR(FIND("S",MID($H8,7,12)),99),IFERROR(FIND(" ",MID($H8,7,12)),99))-1)),""),"")</f>
        <v/>
      </c>
      <c r="AF8" s="77" t="n">
        <f aca="false">IF($AD8="비규격EL",N($L8)*RADIANS(N($AE8))*보온기준!$F$15*N($I8)*보온기준!$F$16/1000,0)</f>
        <v>0</v>
      </c>
      <c r="AG8" s="76" t="str">
        <f aca="false">IF($G8="","",IF(OR($AA8&lt;&gt;"○",LEFT($F8,3)="STS",LEFT($F8,3)="SUS",$C8="매설"),"Y","N"))</f>
        <v>Y</v>
      </c>
    </row>
    <row r="9" customFormat="false" ht="15" hidden="false" customHeight="true" outlineLevel="0" collapsed="false">
      <c r="A9" s="6" t="n">
        <v>3</v>
      </c>
      <c r="B9" s="20" t="s">
        <v>142</v>
      </c>
      <c r="C9" s="20" t="s">
        <v>702</v>
      </c>
      <c r="D9" s="19" t="s">
        <v>703</v>
      </c>
      <c r="E9" s="19" t="s">
        <v>704</v>
      </c>
      <c r="F9" s="19" t="s">
        <v>705</v>
      </c>
      <c r="G9" s="19" t="s">
        <v>260</v>
      </c>
      <c r="H9" s="32" t="s">
        <v>260</v>
      </c>
      <c r="I9" s="19" t="n">
        <v>80</v>
      </c>
      <c r="J9" s="19" t="s">
        <v>706</v>
      </c>
      <c r="K9" s="19" t="s">
        <v>54</v>
      </c>
      <c r="L9" s="73" t="n">
        <v>6.18</v>
      </c>
      <c r="M9" s="37" t="n">
        <f aca="false">IF($G9&lt;&gt;"PIPE","",IFERROR(1/(1/INDEX(배관단중표!$B$7:$W$41,MATCH($I9,배관단중표!$A$7:$A$41,0),MATCH(IF($J9="SPP","SPP",IF(LEFT($F9,3)="STS",IF(ISNUMBER(SEARCH("316",$F9)),"STS316","STS304"),"SPPS")&amp;"|"&amp;$J9),배관단중표!$B$6:$W$6,0))),"DB확인"))</f>
        <v>11.3</v>
      </c>
      <c r="N9" s="74"/>
      <c r="O9" s="56"/>
      <c r="P9" s="54" t="n">
        <f aca="false">IF($G9="","",IFERROR(IF(O9&lt;&gt;"",O9,L9*IF(G9="PIPE",M9,N9)),0))</f>
        <v>69.834</v>
      </c>
      <c r="Q9" s="6" t="str">
        <f aca="false">IF($G9="","",IF(G9="PIPE","P","F"))</f>
        <v>P</v>
      </c>
      <c r="R9" s="35" t="n">
        <f aca="false">IF($G9&lt;&gt;"PIPE","",IFERROR(IF(O9&lt;&gt;"",O9/M9,IF(K9="M",L9,"")),""))</f>
        <v>6.18</v>
      </c>
      <c r="S9" s="6" t="str">
        <f aca="false">IF($G9&lt;&gt;"PIPE","",IF(AND($AA9="○",OR($W9&lt;&gt;"○",배관기준!$AG$17="N"),$C9&lt;&gt;"매설",LEFT($F9,3)&lt;&gt;"STS",LEFT($F9,3)&lt;&gt;"SUS"),"Y","N"))</f>
        <v>N</v>
      </c>
      <c r="T9" s="16"/>
      <c r="U9" s="19" t="s">
        <v>705</v>
      </c>
      <c r="V9" s="19"/>
      <c r="W9" s="6" t="str">
        <f aca="false">IF($G9="","",IFERROR(INDEX(배관집계!$AC$7:$AC$32,MATCH($AC9,배관집계!$AJ$7:$AJ$32,0))&amp;"",""))</f>
        <v>○</v>
      </c>
      <c r="X9" s="6" t="str">
        <f aca="false">IF($G9="","",IFERROR(INDEX(배관집계!$AD$7:$AD$32,MATCH($AC9,배관집계!$AJ$7:$AJ$32,0))&amp;"",""))</f>
        <v>○</v>
      </c>
      <c r="Y9" s="6" t="str">
        <f aca="false">IF($G9="","",IFERROR(INDEX(배관집계!$AE$7:$AE$32,MATCH($AC9,배관집계!$AJ$7:$AJ$32,0))&amp;"",""))</f>
        <v>×</v>
      </c>
      <c r="Z9" s="6" t="str">
        <f aca="false">IF($G9="","",IFERROR(INDEX(배관집계!$AF$7:$AF$32,MATCH($AC9,배관집계!$AJ$7:$AJ$32,0))&amp;"",""))</f>
        <v>○</v>
      </c>
      <c r="AA9" s="6" t="str">
        <f aca="false">IF($G9="","",IFERROR(INDEX(배관집계!$AG$7:$AG$32,MATCH($AC9,배관집계!$AJ$7:$AJ$32,0))&amp;"",""))</f>
        <v>×</v>
      </c>
      <c r="AB9" s="6" t="str">
        <f aca="false">IF($G9="","",IFERROR(INDEX(배관집계!$AH$7:$AH$32,MATCH($AC9,배관집계!$AJ$7:$AJ$32,0))&amp;"",""))</f>
        <v>C/C</v>
      </c>
      <c r="AC9" s="75" t="str">
        <f aca="false">IF($G9="","",$B9&amp;"|"&amp;$C9&amp;"|"&amp;$E9&amp;"|"&amp;$U9&amp;"|"&amp;$I9)</f>
        <v>설치|옥외|5kg/cm2이상|STPG370S|80</v>
      </c>
      <c r="AD9" s="76" t="str">
        <f aca="false">IF($G9="","",IF($B9&lt;&gt;"설치","",IF($G9="PIPE","PIPE",IF($G9="VALVE",IF(ISNUMBER(SEARCH("GLOBE",$H9)),"GLOBE",IF(ISNUMBER(SEARCH("GATE",$H9)),"GATE",IF(ISNUMBER(SEARCH("BUTTER",$H9)),"BFLY","VALVE기타"))),IF($G9="FITTING",IF(LEFT($H9,5)="ELBOW",IF($AE9=90,"90EL",IF($AE9=45,"45EL","비규격EL")),IF(LEFT($H9,6)="FLANGE","FLANGE",IF(ISNUMBER(SEARCH("TEE",$H9)),"TEE",""))),"")))))</f>
        <v>PIPE</v>
      </c>
      <c r="AE9" s="76" t="str">
        <f aca="false">IF(AND($G9="FITTING",LEFT($H9,5)="ELBOW"),IFERROR(VALUE(LEFT(MID($H9,7,12),MIN(IFERROR(FIND("L",MID($H9,7,12)),99),IFERROR(FIND("S",MID($H9,7,12)),99),IFERROR(FIND(" ",MID($H9,7,12)),99))-1)),""),"")</f>
        <v/>
      </c>
      <c r="AF9" s="77" t="n">
        <f aca="false">IF($AD9="비규격EL",N($L9)*RADIANS(N($AE9))*보온기준!$F$15*N($I9)*보온기준!$F$16/1000,0)</f>
        <v>0</v>
      </c>
      <c r="AG9" s="76" t="str">
        <f aca="false">IF($G9="","",IF(OR($AA9&lt;&gt;"○",LEFT($F9,3)="STS",LEFT($F9,3)="SUS",$C9="매설"),"Y","N"))</f>
        <v>Y</v>
      </c>
    </row>
    <row r="10" customFormat="false" ht="15" hidden="false" customHeight="true" outlineLevel="0" collapsed="false">
      <c r="A10" s="6" t="n">
        <v>4</v>
      </c>
      <c r="B10" s="20" t="s">
        <v>142</v>
      </c>
      <c r="C10" s="20" t="s">
        <v>702</v>
      </c>
      <c r="D10" s="19" t="s">
        <v>703</v>
      </c>
      <c r="E10" s="19" t="s">
        <v>704</v>
      </c>
      <c r="F10" s="19" t="s">
        <v>705</v>
      </c>
      <c r="G10" s="19" t="s">
        <v>260</v>
      </c>
      <c r="H10" s="32" t="s">
        <v>260</v>
      </c>
      <c r="I10" s="19" t="n">
        <v>150</v>
      </c>
      <c r="J10" s="19" t="s">
        <v>706</v>
      </c>
      <c r="K10" s="19" t="s">
        <v>54</v>
      </c>
      <c r="L10" s="73" t="n">
        <v>20.701</v>
      </c>
      <c r="M10" s="37" t="n">
        <f aca="false">IF($G10&lt;&gt;"PIPE","",IFERROR(1/(1/INDEX(배관단중표!$B$7:$W$41,MATCH($I10,배관단중표!$A$7:$A$41,0),MATCH(IF($J10="SPP","SPP",IF(LEFT($F10,3)="STS",IF(ISNUMBER(SEARCH("316",$F10)),"STS316","STS304"),"SPPS")&amp;"|"&amp;$J10),배관단중표!$B$6:$W$6,0))),"DB확인"))</f>
        <v>27.7</v>
      </c>
      <c r="N10" s="74"/>
      <c r="O10" s="56"/>
      <c r="P10" s="54" t="n">
        <f aca="false">IF($G10="","",IFERROR(IF(O10&lt;&gt;"",O10,L10*IF(G10="PIPE",M10,N10)),0))</f>
        <v>573.4177</v>
      </c>
      <c r="Q10" s="6" t="str">
        <f aca="false">IF($G10="","",IF(G10="PIPE","P","F"))</f>
        <v>P</v>
      </c>
      <c r="R10" s="35" t="n">
        <f aca="false">IF($G10&lt;&gt;"PIPE","",IFERROR(IF(O10&lt;&gt;"",O10/M10,IF(K10="M",L10,"")),""))</f>
        <v>20.701</v>
      </c>
      <c r="S10" s="6" t="str">
        <f aca="false">IF($G10&lt;&gt;"PIPE","",IF(AND($AA10="○",OR($W10&lt;&gt;"○",배관기준!$AG$17="N"),$C10&lt;&gt;"매설",LEFT($F10,3)&lt;&gt;"STS",LEFT($F10,3)&lt;&gt;"SUS"),"Y","N"))</f>
        <v>N</v>
      </c>
      <c r="T10" s="16"/>
      <c r="U10" s="19" t="s">
        <v>705</v>
      </c>
      <c r="V10" s="19"/>
      <c r="W10" s="6" t="str">
        <f aca="false">IF($G10="","",IFERROR(INDEX(배관집계!$AC$7:$AC$32,MATCH($AC10,배관집계!$AJ$7:$AJ$32,0))&amp;"",""))</f>
        <v>○</v>
      </c>
      <c r="X10" s="6" t="str">
        <f aca="false">IF($G10="","",IFERROR(INDEX(배관집계!$AD$7:$AD$32,MATCH($AC10,배관집계!$AJ$7:$AJ$32,0))&amp;"",""))</f>
        <v>○</v>
      </c>
      <c r="Y10" s="6" t="str">
        <f aca="false">IF($G10="","",IFERROR(INDEX(배관집계!$AE$7:$AE$32,MATCH($AC10,배관집계!$AJ$7:$AJ$32,0))&amp;"",""))</f>
        <v>×</v>
      </c>
      <c r="Z10" s="6" t="str">
        <f aca="false">IF($G10="","",IFERROR(INDEX(배관집계!$AF$7:$AF$32,MATCH($AC10,배관집계!$AJ$7:$AJ$32,0))&amp;"",""))</f>
        <v>○</v>
      </c>
      <c r="AA10" s="6" t="str">
        <f aca="false">IF($G10="","",IFERROR(INDEX(배관집계!$AG$7:$AG$32,MATCH($AC10,배관집계!$AJ$7:$AJ$32,0))&amp;"",""))</f>
        <v>×</v>
      </c>
      <c r="AB10" s="6" t="str">
        <f aca="false">IF($G10="","",IFERROR(INDEX(배관집계!$AH$7:$AH$32,MATCH($AC10,배관집계!$AJ$7:$AJ$32,0))&amp;"",""))</f>
        <v>C/C</v>
      </c>
      <c r="AC10" s="75" t="str">
        <f aca="false">IF($G10="","",$B10&amp;"|"&amp;$C10&amp;"|"&amp;$E10&amp;"|"&amp;$U10&amp;"|"&amp;$I10)</f>
        <v>설치|옥외|5kg/cm2이상|STPG370S|150</v>
      </c>
      <c r="AD10" s="76" t="str">
        <f aca="false">IF($G10="","",IF($B10&lt;&gt;"설치","",IF($G10="PIPE","PIPE",IF($G10="VALVE",IF(ISNUMBER(SEARCH("GLOBE",$H10)),"GLOBE",IF(ISNUMBER(SEARCH("GATE",$H10)),"GATE",IF(ISNUMBER(SEARCH("BUTTER",$H10)),"BFLY","VALVE기타"))),IF($G10="FITTING",IF(LEFT($H10,5)="ELBOW",IF($AE10=90,"90EL",IF($AE10=45,"45EL","비규격EL")),IF(LEFT($H10,6)="FLANGE","FLANGE",IF(ISNUMBER(SEARCH("TEE",$H10)),"TEE",""))),"")))))</f>
        <v>PIPE</v>
      </c>
      <c r="AE10" s="76" t="str">
        <f aca="false">IF(AND($G10="FITTING",LEFT($H10,5)="ELBOW"),IFERROR(VALUE(LEFT(MID($H10,7,12),MIN(IFERROR(FIND("L",MID($H10,7,12)),99),IFERROR(FIND("S",MID($H10,7,12)),99),IFERROR(FIND(" ",MID($H10,7,12)),99))-1)),""),"")</f>
        <v/>
      </c>
      <c r="AF10" s="77" t="n">
        <f aca="false">IF($AD10="비규격EL",N($L10)*RADIANS(N($AE10))*보온기준!$F$15*N($I10)*보온기준!$F$16/1000,0)</f>
        <v>0</v>
      </c>
      <c r="AG10" s="76" t="str">
        <f aca="false">IF($G10="","",IF(OR($AA10&lt;&gt;"○",LEFT($F10,3)="STS",LEFT($F10,3)="SUS",$C10="매설"),"Y","N"))</f>
        <v>Y</v>
      </c>
    </row>
    <row r="11" customFormat="false" ht="15" hidden="false" customHeight="true" outlineLevel="0" collapsed="false">
      <c r="A11" s="6" t="n">
        <v>5</v>
      </c>
      <c r="B11" s="20" t="s">
        <v>142</v>
      </c>
      <c r="C11" s="20" t="s">
        <v>702</v>
      </c>
      <c r="D11" s="19" t="s">
        <v>703</v>
      </c>
      <c r="E11" s="19" t="s">
        <v>704</v>
      </c>
      <c r="F11" s="19" t="s">
        <v>705</v>
      </c>
      <c r="G11" s="19" t="s">
        <v>260</v>
      </c>
      <c r="H11" s="32" t="s">
        <v>260</v>
      </c>
      <c r="I11" s="19" t="n">
        <v>200</v>
      </c>
      <c r="J11" s="19" t="s">
        <v>706</v>
      </c>
      <c r="K11" s="19" t="s">
        <v>54</v>
      </c>
      <c r="L11" s="73" t="n">
        <v>9.1142</v>
      </c>
      <c r="M11" s="37" t="n">
        <f aca="false">IF($G11&lt;&gt;"PIPE","",IFERROR(1/(1/INDEX(배관단중표!$B$7:$W$41,MATCH($I11,배관단중표!$A$7:$A$41,0),MATCH(IF($J11="SPP","SPP",IF(LEFT($F11,3)="STS",IF(ISNUMBER(SEARCH("316",$F11)),"STS316","STS304"),"SPPS")&amp;"|"&amp;$J11),배관단중표!$B$6:$W$6,0))),"DB확인"))</f>
        <v>42.1</v>
      </c>
      <c r="N11" s="74"/>
      <c r="O11" s="56"/>
      <c r="P11" s="54" t="n">
        <f aca="false">IF($G11="","",IFERROR(IF(O11&lt;&gt;"",O11,L11*IF(G11="PIPE",M11,N11)),0))</f>
        <v>383.70782</v>
      </c>
      <c r="Q11" s="6" t="str">
        <f aca="false">IF($G11="","",IF(G11="PIPE","P","F"))</f>
        <v>P</v>
      </c>
      <c r="R11" s="35" t="n">
        <f aca="false">IF($G11&lt;&gt;"PIPE","",IFERROR(IF(O11&lt;&gt;"",O11/M11,IF(K11="M",L11,"")),""))</f>
        <v>9.1142</v>
      </c>
      <c r="S11" s="6" t="str">
        <f aca="false">IF($G11&lt;&gt;"PIPE","",IF(AND($AA11="○",OR($W11&lt;&gt;"○",배관기준!$AG$17="N"),$C11&lt;&gt;"매설",LEFT($F11,3)&lt;&gt;"STS",LEFT($F11,3)&lt;&gt;"SUS"),"Y","N"))</f>
        <v>N</v>
      </c>
      <c r="T11" s="16"/>
      <c r="U11" s="19" t="s">
        <v>705</v>
      </c>
      <c r="V11" s="19"/>
      <c r="W11" s="6" t="str">
        <f aca="false">IF($G11="","",IFERROR(INDEX(배관집계!$AC$7:$AC$32,MATCH($AC11,배관집계!$AJ$7:$AJ$32,0))&amp;"",""))</f>
        <v>○</v>
      </c>
      <c r="X11" s="6" t="str">
        <f aca="false">IF($G11="","",IFERROR(INDEX(배관집계!$AD$7:$AD$32,MATCH($AC11,배관집계!$AJ$7:$AJ$32,0))&amp;"",""))</f>
        <v>○</v>
      </c>
      <c r="Y11" s="6" t="str">
        <f aca="false">IF($G11="","",IFERROR(INDEX(배관집계!$AE$7:$AE$32,MATCH($AC11,배관집계!$AJ$7:$AJ$32,0))&amp;"",""))</f>
        <v>×</v>
      </c>
      <c r="Z11" s="6" t="str">
        <f aca="false">IF($G11="","",IFERROR(INDEX(배관집계!$AF$7:$AF$32,MATCH($AC11,배관집계!$AJ$7:$AJ$32,0))&amp;"",""))</f>
        <v>○</v>
      </c>
      <c r="AA11" s="6" t="str">
        <f aca="false">IF($G11="","",IFERROR(INDEX(배관집계!$AG$7:$AG$32,MATCH($AC11,배관집계!$AJ$7:$AJ$32,0))&amp;"",""))</f>
        <v>×</v>
      </c>
      <c r="AB11" s="6" t="str">
        <f aca="false">IF($G11="","",IFERROR(INDEX(배관집계!$AH$7:$AH$32,MATCH($AC11,배관집계!$AJ$7:$AJ$32,0))&amp;"",""))</f>
        <v>C/C</v>
      </c>
      <c r="AC11" s="75" t="str">
        <f aca="false">IF($G11="","",$B11&amp;"|"&amp;$C11&amp;"|"&amp;$E11&amp;"|"&amp;$U11&amp;"|"&amp;$I11)</f>
        <v>설치|옥외|5kg/cm2이상|STPG370S|200</v>
      </c>
      <c r="AD11" s="76" t="str">
        <f aca="false">IF($G11="","",IF($B11&lt;&gt;"설치","",IF($G11="PIPE","PIPE",IF($G11="VALVE",IF(ISNUMBER(SEARCH("GLOBE",$H11)),"GLOBE",IF(ISNUMBER(SEARCH("GATE",$H11)),"GATE",IF(ISNUMBER(SEARCH("BUTTER",$H11)),"BFLY","VALVE기타"))),IF($G11="FITTING",IF(LEFT($H11,5)="ELBOW",IF($AE11=90,"90EL",IF($AE11=45,"45EL","비규격EL")),IF(LEFT($H11,6)="FLANGE","FLANGE",IF(ISNUMBER(SEARCH("TEE",$H11)),"TEE",""))),"")))))</f>
        <v>PIPE</v>
      </c>
      <c r="AE11" s="76" t="str">
        <f aca="false">IF(AND($G11="FITTING",LEFT($H11,5)="ELBOW"),IFERROR(VALUE(LEFT(MID($H11,7,12),MIN(IFERROR(FIND("L",MID($H11,7,12)),99),IFERROR(FIND("S",MID($H11,7,12)),99),IFERROR(FIND(" ",MID($H11,7,12)),99))-1)),""),"")</f>
        <v/>
      </c>
      <c r="AF11" s="77" t="n">
        <f aca="false">IF($AD11="비규격EL",N($L11)*RADIANS(N($AE11))*보온기준!$F$15*N($I11)*보온기준!$F$16/1000,0)</f>
        <v>0</v>
      </c>
      <c r="AG11" s="76" t="str">
        <f aca="false">IF($G11="","",IF(OR($AA11&lt;&gt;"○",LEFT($F11,3)="STS",LEFT($F11,3)="SUS",$C11="매설"),"Y","N"))</f>
        <v>Y</v>
      </c>
    </row>
    <row r="12" customFormat="false" ht="15" hidden="false" customHeight="true" outlineLevel="0" collapsed="false">
      <c r="A12" s="6" t="n">
        <v>6</v>
      </c>
      <c r="B12" s="20" t="s">
        <v>142</v>
      </c>
      <c r="C12" s="20" t="s">
        <v>702</v>
      </c>
      <c r="D12" s="19" t="s">
        <v>703</v>
      </c>
      <c r="E12" s="19" t="s">
        <v>704</v>
      </c>
      <c r="F12" s="19" t="s">
        <v>705</v>
      </c>
      <c r="G12" s="19" t="s">
        <v>260</v>
      </c>
      <c r="H12" s="32" t="s">
        <v>260</v>
      </c>
      <c r="I12" s="19" t="n">
        <v>250</v>
      </c>
      <c r="J12" s="19" t="s">
        <v>706</v>
      </c>
      <c r="K12" s="19" t="s">
        <v>54</v>
      </c>
      <c r="L12" s="73" t="n">
        <v>8.666</v>
      </c>
      <c r="M12" s="37" t="n">
        <f aca="false">IF($G12&lt;&gt;"PIPE","",IFERROR(1/(1/INDEX(배관단중표!$B$7:$W$41,MATCH($I12,배관단중표!$A$7:$A$41,0),MATCH(IF($J12="SPP","SPP",IF(LEFT($F12,3)="STS",IF(ISNUMBER(SEARCH("316",$F12)),"STS316","STS304"),"SPPS")&amp;"|"&amp;$J12),배관단중표!$B$6:$W$6,0))),"DB확인"))</f>
        <v>59.2</v>
      </c>
      <c r="N12" s="74"/>
      <c r="O12" s="56"/>
      <c r="P12" s="54" t="n">
        <f aca="false">IF($G12="","",IFERROR(IF(O12&lt;&gt;"",O12,L12*IF(G12="PIPE",M12,N12)),0))</f>
        <v>513.0272</v>
      </c>
      <c r="Q12" s="6" t="str">
        <f aca="false">IF($G12="","",IF(G12="PIPE","P","F"))</f>
        <v>P</v>
      </c>
      <c r="R12" s="35" t="n">
        <f aca="false">IF($G12&lt;&gt;"PIPE","",IFERROR(IF(O12&lt;&gt;"",O12/M12,IF(K12="M",L12,"")),""))</f>
        <v>8.666</v>
      </c>
      <c r="S12" s="6" t="str">
        <f aca="false">IF($G12&lt;&gt;"PIPE","",IF(AND($AA12="○",OR($W12&lt;&gt;"○",배관기준!$AG$17="N"),$C12&lt;&gt;"매설",LEFT($F12,3)&lt;&gt;"STS",LEFT($F12,3)&lt;&gt;"SUS"),"Y","N"))</f>
        <v>N</v>
      </c>
      <c r="T12" s="16"/>
      <c r="U12" s="19" t="s">
        <v>705</v>
      </c>
      <c r="V12" s="19"/>
      <c r="W12" s="6" t="str">
        <f aca="false">IF($G12="","",IFERROR(INDEX(배관집계!$AC$7:$AC$32,MATCH($AC12,배관집계!$AJ$7:$AJ$32,0))&amp;"",""))</f>
        <v>○</v>
      </c>
      <c r="X12" s="6" t="str">
        <f aca="false">IF($G12="","",IFERROR(INDEX(배관집계!$AD$7:$AD$32,MATCH($AC12,배관집계!$AJ$7:$AJ$32,0))&amp;"",""))</f>
        <v>○</v>
      </c>
      <c r="Y12" s="6" t="str">
        <f aca="false">IF($G12="","",IFERROR(INDEX(배관집계!$AE$7:$AE$32,MATCH($AC12,배관집계!$AJ$7:$AJ$32,0))&amp;"",""))</f>
        <v>×</v>
      </c>
      <c r="Z12" s="6" t="str">
        <f aca="false">IF($G12="","",IFERROR(INDEX(배관집계!$AF$7:$AF$32,MATCH($AC12,배관집계!$AJ$7:$AJ$32,0))&amp;"",""))</f>
        <v>○</v>
      </c>
      <c r="AA12" s="6" t="str">
        <f aca="false">IF($G12="","",IFERROR(INDEX(배관집계!$AG$7:$AG$32,MATCH($AC12,배관집계!$AJ$7:$AJ$32,0))&amp;"",""))</f>
        <v>×</v>
      </c>
      <c r="AB12" s="6" t="str">
        <f aca="false">IF($G12="","",IFERROR(INDEX(배관집계!$AH$7:$AH$32,MATCH($AC12,배관집계!$AJ$7:$AJ$32,0))&amp;"",""))</f>
        <v>C/C</v>
      </c>
      <c r="AC12" s="75" t="str">
        <f aca="false">IF($G12="","",$B12&amp;"|"&amp;$C12&amp;"|"&amp;$E12&amp;"|"&amp;$U12&amp;"|"&amp;$I12)</f>
        <v>설치|옥외|5kg/cm2이상|STPG370S|250</v>
      </c>
      <c r="AD12" s="76" t="str">
        <f aca="false">IF($G12="","",IF($B12&lt;&gt;"설치","",IF($G12="PIPE","PIPE",IF($G12="VALVE",IF(ISNUMBER(SEARCH("GLOBE",$H12)),"GLOBE",IF(ISNUMBER(SEARCH("GATE",$H12)),"GATE",IF(ISNUMBER(SEARCH("BUTTER",$H12)),"BFLY","VALVE기타"))),IF($G12="FITTING",IF(LEFT($H12,5)="ELBOW",IF($AE12=90,"90EL",IF($AE12=45,"45EL","비규격EL")),IF(LEFT($H12,6)="FLANGE","FLANGE",IF(ISNUMBER(SEARCH("TEE",$H12)),"TEE",""))),"")))))</f>
        <v>PIPE</v>
      </c>
      <c r="AE12" s="76" t="str">
        <f aca="false">IF(AND($G12="FITTING",LEFT($H12,5)="ELBOW"),IFERROR(VALUE(LEFT(MID($H12,7,12),MIN(IFERROR(FIND("L",MID($H12,7,12)),99),IFERROR(FIND("S",MID($H12,7,12)),99),IFERROR(FIND(" ",MID($H12,7,12)),99))-1)),""),"")</f>
        <v/>
      </c>
      <c r="AF12" s="77" t="n">
        <f aca="false">IF($AD12="비규격EL",N($L12)*RADIANS(N($AE12))*보온기준!$F$15*N($I12)*보온기준!$F$16/1000,0)</f>
        <v>0</v>
      </c>
      <c r="AG12" s="76" t="str">
        <f aca="false">IF($G12="","",IF(OR($AA12&lt;&gt;"○",LEFT($F12,3)="STS",LEFT($F12,3)="SUS",$C12="매설"),"Y","N"))</f>
        <v>Y</v>
      </c>
    </row>
    <row r="13" customFormat="false" ht="15" hidden="false" customHeight="true" outlineLevel="0" collapsed="false">
      <c r="A13" s="6" t="n">
        <v>7</v>
      </c>
      <c r="B13" s="20" t="s">
        <v>142</v>
      </c>
      <c r="C13" s="20" t="s">
        <v>702</v>
      </c>
      <c r="D13" s="19" t="s">
        <v>703</v>
      </c>
      <c r="E13" s="19" t="s">
        <v>704</v>
      </c>
      <c r="F13" s="19" t="s">
        <v>705</v>
      </c>
      <c r="G13" s="19" t="s">
        <v>260</v>
      </c>
      <c r="H13" s="32" t="s">
        <v>260</v>
      </c>
      <c r="I13" s="19" t="n">
        <v>300</v>
      </c>
      <c r="J13" s="19" t="s">
        <v>706</v>
      </c>
      <c r="K13" s="19" t="s">
        <v>54</v>
      </c>
      <c r="L13" s="73" t="n">
        <v>4.615</v>
      </c>
      <c r="M13" s="37" t="n">
        <f aca="false">IF($G13&lt;&gt;"PIPE","",IFERROR(1/(1/INDEX(배관단중표!$B$7:$W$41,MATCH($I13,배관단중표!$A$7:$A$41,0),MATCH(IF($J13="SPP","SPP",IF(LEFT($F13,3)="STS",IF(ISNUMBER(SEARCH("316",$F13)),"STS316","STS304"),"SPPS")&amp;"|"&amp;$J13),배관단중표!$B$6:$W$6,0))),"DB확인"))</f>
        <v>78.3</v>
      </c>
      <c r="N13" s="74"/>
      <c r="O13" s="56"/>
      <c r="P13" s="54" t="n">
        <f aca="false">IF($G13="","",IFERROR(IF(O13&lt;&gt;"",O13,L13*IF(G13="PIPE",M13,N13)),0))</f>
        <v>361.3545</v>
      </c>
      <c r="Q13" s="6" t="str">
        <f aca="false">IF($G13="","",IF(G13="PIPE","P","F"))</f>
        <v>P</v>
      </c>
      <c r="R13" s="35" t="n">
        <f aca="false">IF($G13&lt;&gt;"PIPE","",IFERROR(IF(O13&lt;&gt;"",O13/M13,IF(K13="M",L13,"")),""))</f>
        <v>4.615</v>
      </c>
      <c r="S13" s="6" t="str">
        <f aca="false">IF($G13&lt;&gt;"PIPE","",IF(AND($AA13="○",OR($W13&lt;&gt;"○",배관기준!$AG$17="N"),$C13&lt;&gt;"매설",LEFT($F13,3)&lt;&gt;"STS",LEFT($F13,3)&lt;&gt;"SUS"),"Y","N"))</f>
        <v>Y</v>
      </c>
      <c r="T13" s="16"/>
      <c r="U13" s="19" t="s">
        <v>705</v>
      </c>
      <c r="V13" s="19"/>
      <c r="W13" s="6" t="str">
        <f aca="false">IF($G13="","",IFERROR(INDEX(배관집계!$AC$7:$AC$32,MATCH($AC13,배관집계!$AJ$7:$AJ$32,0))&amp;"",""))</f>
        <v>×</v>
      </c>
      <c r="X13" s="6" t="str">
        <f aca="false">IF($G13="","",IFERROR(INDEX(배관집계!$AD$7:$AD$32,MATCH($AC13,배관집계!$AJ$7:$AJ$32,0))&amp;"",""))</f>
        <v>○</v>
      </c>
      <c r="Y13" s="6" t="str">
        <f aca="false">IF($G13="","",IFERROR(INDEX(배관집계!$AE$7:$AE$32,MATCH($AC13,배관집계!$AJ$7:$AJ$32,0))&amp;"",""))</f>
        <v>×</v>
      </c>
      <c r="Z13" s="6" t="str">
        <f aca="false">IF($G13="","",IFERROR(INDEX(배관집계!$AF$7:$AF$32,MATCH($AC13,배관집계!$AJ$7:$AJ$32,0))&amp;"",""))</f>
        <v>○</v>
      </c>
      <c r="AA13" s="6" t="str">
        <f aca="false">IF($G13="","",IFERROR(INDEX(배관집계!$AG$7:$AG$32,MATCH($AC13,배관집계!$AJ$7:$AJ$32,0))&amp;"",""))</f>
        <v>○</v>
      </c>
      <c r="AB13" s="6" t="str">
        <f aca="false">IF($G13="","",IFERROR(INDEX(배관집계!$AH$7:$AH$32,MATCH($AC13,배관집계!$AJ$7:$AJ$32,0))&amp;"",""))</f>
        <v>C/C</v>
      </c>
      <c r="AC13" s="75" t="str">
        <f aca="false">IF($G13="","",$B13&amp;"|"&amp;$C13&amp;"|"&amp;$E13&amp;"|"&amp;$U13&amp;"|"&amp;$I13)</f>
        <v>설치|옥외|5kg/cm2이상|STPG370S|300</v>
      </c>
      <c r="AD13" s="76" t="str">
        <f aca="false">IF($G13="","",IF($B13&lt;&gt;"설치","",IF($G13="PIPE","PIPE",IF($G13="VALVE",IF(ISNUMBER(SEARCH("GLOBE",$H13)),"GLOBE",IF(ISNUMBER(SEARCH("GATE",$H13)),"GATE",IF(ISNUMBER(SEARCH("BUTTER",$H13)),"BFLY","VALVE기타"))),IF($G13="FITTING",IF(LEFT($H13,5)="ELBOW",IF($AE13=90,"90EL",IF($AE13=45,"45EL","비규격EL")),IF(LEFT($H13,6)="FLANGE","FLANGE",IF(ISNUMBER(SEARCH("TEE",$H13)),"TEE",""))),"")))))</f>
        <v>PIPE</v>
      </c>
      <c r="AE13" s="76" t="str">
        <f aca="false">IF(AND($G13="FITTING",LEFT($H13,5)="ELBOW"),IFERROR(VALUE(LEFT(MID($H13,7,12),MIN(IFERROR(FIND("L",MID($H13,7,12)),99),IFERROR(FIND("S",MID($H13,7,12)),99),IFERROR(FIND(" ",MID($H13,7,12)),99))-1)),""),"")</f>
        <v/>
      </c>
      <c r="AF13" s="77" t="n">
        <f aca="false">IF($AD13="비규격EL",N($L13)*RADIANS(N($AE13))*보온기준!$F$15*N($I13)*보온기준!$F$16/1000,0)</f>
        <v>0</v>
      </c>
      <c r="AG13" s="76" t="str">
        <f aca="false">IF($G13="","",IF(OR($AA13&lt;&gt;"○",LEFT($F13,3)="STS",LEFT($F13,3)="SUS",$C13="매설"),"Y","N"))</f>
        <v>N</v>
      </c>
    </row>
    <row r="14" customFormat="false" ht="15" hidden="false" customHeight="true" outlineLevel="0" collapsed="false">
      <c r="A14" s="6" t="n">
        <v>8</v>
      </c>
      <c r="B14" s="20" t="s">
        <v>142</v>
      </c>
      <c r="C14" s="20" t="s">
        <v>702</v>
      </c>
      <c r="D14" s="19" t="s">
        <v>703</v>
      </c>
      <c r="E14" s="19" t="s">
        <v>704</v>
      </c>
      <c r="F14" s="19" t="s">
        <v>707</v>
      </c>
      <c r="G14" s="19" t="s">
        <v>708</v>
      </c>
      <c r="H14" s="32" t="s">
        <v>709</v>
      </c>
      <c r="I14" s="19" t="n">
        <v>15</v>
      </c>
      <c r="J14" s="19"/>
      <c r="K14" s="19" t="s">
        <v>85</v>
      </c>
      <c r="L14" s="73" t="n">
        <v>6</v>
      </c>
      <c r="M14" s="37" t="str">
        <f aca="false">IF($G14&lt;&gt;"PIPE","",IFERROR(1/(1/INDEX(배관단중표!$B$7:$W$41,MATCH($I14,배관단중표!$A$7:$A$41,0),MATCH(IF($J14="SPP","SPP",IF(LEFT($F14,3)="STS",IF(ISNUMBER(SEARCH("316",$F14)),"STS316","STS304"),"SPPS")&amp;"|"&amp;$J14),배관단중표!$B$6:$W$6,0))),"DB확인"))</f>
        <v/>
      </c>
      <c r="N14" s="74" t="n">
        <v>0.1</v>
      </c>
      <c r="O14" s="56"/>
      <c r="P14" s="54" t="n">
        <f aca="false">IF($G14="","",IFERROR(IF(O14&lt;&gt;"",O14,L14*IF(G14="PIPE",M14,N14)),0))</f>
        <v>0.6</v>
      </c>
      <c r="Q14" s="6" t="str">
        <f aca="false">IF($G14="","",IF(G14="PIPE","P","F"))</f>
        <v>F</v>
      </c>
      <c r="R14" s="35" t="str">
        <f aca="false">IF($G14&lt;&gt;"PIPE","",IFERROR(IF(O14&lt;&gt;"",O14/M14,IF(K14="M",L14,"")),""))</f>
        <v/>
      </c>
      <c r="S14" s="6" t="str">
        <f aca="false">IF($G14&lt;&gt;"PIPE","",IF(AND($AA14="○",OR($W14&lt;&gt;"○",배관기준!$AG$17="N"),$C14&lt;&gt;"매설",LEFT($F14,3)&lt;&gt;"STS",LEFT($F14,3)&lt;&gt;"SUS"),"Y","N"))</f>
        <v/>
      </c>
      <c r="T14" s="16"/>
      <c r="U14" s="19" t="s">
        <v>705</v>
      </c>
      <c r="V14" s="19"/>
      <c r="W14" s="6" t="str">
        <f aca="false">IF($G14="","",IFERROR(INDEX(배관집계!$AC$7:$AC$32,MATCH($AC14,배관집계!$AJ$7:$AJ$32,0))&amp;"",""))</f>
        <v>○</v>
      </c>
      <c r="X14" s="6" t="str">
        <f aca="false">IF($G14="","",IFERROR(INDEX(배관집계!$AD$7:$AD$32,MATCH($AC14,배관집계!$AJ$7:$AJ$32,0))&amp;"",""))</f>
        <v>○</v>
      </c>
      <c r="Y14" s="6" t="str">
        <f aca="false">IF($G14="","",IFERROR(INDEX(배관집계!$AE$7:$AE$32,MATCH($AC14,배관집계!$AJ$7:$AJ$32,0))&amp;"",""))</f>
        <v>×</v>
      </c>
      <c r="Z14" s="6" t="str">
        <f aca="false">IF($G14="","",IFERROR(INDEX(배관집계!$AF$7:$AF$32,MATCH($AC14,배관집계!$AJ$7:$AJ$32,0))&amp;"",""))</f>
        <v>○</v>
      </c>
      <c r="AA14" s="6" t="str">
        <f aca="false">IF($G14="","",IFERROR(INDEX(배관집계!$AG$7:$AG$32,MATCH($AC14,배관집계!$AJ$7:$AJ$32,0))&amp;"",""))</f>
        <v>×</v>
      </c>
      <c r="AB14" s="6" t="str">
        <f aca="false">IF($G14="","",IFERROR(INDEX(배관집계!$AH$7:$AH$32,MATCH($AC14,배관집계!$AJ$7:$AJ$32,0))&amp;"",""))</f>
        <v>C/C</v>
      </c>
      <c r="AC14" s="75" t="str">
        <f aca="false">IF($G14="","",$B14&amp;"|"&amp;$C14&amp;"|"&amp;$E14&amp;"|"&amp;$U14&amp;"|"&amp;$I14)</f>
        <v>설치|옥외|5kg/cm2이상|STPG370S|15</v>
      </c>
      <c r="AD14" s="76" t="str">
        <f aca="false">IF($G14="","",IF($B14&lt;&gt;"설치","",IF($G14="PIPE","PIPE",IF($G14="VALVE",IF(ISNUMBER(SEARCH("GLOBE",$H14)),"GLOBE",IF(ISNUMBER(SEARCH("GATE",$H14)),"GATE",IF(ISNUMBER(SEARCH("BUTTER",$H14)),"BFLY","VALVE기타"))),IF($G14="FITTING",IF(LEFT($H14,5)="ELBOW",IF($AE14=90,"90EL",IF($AE14=45,"45EL","비규격EL")),IF(LEFT($H14,6)="FLANGE","FLANGE",IF(ISNUMBER(SEARCH("TEE",$H14)),"TEE",""))),"")))))</f>
        <v>90EL</v>
      </c>
      <c r="AE14" s="76" t="n">
        <f aca="false">IF(AND($G14="FITTING",LEFT($H14,5)="ELBOW"),IFERROR(VALUE(LEFT(MID($H14,7,12),MIN(IFERROR(FIND("L",MID($H14,7,12)),99),IFERROR(FIND("S",MID($H14,7,12)),99),IFERROR(FIND(" ",MID($H14,7,12)),99))-1)),""),"")</f>
        <v>90</v>
      </c>
      <c r="AF14" s="77" t="n">
        <f aca="false">IF($AD14="비규격EL",N($L14)*RADIANS(N($AE14))*보온기준!$F$15*N($I14)*보온기준!$F$16/1000,0)</f>
        <v>0</v>
      </c>
      <c r="AG14" s="76" t="str">
        <f aca="false">IF($G14="","",IF(OR($AA14&lt;&gt;"○",LEFT($F14,3)="STS",LEFT($F14,3)="SUS",$C14="매설"),"Y","N"))</f>
        <v>Y</v>
      </c>
    </row>
    <row r="15" customFormat="false" ht="15" hidden="false" customHeight="true" outlineLevel="0" collapsed="false">
      <c r="A15" s="6" t="n">
        <v>9</v>
      </c>
      <c r="B15" s="20" t="s">
        <v>142</v>
      </c>
      <c r="C15" s="20" t="s">
        <v>702</v>
      </c>
      <c r="D15" s="19" t="s">
        <v>703</v>
      </c>
      <c r="E15" s="19" t="s">
        <v>704</v>
      </c>
      <c r="F15" s="19" t="s">
        <v>710</v>
      </c>
      <c r="G15" s="19" t="s">
        <v>708</v>
      </c>
      <c r="H15" s="32" t="s">
        <v>711</v>
      </c>
      <c r="I15" s="19" t="n">
        <v>50</v>
      </c>
      <c r="J15" s="19"/>
      <c r="K15" s="19" t="s">
        <v>85</v>
      </c>
      <c r="L15" s="73" t="n">
        <v>3</v>
      </c>
      <c r="M15" s="37" t="str">
        <f aca="false">IF($G15&lt;&gt;"PIPE","",IFERROR(1/(1/INDEX(배관단중표!$B$7:$W$41,MATCH($I15,배관단중표!$A$7:$A$41,0),MATCH(IF($J15="SPP","SPP",IF(LEFT($F15,3)="STS",IF(ISNUMBER(SEARCH("316",$F15)),"STS316","STS304"),"SPPS")&amp;"|"&amp;$J15),배관단중표!$B$6:$W$6,0))),"DB확인"))</f>
        <v/>
      </c>
      <c r="N15" s="74" t="n">
        <v>0.3</v>
      </c>
      <c r="O15" s="56"/>
      <c r="P15" s="54" t="n">
        <f aca="false">IF($G15="","",IFERROR(IF(O15&lt;&gt;"",O15,L15*IF(G15="PIPE",M15,N15)),0))</f>
        <v>0.9</v>
      </c>
      <c r="Q15" s="6" t="str">
        <f aca="false">IF($G15="","",IF(G15="PIPE","P","F"))</f>
        <v>F</v>
      </c>
      <c r="R15" s="35" t="str">
        <f aca="false">IF($G15&lt;&gt;"PIPE","",IFERROR(IF(O15&lt;&gt;"",O15/M15,IF(K15="M",L15,"")),""))</f>
        <v/>
      </c>
      <c r="S15" s="6" t="str">
        <f aca="false">IF($G15&lt;&gt;"PIPE","",IF(AND($AA15="○",OR($W15&lt;&gt;"○",배관기준!$AG$17="N"),$C15&lt;&gt;"매설",LEFT($F15,3)&lt;&gt;"STS",LEFT($F15,3)&lt;&gt;"SUS"),"Y","N"))</f>
        <v/>
      </c>
      <c r="T15" s="16"/>
      <c r="U15" s="19" t="s">
        <v>705</v>
      </c>
      <c r="V15" s="19"/>
      <c r="W15" s="6" t="str">
        <f aca="false">IF($G15="","",IFERROR(INDEX(배관집계!$AC$7:$AC$32,MATCH($AC15,배관집계!$AJ$7:$AJ$32,0))&amp;"",""))</f>
        <v>○</v>
      </c>
      <c r="X15" s="6" t="str">
        <f aca="false">IF($G15="","",IFERROR(INDEX(배관집계!$AD$7:$AD$32,MATCH($AC15,배관집계!$AJ$7:$AJ$32,0))&amp;"",""))</f>
        <v>○</v>
      </c>
      <c r="Y15" s="6" t="str">
        <f aca="false">IF($G15="","",IFERROR(INDEX(배관집계!$AE$7:$AE$32,MATCH($AC15,배관집계!$AJ$7:$AJ$32,0))&amp;"",""))</f>
        <v>×</v>
      </c>
      <c r="Z15" s="6" t="str">
        <f aca="false">IF($G15="","",IFERROR(INDEX(배관집계!$AF$7:$AF$32,MATCH($AC15,배관집계!$AJ$7:$AJ$32,0))&amp;"",""))</f>
        <v>○</v>
      </c>
      <c r="AA15" s="6" t="str">
        <f aca="false">IF($G15="","",IFERROR(INDEX(배관집계!$AG$7:$AG$32,MATCH($AC15,배관집계!$AJ$7:$AJ$32,0))&amp;"",""))</f>
        <v>×</v>
      </c>
      <c r="AB15" s="6" t="str">
        <f aca="false">IF($G15="","",IFERROR(INDEX(배관집계!$AH$7:$AH$32,MATCH($AC15,배관집계!$AJ$7:$AJ$32,0))&amp;"",""))</f>
        <v>C/C</v>
      </c>
      <c r="AC15" s="75" t="str">
        <f aca="false">IF($G15="","",$B15&amp;"|"&amp;$C15&amp;"|"&amp;$E15&amp;"|"&amp;$U15&amp;"|"&amp;$I15)</f>
        <v>설치|옥외|5kg/cm2이상|STPG370S|50</v>
      </c>
      <c r="AD15" s="76" t="str">
        <f aca="false">IF($G15="","",IF($B15&lt;&gt;"설치","",IF($G15="PIPE","PIPE",IF($G15="VALVE",IF(ISNUMBER(SEARCH("GLOBE",$H15)),"GLOBE",IF(ISNUMBER(SEARCH("GATE",$H15)),"GATE",IF(ISNUMBER(SEARCH("BUTTER",$H15)),"BFLY","VALVE기타"))),IF($G15="FITTING",IF(LEFT($H15,5)="ELBOW",IF($AE15=90,"90EL",IF($AE15=45,"45EL","비규격EL")),IF(LEFT($H15,6)="FLANGE","FLANGE",IF(ISNUMBER(SEARCH("TEE",$H15)),"TEE",""))),"")))))</f>
        <v>45EL</v>
      </c>
      <c r="AE15" s="76" t="n">
        <f aca="false">IF(AND($G15="FITTING",LEFT($H15,5)="ELBOW"),IFERROR(VALUE(LEFT(MID($H15,7,12),MIN(IFERROR(FIND("L",MID($H15,7,12)),99),IFERROR(FIND("S",MID($H15,7,12)),99),IFERROR(FIND(" ",MID($H15,7,12)),99))-1)),""),"")</f>
        <v>45</v>
      </c>
      <c r="AF15" s="77" t="n">
        <f aca="false">IF($AD15="비규격EL",N($L15)*RADIANS(N($AE15))*보온기준!$F$15*N($I15)*보온기준!$F$16/1000,0)</f>
        <v>0</v>
      </c>
      <c r="AG15" s="76" t="str">
        <f aca="false">IF($G15="","",IF(OR($AA15&lt;&gt;"○",LEFT($F15,3)="STS",LEFT($F15,3)="SUS",$C15="매설"),"Y","N"))</f>
        <v>Y</v>
      </c>
    </row>
    <row r="16" customFormat="false" ht="15" hidden="false" customHeight="true" outlineLevel="0" collapsed="false">
      <c r="A16" s="6" t="n">
        <v>10</v>
      </c>
      <c r="B16" s="20" t="s">
        <v>142</v>
      </c>
      <c r="C16" s="20" t="s">
        <v>702</v>
      </c>
      <c r="D16" s="19" t="s">
        <v>703</v>
      </c>
      <c r="E16" s="19" t="s">
        <v>704</v>
      </c>
      <c r="F16" s="19" t="s">
        <v>710</v>
      </c>
      <c r="G16" s="19" t="s">
        <v>708</v>
      </c>
      <c r="H16" s="32" t="s">
        <v>712</v>
      </c>
      <c r="I16" s="19" t="n">
        <v>50</v>
      </c>
      <c r="J16" s="19"/>
      <c r="K16" s="19" t="s">
        <v>85</v>
      </c>
      <c r="L16" s="73" t="n">
        <v>10</v>
      </c>
      <c r="M16" s="37" t="str">
        <f aca="false">IF($G16&lt;&gt;"PIPE","",IFERROR(1/(1/INDEX(배관단중표!$B$7:$W$41,MATCH($I16,배관단중표!$A$7:$A$41,0),MATCH(IF($J16="SPP","SPP",IF(LEFT($F16,3)="STS",IF(ISNUMBER(SEARCH("316",$F16)),"STS316","STS304"),"SPPS")&amp;"|"&amp;$J16),배관단중표!$B$6:$W$6,0))),"DB확인"))</f>
        <v/>
      </c>
      <c r="N16" s="74" t="n">
        <v>0.7</v>
      </c>
      <c r="O16" s="56"/>
      <c r="P16" s="54" t="n">
        <f aca="false">IF($G16="","",IFERROR(IF(O16&lt;&gt;"",O16,L16*IF(G16="PIPE",M16,N16)),0))</f>
        <v>7</v>
      </c>
      <c r="Q16" s="6" t="str">
        <f aca="false">IF($G16="","",IF(G16="PIPE","P","F"))</f>
        <v>F</v>
      </c>
      <c r="R16" s="35" t="str">
        <f aca="false">IF($G16&lt;&gt;"PIPE","",IFERROR(IF(O16&lt;&gt;"",O16/M16,IF(K16="M",L16,"")),""))</f>
        <v/>
      </c>
      <c r="S16" s="6" t="str">
        <f aca="false">IF($G16&lt;&gt;"PIPE","",IF(AND($AA16="○",OR($W16&lt;&gt;"○",배관기준!$AG$17="N"),$C16&lt;&gt;"매설",LEFT($F16,3)&lt;&gt;"STS",LEFT($F16,3)&lt;&gt;"SUS"),"Y","N"))</f>
        <v/>
      </c>
      <c r="T16" s="16"/>
      <c r="U16" s="19" t="s">
        <v>705</v>
      </c>
      <c r="V16" s="19"/>
      <c r="W16" s="6" t="str">
        <f aca="false">IF($G16="","",IFERROR(INDEX(배관집계!$AC$7:$AC$32,MATCH($AC16,배관집계!$AJ$7:$AJ$32,0))&amp;"",""))</f>
        <v>○</v>
      </c>
      <c r="X16" s="6" t="str">
        <f aca="false">IF($G16="","",IFERROR(INDEX(배관집계!$AD$7:$AD$32,MATCH($AC16,배관집계!$AJ$7:$AJ$32,0))&amp;"",""))</f>
        <v>○</v>
      </c>
      <c r="Y16" s="6" t="str">
        <f aca="false">IF($G16="","",IFERROR(INDEX(배관집계!$AE$7:$AE$32,MATCH($AC16,배관집계!$AJ$7:$AJ$32,0))&amp;"",""))</f>
        <v>×</v>
      </c>
      <c r="Z16" s="6" t="str">
        <f aca="false">IF($G16="","",IFERROR(INDEX(배관집계!$AF$7:$AF$32,MATCH($AC16,배관집계!$AJ$7:$AJ$32,0))&amp;"",""))</f>
        <v>○</v>
      </c>
      <c r="AA16" s="6" t="str">
        <f aca="false">IF($G16="","",IFERROR(INDEX(배관집계!$AG$7:$AG$32,MATCH($AC16,배관집계!$AJ$7:$AJ$32,0))&amp;"",""))</f>
        <v>×</v>
      </c>
      <c r="AB16" s="6" t="str">
        <f aca="false">IF($G16="","",IFERROR(INDEX(배관집계!$AH$7:$AH$32,MATCH($AC16,배관집계!$AJ$7:$AJ$32,0))&amp;"",""))</f>
        <v>C/C</v>
      </c>
      <c r="AC16" s="75" t="str">
        <f aca="false">IF($G16="","",$B16&amp;"|"&amp;$C16&amp;"|"&amp;$E16&amp;"|"&amp;$U16&amp;"|"&amp;$I16)</f>
        <v>설치|옥외|5kg/cm2이상|STPG370S|50</v>
      </c>
      <c r="AD16" s="76" t="str">
        <f aca="false">IF($G16="","",IF($B16&lt;&gt;"설치","",IF($G16="PIPE","PIPE",IF($G16="VALVE",IF(ISNUMBER(SEARCH("GLOBE",$H16)),"GLOBE",IF(ISNUMBER(SEARCH("GATE",$H16)),"GATE",IF(ISNUMBER(SEARCH("BUTTER",$H16)),"BFLY","VALVE기타"))),IF($G16="FITTING",IF(LEFT($H16,5)="ELBOW",IF($AE16=90,"90EL",IF($AE16=45,"45EL","비규격EL")),IF(LEFT($H16,6)="FLANGE","FLANGE",IF(ISNUMBER(SEARCH("TEE",$H16)),"TEE",""))),"")))))</f>
        <v>90EL</v>
      </c>
      <c r="AE16" s="76" t="n">
        <f aca="false">IF(AND($G16="FITTING",LEFT($H16,5)="ELBOW"),IFERROR(VALUE(LEFT(MID($H16,7,12),MIN(IFERROR(FIND("L",MID($H16,7,12)),99),IFERROR(FIND("S",MID($H16,7,12)),99),IFERROR(FIND(" ",MID($H16,7,12)),99))-1)),""),"")</f>
        <v>90</v>
      </c>
      <c r="AF16" s="77" t="n">
        <f aca="false">IF($AD16="비규격EL",N($L16)*RADIANS(N($AE16))*보온기준!$F$15*N($I16)*보온기준!$F$16/1000,0)</f>
        <v>0</v>
      </c>
      <c r="AG16" s="76" t="str">
        <f aca="false">IF($G16="","",IF(OR($AA16&lt;&gt;"○",LEFT($F16,3)="STS",LEFT($F16,3)="SUS",$C16="매설"),"Y","N"))</f>
        <v>Y</v>
      </c>
    </row>
    <row r="17" customFormat="false" ht="15" hidden="false" customHeight="true" outlineLevel="0" collapsed="false">
      <c r="A17" s="6" t="n">
        <v>11</v>
      </c>
      <c r="B17" s="20" t="s">
        <v>142</v>
      </c>
      <c r="C17" s="20" t="s">
        <v>702</v>
      </c>
      <c r="D17" s="19" t="s">
        <v>703</v>
      </c>
      <c r="E17" s="19" t="s">
        <v>704</v>
      </c>
      <c r="F17" s="19" t="s">
        <v>710</v>
      </c>
      <c r="G17" s="19" t="s">
        <v>708</v>
      </c>
      <c r="H17" s="32" t="s">
        <v>713</v>
      </c>
      <c r="I17" s="19" t="n">
        <v>80</v>
      </c>
      <c r="J17" s="19"/>
      <c r="K17" s="19" t="s">
        <v>85</v>
      </c>
      <c r="L17" s="73" t="n">
        <v>1</v>
      </c>
      <c r="M17" s="37" t="str">
        <f aca="false">IF($G17&lt;&gt;"PIPE","",IFERROR(1/(1/INDEX(배관단중표!$B$7:$W$41,MATCH($I17,배관단중표!$A$7:$A$41,0),MATCH(IF($J17="SPP","SPP",IF(LEFT($F17,3)="STS",IF(ISNUMBER(SEARCH("316",$F17)),"STS316","STS304"),"SPPS")&amp;"|"&amp;$J17),배관단중표!$B$6:$W$6,0))),"DB확인"))</f>
        <v/>
      </c>
      <c r="N17" s="74" t="n">
        <v>1</v>
      </c>
      <c r="O17" s="56"/>
      <c r="P17" s="54" t="n">
        <f aca="false">IF($G17="","",IFERROR(IF(O17&lt;&gt;"",O17,L17*IF(G17="PIPE",M17,N17)),0))</f>
        <v>1</v>
      </c>
      <c r="Q17" s="6" t="str">
        <f aca="false">IF($G17="","",IF(G17="PIPE","P","F"))</f>
        <v>F</v>
      </c>
      <c r="R17" s="35" t="str">
        <f aca="false">IF($G17&lt;&gt;"PIPE","",IFERROR(IF(O17&lt;&gt;"",O17/M17,IF(K17="M",L17,"")),""))</f>
        <v/>
      </c>
      <c r="S17" s="6" t="str">
        <f aca="false">IF($G17&lt;&gt;"PIPE","",IF(AND($AA17="○",OR($W17&lt;&gt;"○",배관기준!$AG$17="N"),$C17&lt;&gt;"매설",LEFT($F17,3)&lt;&gt;"STS",LEFT($F17,3)&lt;&gt;"SUS"),"Y","N"))</f>
        <v/>
      </c>
      <c r="T17" s="16"/>
      <c r="U17" s="19" t="s">
        <v>705</v>
      </c>
      <c r="V17" s="19"/>
      <c r="W17" s="6" t="str">
        <f aca="false">IF($G17="","",IFERROR(INDEX(배관집계!$AC$7:$AC$32,MATCH($AC17,배관집계!$AJ$7:$AJ$32,0))&amp;"",""))</f>
        <v>○</v>
      </c>
      <c r="X17" s="6" t="str">
        <f aca="false">IF($G17="","",IFERROR(INDEX(배관집계!$AD$7:$AD$32,MATCH($AC17,배관집계!$AJ$7:$AJ$32,0))&amp;"",""))</f>
        <v>○</v>
      </c>
      <c r="Y17" s="6" t="str">
        <f aca="false">IF($G17="","",IFERROR(INDEX(배관집계!$AE$7:$AE$32,MATCH($AC17,배관집계!$AJ$7:$AJ$32,0))&amp;"",""))</f>
        <v>×</v>
      </c>
      <c r="Z17" s="6" t="str">
        <f aca="false">IF($G17="","",IFERROR(INDEX(배관집계!$AF$7:$AF$32,MATCH($AC17,배관집계!$AJ$7:$AJ$32,0))&amp;"",""))</f>
        <v>○</v>
      </c>
      <c r="AA17" s="6" t="str">
        <f aca="false">IF($G17="","",IFERROR(INDEX(배관집계!$AG$7:$AG$32,MATCH($AC17,배관집계!$AJ$7:$AJ$32,0))&amp;"",""))</f>
        <v>×</v>
      </c>
      <c r="AB17" s="6" t="str">
        <f aca="false">IF($G17="","",IFERROR(INDEX(배관집계!$AH$7:$AH$32,MATCH($AC17,배관집계!$AJ$7:$AJ$32,0))&amp;"",""))</f>
        <v>C/C</v>
      </c>
      <c r="AC17" s="75" t="str">
        <f aca="false">IF($G17="","",$B17&amp;"|"&amp;$C17&amp;"|"&amp;$E17&amp;"|"&amp;$U17&amp;"|"&amp;$I17)</f>
        <v>설치|옥외|5kg/cm2이상|STPG370S|80</v>
      </c>
      <c r="AD17" s="76" t="str">
        <f aca="false">IF($G17="","",IF($B17&lt;&gt;"설치","",IF($G17="PIPE","PIPE",IF($G17="VALVE",IF(ISNUMBER(SEARCH("GLOBE",$H17)),"GLOBE",IF(ISNUMBER(SEARCH("GATE",$H17)),"GATE",IF(ISNUMBER(SEARCH("BUTTER",$H17)),"BFLY","VALVE기타"))),IF($G17="FITTING",IF(LEFT($H17,5)="ELBOW",IF($AE17=90,"90EL",IF($AE17=45,"45EL","비규격EL")),IF(LEFT($H17,6)="FLANGE","FLANGE",IF(ISNUMBER(SEARCH("TEE",$H17)),"TEE",""))),"")))))</f>
        <v>비규격EL</v>
      </c>
      <c r="AE17" s="76" t="n">
        <f aca="false">IF(AND($G17="FITTING",LEFT($H17,5)="ELBOW"),IFERROR(VALUE(LEFT(MID($H17,7,12),MIN(IFERROR(FIND("L",MID($H17,7,12)),99),IFERROR(FIND("S",MID($H17,7,12)),99),IFERROR(FIND(" ",MID($H17,7,12)),99))-1)),""),"")</f>
        <v>41.7</v>
      </c>
      <c r="AF17" s="77" t="n">
        <f aca="false">IF($AD17="비규격EL",N($L17)*RADIANS(N($AE17))*보온기준!$F$15*N($I17)*보온기준!$F$16/1000,0)</f>
        <v>0.104803530923756</v>
      </c>
      <c r="AG17" s="76" t="str">
        <f aca="false">IF($G17="","",IF(OR($AA17&lt;&gt;"○",LEFT($F17,3)="STS",LEFT($F17,3)="SUS",$C17="매설"),"Y","N"))</f>
        <v>Y</v>
      </c>
    </row>
    <row r="18" customFormat="false" ht="15" hidden="false" customHeight="true" outlineLevel="0" collapsed="false">
      <c r="A18" s="6" t="n">
        <v>12</v>
      </c>
      <c r="B18" s="20" t="s">
        <v>142</v>
      </c>
      <c r="C18" s="20" t="s">
        <v>702</v>
      </c>
      <c r="D18" s="19" t="s">
        <v>703</v>
      </c>
      <c r="E18" s="19" t="s">
        <v>704</v>
      </c>
      <c r="F18" s="19" t="s">
        <v>710</v>
      </c>
      <c r="G18" s="19" t="s">
        <v>708</v>
      </c>
      <c r="H18" s="32" t="s">
        <v>712</v>
      </c>
      <c r="I18" s="19" t="n">
        <v>80</v>
      </c>
      <c r="J18" s="19"/>
      <c r="K18" s="19" t="s">
        <v>85</v>
      </c>
      <c r="L18" s="73" t="n">
        <v>2</v>
      </c>
      <c r="M18" s="37" t="str">
        <f aca="false">IF($G18&lt;&gt;"PIPE","",IFERROR(1/(1/INDEX(배관단중표!$B$7:$W$41,MATCH($I18,배관단중표!$A$7:$A$41,0),MATCH(IF($J18="SPP","SPP",IF(LEFT($F18,3)="STS",IF(ISNUMBER(SEARCH("316",$F18)),"STS316","STS304"),"SPPS")&amp;"|"&amp;$J18),배관단중표!$B$6:$W$6,0))),"DB확인"))</f>
        <v/>
      </c>
      <c r="N18" s="74" t="n">
        <v>2</v>
      </c>
      <c r="O18" s="56"/>
      <c r="P18" s="54" t="n">
        <f aca="false">IF($G18="","",IFERROR(IF(O18&lt;&gt;"",O18,L18*IF(G18="PIPE",M18,N18)),0))</f>
        <v>4</v>
      </c>
      <c r="Q18" s="6" t="str">
        <f aca="false">IF($G18="","",IF(G18="PIPE","P","F"))</f>
        <v>F</v>
      </c>
      <c r="R18" s="35" t="str">
        <f aca="false">IF($G18&lt;&gt;"PIPE","",IFERROR(IF(O18&lt;&gt;"",O18/M18,IF(K18="M",L18,"")),""))</f>
        <v/>
      </c>
      <c r="S18" s="6" t="str">
        <f aca="false">IF($G18&lt;&gt;"PIPE","",IF(AND($AA18="○",OR($W18&lt;&gt;"○",배관기준!$AG$17="N"),$C18&lt;&gt;"매설",LEFT($F18,3)&lt;&gt;"STS",LEFT($F18,3)&lt;&gt;"SUS"),"Y","N"))</f>
        <v/>
      </c>
      <c r="T18" s="16"/>
      <c r="U18" s="19" t="s">
        <v>705</v>
      </c>
      <c r="V18" s="19"/>
      <c r="W18" s="6" t="str">
        <f aca="false">IF($G18="","",IFERROR(INDEX(배관집계!$AC$7:$AC$32,MATCH($AC18,배관집계!$AJ$7:$AJ$32,0))&amp;"",""))</f>
        <v>○</v>
      </c>
      <c r="X18" s="6" t="str">
        <f aca="false">IF($G18="","",IFERROR(INDEX(배관집계!$AD$7:$AD$32,MATCH($AC18,배관집계!$AJ$7:$AJ$32,0))&amp;"",""))</f>
        <v>○</v>
      </c>
      <c r="Y18" s="6" t="str">
        <f aca="false">IF($G18="","",IFERROR(INDEX(배관집계!$AE$7:$AE$32,MATCH($AC18,배관집계!$AJ$7:$AJ$32,0))&amp;"",""))</f>
        <v>×</v>
      </c>
      <c r="Z18" s="6" t="str">
        <f aca="false">IF($G18="","",IFERROR(INDEX(배관집계!$AF$7:$AF$32,MATCH($AC18,배관집계!$AJ$7:$AJ$32,0))&amp;"",""))</f>
        <v>○</v>
      </c>
      <c r="AA18" s="6" t="str">
        <f aca="false">IF($G18="","",IFERROR(INDEX(배관집계!$AG$7:$AG$32,MATCH($AC18,배관집계!$AJ$7:$AJ$32,0))&amp;"",""))</f>
        <v>×</v>
      </c>
      <c r="AB18" s="6" t="str">
        <f aca="false">IF($G18="","",IFERROR(INDEX(배관집계!$AH$7:$AH$32,MATCH($AC18,배관집계!$AJ$7:$AJ$32,0))&amp;"",""))</f>
        <v>C/C</v>
      </c>
      <c r="AC18" s="75" t="str">
        <f aca="false">IF($G18="","",$B18&amp;"|"&amp;$C18&amp;"|"&amp;$E18&amp;"|"&amp;$U18&amp;"|"&amp;$I18)</f>
        <v>설치|옥외|5kg/cm2이상|STPG370S|80</v>
      </c>
      <c r="AD18" s="76" t="str">
        <f aca="false">IF($G18="","",IF($B18&lt;&gt;"설치","",IF($G18="PIPE","PIPE",IF($G18="VALVE",IF(ISNUMBER(SEARCH("GLOBE",$H18)),"GLOBE",IF(ISNUMBER(SEARCH("GATE",$H18)),"GATE",IF(ISNUMBER(SEARCH("BUTTER",$H18)),"BFLY","VALVE기타"))),IF($G18="FITTING",IF(LEFT($H18,5)="ELBOW",IF($AE18=90,"90EL",IF($AE18=45,"45EL","비규격EL")),IF(LEFT($H18,6)="FLANGE","FLANGE",IF(ISNUMBER(SEARCH("TEE",$H18)),"TEE",""))),"")))))</f>
        <v>90EL</v>
      </c>
      <c r="AE18" s="76" t="n">
        <f aca="false">IF(AND($G18="FITTING",LEFT($H18,5)="ELBOW"),IFERROR(VALUE(LEFT(MID($H18,7,12),MIN(IFERROR(FIND("L",MID($H18,7,12)),99),IFERROR(FIND("S",MID($H18,7,12)),99),IFERROR(FIND(" ",MID($H18,7,12)),99))-1)),""),"")</f>
        <v>90</v>
      </c>
      <c r="AF18" s="77" t="n">
        <f aca="false">IF($AD18="비규격EL",N($L18)*RADIANS(N($AE18))*보온기준!$F$15*N($I18)*보온기준!$F$16/1000,0)</f>
        <v>0</v>
      </c>
      <c r="AG18" s="76" t="str">
        <f aca="false">IF($G18="","",IF(OR($AA18&lt;&gt;"○",LEFT($F18,3)="STS",LEFT($F18,3)="SUS",$C18="매설"),"Y","N"))</f>
        <v>Y</v>
      </c>
    </row>
    <row r="19" customFormat="false" ht="15" hidden="false" customHeight="true" outlineLevel="0" collapsed="false">
      <c r="A19" s="6" t="n">
        <v>13</v>
      </c>
      <c r="B19" s="20" t="s">
        <v>142</v>
      </c>
      <c r="C19" s="20" t="s">
        <v>702</v>
      </c>
      <c r="D19" s="19" t="s">
        <v>703</v>
      </c>
      <c r="E19" s="19" t="s">
        <v>704</v>
      </c>
      <c r="F19" s="19" t="s">
        <v>710</v>
      </c>
      <c r="G19" s="19" t="s">
        <v>708</v>
      </c>
      <c r="H19" s="32" t="s">
        <v>714</v>
      </c>
      <c r="I19" s="19" t="n">
        <v>150</v>
      </c>
      <c r="J19" s="19"/>
      <c r="K19" s="19" t="s">
        <v>85</v>
      </c>
      <c r="L19" s="73" t="n">
        <v>2</v>
      </c>
      <c r="M19" s="37" t="str">
        <f aca="false">IF($G19&lt;&gt;"PIPE","",IFERROR(1/(1/INDEX(배관단중표!$B$7:$W$41,MATCH($I19,배관단중표!$A$7:$A$41,0),MATCH(IF($J19="SPP","SPP",IF(LEFT($F19,3)="STS",IF(ISNUMBER(SEARCH("316",$F19)),"STS316","STS304"),"SPPS")&amp;"|"&amp;$J19),배관단중표!$B$6:$W$6,0))),"DB확인"))</f>
        <v/>
      </c>
      <c r="N19" s="74" t="n">
        <v>3.9</v>
      </c>
      <c r="O19" s="56"/>
      <c r="P19" s="54" t="n">
        <f aca="false">IF($G19="","",IFERROR(IF(O19&lt;&gt;"",O19,L19*IF(G19="PIPE",M19,N19)),0))</f>
        <v>7.8</v>
      </c>
      <c r="Q19" s="6" t="str">
        <f aca="false">IF($G19="","",IF(G19="PIPE","P","F"))</f>
        <v>F</v>
      </c>
      <c r="R19" s="35" t="str">
        <f aca="false">IF($G19&lt;&gt;"PIPE","",IFERROR(IF(O19&lt;&gt;"",O19/M19,IF(K19="M",L19,"")),""))</f>
        <v/>
      </c>
      <c r="S19" s="6" t="str">
        <f aca="false">IF($G19&lt;&gt;"PIPE","",IF(AND($AA19="○",OR($W19&lt;&gt;"○",배관기준!$AG$17="N"),$C19&lt;&gt;"매설",LEFT($F19,3)&lt;&gt;"STS",LEFT($F19,3)&lt;&gt;"SUS"),"Y","N"))</f>
        <v/>
      </c>
      <c r="T19" s="16"/>
      <c r="U19" s="19" t="s">
        <v>705</v>
      </c>
      <c r="V19" s="19"/>
      <c r="W19" s="6" t="str">
        <f aca="false">IF($G19="","",IFERROR(INDEX(배관집계!$AC$7:$AC$32,MATCH($AC19,배관집계!$AJ$7:$AJ$32,0))&amp;"",""))</f>
        <v>○</v>
      </c>
      <c r="X19" s="6" t="str">
        <f aca="false">IF($G19="","",IFERROR(INDEX(배관집계!$AD$7:$AD$32,MATCH($AC19,배관집계!$AJ$7:$AJ$32,0))&amp;"",""))</f>
        <v>○</v>
      </c>
      <c r="Y19" s="6" t="str">
        <f aca="false">IF($G19="","",IFERROR(INDEX(배관집계!$AE$7:$AE$32,MATCH($AC19,배관집계!$AJ$7:$AJ$32,0))&amp;"",""))</f>
        <v>×</v>
      </c>
      <c r="Z19" s="6" t="str">
        <f aca="false">IF($G19="","",IFERROR(INDEX(배관집계!$AF$7:$AF$32,MATCH($AC19,배관집계!$AJ$7:$AJ$32,0))&amp;"",""))</f>
        <v>○</v>
      </c>
      <c r="AA19" s="6" t="str">
        <f aca="false">IF($G19="","",IFERROR(INDEX(배관집계!$AG$7:$AG$32,MATCH($AC19,배관집계!$AJ$7:$AJ$32,0))&amp;"",""))</f>
        <v>×</v>
      </c>
      <c r="AB19" s="6" t="str">
        <f aca="false">IF($G19="","",IFERROR(INDEX(배관집계!$AH$7:$AH$32,MATCH($AC19,배관집계!$AJ$7:$AJ$32,0))&amp;"",""))</f>
        <v>C/C</v>
      </c>
      <c r="AC19" s="75" t="str">
        <f aca="false">IF($G19="","",$B19&amp;"|"&amp;$C19&amp;"|"&amp;$E19&amp;"|"&amp;$U19&amp;"|"&amp;$I19)</f>
        <v>설치|옥외|5kg/cm2이상|STPG370S|150</v>
      </c>
      <c r="AD19" s="76" t="str">
        <f aca="false">IF($G19="","",IF($B19&lt;&gt;"설치","",IF($G19="PIPE","PIPE",IF($G19="VALVE",IF(ISNUMBER(SEARCH("GLOBE",$H19)),"GLOBE",IF(ISNUMBER(SEARCH("GATE",$H19)),"GATE",IF(ISNUMBER(SEARCH("BUTTER",$H19)),"BFLY","VALVE기타"))),IF($G19="FITTING",IF(LEFT($H19,5)="ELBOW",IF($AE19=90,"90EL",IF($AE19=45,"45EL","비규격EL")),IF(LEFT($H19,6)="FLANGE","FLANGE",IF(ISNUMBER(SEARCH("TEE",$H19)),"TEE",""))),"")))))</f>
        <v>45EL</v>
      </c>
      <c r="AE19" s="76" t="n">
        <f aca="false">IF(AND($G19="FITTING",LEFT($H19,5)="ELBOW"),IFERROR(VALUE(LEFT(MID($H19,7,12),MIN(IFERROR(FIND("L",MID($H19,7,12)),99),IFERROR(FIND("S",MID($H19,7,12)),99),IFERROR(FIND(" ",MID($H19,7,12)),99))-1)),""),"")</f>
        <v>45</v>
      </c>
      <c r="AF19" s="77" t="n">
        <f aca="false">IF($AD19="비규격EL",N($L19)*RADIANS(N($AE19))*보온기준!$F$15*N($I19)*보온기준!$F$16/1000,0)</f>
        <v>0</v>
      </c>
      <c r="AG19" s="76" t="str">
        <f aca="false">IF($G19="","",IF(OR($AA19&lt;&gt;"○",LEFT($F19,3)="STS",LEFT($F19,3)="SUS",$C19="매설"),"Y","N"))</f>
        <v>Y</v>
      </c>
    </row>
    <row r="20" customFormat="false" ht="15" hidden="false" customHeight="true" outlineLevel="0" collapsed="false">
      <c r="A20" s="6" t="n">
        <v>14</v>
      </c>
      <c r="B20" s="20" t="s">
        <v>142</v>
      </c>
      <c r="C20" s="20" t="s">
        <v>702</v>
      </c>
      <c r="D20" s="19" t="s">
        <v>703</v>
      </c>
      <c r="E20" s="19" t="s">
        <v>704</v>
      </c>
      <c r="F20" s="19" t="s">
        <v>710</v>
      </c>
      <c r="G20" s="19" t="s">
        <v>708</v>
      </c>
      <c r="H20" s="32" t="s">
        <v>712</v>
      </c>
      <c r="I20" s="19" t="n">
        <v>150</v>
      </c>
      <c r="J20" s="19"/>
      <c r="K20" s="19" t="s">
        <v>85</v>
      </c>
      <c r="L20" s="73" t="n">
        <v>3</v>
      </c>
      <c r="M20" s="37" t="str">
        <f aca="false">IF($G20&lt;&gt;"PIPE","",IFERROR(1/(1/INDEX(배관단중표!$B$7:$W$41,MATCH($I20,배관단중표!$A$7:$A$41,0),MATCH(IF($J20="SPP","SPP",IF(LEFT($F20,3)="STS",IF(ISNUMBER(SEARCH("316",$F20)),"STS316","STS304"),"SPPS")&amp;"|"&amp;$J20),배관단중표!$B$6:$W$6,0))),"DB확인"))</f>
        <v/>
      </c>
      <c r="N20" s="74" t="n">
        <v>9.9</v>
      </c>
      <c r="O20" s="56"/>
      <c r="P20" s="54" t="n">
        <f aca="false">IF($G20="","",IFERROR(IF(O20&lt;&gt;"",O20,L20*IF(G20="PIPE",M20,N20)),0))</f>
        <v>29.7</v>
      </c>
      <c r="Q20" s="6" t="str">
        <f aca="false">IF($G20="","",IF(G20="PIPE","P","F"))</f>
        <v>F</v>
      </c>
      <c r="R20" s="35" t="str">
        <f aca="false">IF($G20&lt;&gt;"PIPE","",IFERROR(IF(O20&lt;&gt;"",O20/M20,IF(K20="M",L20,"")),""))</f>
        <v/>
      </c>
      <c r="S20" s="6" t="str">
        <f aca="false">IF($G20&lt;&gt;"PIPE","",IF(AND($AA20="○",OR($W20&lt;&gt;"○",배관기준!$AG$17="N"),$C20&lt;&gt;"매설",LEFT($F20,3)&lt;&gt;"STS",LEFT($F20,3)&lt;&gt;"SUS"),"Y","N"))</f>
        <v/>
      </c>
      <c r="T20" s="16"/>
      <c r="U20" s="19" t="s">
        <v>705</v>
      </c>
      <c r="V20" s="19"/>
      <c r="W20" s="6" t="str">
        <f aca="false">IF($G20="","",IFERROR(INDEX(배관집계!$AC$7:$AC$32,MATCH($AC20,배관집계!$AJ$7:$AJ$32,0))&amp;"",""))</f>
        <v>○</v>
      </c>
      <c r="X20" s="6" t="str">
        <f aca="false">IF($G20="","",IFERROR(INDEX(배관집계!$AD$7:$AD$32,MATCH($AC20,배관집계!$AJ$7:$AJ$32,0))&amp;"",""))</f>
        <v>○</v>
      </c>
      <c r="Y20" s="6" t="str">
        <f aca="false">IF($G20="","",IFERROR(INDEX(배관집계!$AE$7:$AE$32,MATCH($AC20,배관집계!$AJ$7:$AJ$32,0))&amp;"",""))</f>
        <v>×</v>
      </c>
      <c r="Z20" s="6" t="str">
        <f aca="false">IF($G20="","",IFERROR(INDEX(배관집계!$AF$7:$AF$32,MATCH($AC20,배관집계!$AJ$7:$AJ$32,0))&amp;"",""))</f>
        <v>○</v>
      </c>
      <c r="AA20" s="6" t="str">
        <f aca="false">IF($G20="","",IFERROR(INDEX(배관집계!$AG$7:$AG$32,MATCH($AC20,배관집계!$AJ$7:$AJ$32,0))&amp;"",""))</f>
        <v>×</v>
      </c>
      <c r="AB20" s="6" t="str">
        <f aca="false">IF($G20="","",IFERROR(INDEX(배관집계!$AH$7:$AH$32,MATCH($AC20,배관집계!$AJ$7:$AJ$32,0))&amp;"",""))</f>
        <v>C/C</v>
      </c>
      <c r="AC20" s="75" t="str">
        <f aca="false">IF($G20="","",$B20&amp;"|"&amp;$C20&amp;"|"&amp;$E20&amp;"|"&amp;$U20&amp;"|"&amp;$I20)</f>
        <v>설치|옥외|5kg/cm2이상|STPG370S|150</v>
      </c>
      <c r="AD20" s="76" t="str">
        <f aca="false">IF($G20="","",IF($B20&lt;&gt;"설치","",IF($G20="PIPE","PIPE",IF($G20="VALVE",IF(ISNUMBER(SEARCH("GLOBE",$H20)),"GLOBE",IF(ISNUMBER(SEARCH("GATE",$H20)),"GATE",IF(ISNUMBER(SEARCH("BUTTER",$H20)),"BFLY","VALVE기타"))),IF($G20="FITTING",IF(LEFT($H20,5)="ELBOW",IF($AE20=90,"90EL",IF($AE20=45,"45EL","비규격EL")),IF(LEFT($H20,6)="FLANGE","FLANGE",IF(ISNUMBER(SEARCH("TEE",$H20)),"TEE",""))),"")))))</f>
        <v>90EL</v>
      </c>
      <c r="AE20" s="76" t="n">
        <f aca="false">IF(AND($G20="FITTING",LEFT($H20,5)="ELBOW"),IFERROR(VALUE(LEFT(MID($H20,7,12),MIN(IFERROR(FIND("L",MID($H20,7,12)),99),IFERROR(FIND("S",MID($H20,7,12)),99),IFERROR(FIND(" ",MID($H20,7,12)),99))-1)),""),"")</f>
        <v>90</v>
      </c>
      <c r="AF20" s="77" t="n">
        <f aca="false">IF($AD20="비규격EL",N($L20)*RADIANS(N($AE20))*보온기준!$F$15*N($I20)*보온기준!$F$16/1000,0)</f>
        <v>0</v>
      </c>
      <c r="AG20" s="76" t="str">
        <f aca="false">IF($G20="","",IF(OR($AA20&lt;&gt;"○",LEFT($F20,3)="STS",LEFT($F20,3)="SUS",$C20="매설"),"Y","N"))</f>
        <v>Y</v>
      </c>
    </row>
    <row r="21" customFormat="false" ht="15" hidden="false" customHeight="true" outlineLevel="0" collapsed="false">
      <c r="A21" s="6" t="n">
        <v>15</v>
      </c>
      <c r="B21" s="20" t="s">
        <v>142</v>
      </c>
      <c r="C21" s="20" t="s">
        <v>702</v>
      </c>
      <c r="D21" s="19" t="s">
        <v>703</v>
      </c>
      <c r="E21" s="19" t="s">
        <v>704</v>
      </c>
      <c r="F21" s="19" t="s">
        <v>710</v>
      </c>
      <c r="G21" s="19" t="s">
        <v>708</v>
      </c>
      <c r="H21" s="32" t="s">
        <v>715</v>
      </c>
      <c r="I21" s="19" t="n">
        <v>150</v>
      </c>
      <c r="J21" s="19"/>
      <c r="K21" s="19" t="s">
        <v>85</v>
      </c>
      <c r="L21" s="73" t="n">
        <v>5</v>
      </c>
      <c r="M21" s="37" t="str">
        <f aca="false">IF($G21&lt;&gt;"PIPE","",IFERROR(1/(1/INDEX(배관단중표!$B$7:$W$41,MATCH($I21,배관단중표!$A$7:$A$41,0),MATCH(IF($J21="SPP","SPP",IF(LEFT($F21,3)="STS",IF(ISNUMBER(SEARCH("316",$F21)),"STS316","STS304"),"SPPS")&amp;"|"&amp;$J21),배관단중표!$B$6:$W$6,0))),"DB확인"))</f>
        <v/>
      </c>
      <c r="N21" s="74" t="n">
        <v>9.9</v>
      </c>
      <c r="O21" s="56"/>
      <c r="P21" s="54" t="n">
        <f aca="false">IF($G21="","",IFERROR(IF(O21&lt;&gt;"",O21,L21*IF(G21="PIPE",M21,N21)),0))</f>
        <v>49.5</v>
      </c>
      <c r="Q21" s="6" t="str">
        <f aca="false">IF($G21="","",IF(G21="PIPE","P","F"))</f>
        <v>F</v>
      </c>
      <c r="R21" s="35" t="str">
        <f aca="false">IF($G21&lt;&gt;"PIPE","",IFERROR(IF(O21&lt;&gt;"",O21/M21,IF(K21="M",L21,"")),""))</f>
        <v/>
      </c>
      <c r="S21" s="6" t="str">
        <f aca="false">IF($G21&lt;&gt;"PIPE","",IF(AND($AA21="○",OR($W21&lt;&gt;"○",배관기준!$AG$17="N"),$C21&lt;&gt;"매설",LEFT($F21,3)&lt;&gt;"STS",LEFT($F21,3)&lt;&gt;"SUS"),"Y","N"))</f>
        <v/>
      </c>
      <c r="T21" s="16"/>
      <c r="U21" s="19" t="s">
        <v>705</v>
      </c>
      <c r="V21" s="19"/>
      <c r="W21" s="6" t="str">
        <f aca="false">IF($G21="","",IFERROR(INDEX(배관집계!$AC$7:$AC$32,MATCH($AC21,배관집계!$AJ$7:$AJ$32,0))&amp;"",""))</f>
        <v>○</v>
      </c>
      <c r="X21" s="6" t="str">
        <f aca="false">IF($G21="","",IFERROR(INDEX(배관집계!$AD$7:$AD$32,MATCH($AC21,배관집계!$AJ$7:$AJ$32,0))&amp;"",""))</f>
        <v>○</v>
      </c>
      <c r="Y21" s="6" t="str">
        <f aca="false">IF($G21="","",IFERROR(INDEX(배관집계!$AE$7:$AE$32,MATCH($AC21,배관집계!$AJ$7:$AJ$32,0))&amp;"",""))</f>
        <v>×</v>
      </c>
      <c r="Z21" s="6" t="str">
        <f aca="false">IF($G21="","",IFERROR(INDEX(배관집계!$AF$7:$AF$32,MATCH($AC21,배관집계!$AJ$7:$AJ$32,0))&amp;"",""))</f>
        <v>○</v>
      </c>
      <c r="AA21" s="6" t="str">
        <f aca="false">IF($G21="","",IFERROR(INDEX(배관집계!$AG$7:$AG$32,MATCH($AC21,배관집계!$AJ$7:$AJ$32,0))&amp;"",""))</f>
        <v>×</v>
      </c>
      <c r="AB21" s="6" t="str">
        <f aca="false">IF($G21="","",IFERROR(INDEX(배관집계!$AH$7:$AH$32,MATCH($AC21,배관집계!$AJ$7:$AJ$32,0))&amp;"",""))</f>
        <v>C/C</v>
      </c>
      <c r="AC21" s="75" t="str">
        <f aca="false">IF($G21="","",$B21&amp;"|"&amp;$C21&amp;"|"&amp;$E21&amp;"|"&amp;$U21&amp;"|"&amp;$I21)</f>
        <v>설치|옥외|5kg/cm2이상|STPG370S|150</v>
      </c>
      <c r="AD21" s="76" t="str">
        <f aca="false">IF($G21="","",IF($B21&lt;&gt;"설치","",IF($G21="PIPE","PIPE",IF($G21="VALVE",IF(ISNUMBER(SEARCH("GLOBE",$H21)),"GLOBE",IF(ISNUMBER(SEARCH("GATE",$H21)),"GATE",IF(ISNUMBER(SEARCH("BUTTER",$H21)),"BFLY","VALVE기타"))),IF($G21="FITTING",IF(LEFT($H21,5)="ELBOW",IF($AE21=90,"90EL",IF($AE21=45,"45EL","비규격EL")),IF(LEFT($H21,6)="FLANGE","FLANGE",IF(ISNUMBER(SEARCH("TEE",$H21)),"TEE",""))),"")))))</f>
        <v>90EL</v>
      </c>
      <c r="AE21" s="76" t="n">
        <f aca="false">IF(AND($G21="FITTING",LEFT($H21,5)="ELBOW"),IFERROR(VALUE(LEFT(MID($H21,7,12),MIN(IFERROR(FIND("L",MID($H21,7,12)),99),IFERROR(FIND("S",MID($H21,7,12)),99),IFERROR(FIND(" ",MID($H21,7,12)),99))-1)),""),"")</f>
        <v>90</v>
      </c>
      <c r="AF21" s="77" t="n">
        <f aca="false">IF($AD21="비규격EL",N($L21)*RADIANS(N($AE21))*보온기준!$F$15*N($I21)*보온기준!$F$16/1000,0)</f>
        <v>0</v>
      </c>
      <c r="AG21" s="76" t="str">
        <f aca="false">IF($G21="","",IF(OR($AA21&lt;&gt;"○",LEFT($F21,3)="STS",LEFT($F21,3)="SUS",$C21="매설"),"Y","N"))</f>
        <v>Y</v>
      </c>
    </row>
    <row r="22" customFormat="false" ht="15" hidden="false" customHeight="true" outlineLevel="0" collapsed="false">
      <c r="A22" s="6" t="n">
        <v>16</v>
      </c>
      <c r="B22" s="20" t="s">
        <v>142</v>
      </c>
      <c r="C22" s="20" t="s">
        <v>702</v>
      </c>
      <c r="D22" s="19" t="s">
        <v>703</v>
      </c>
      <c r="E22" s="19" t="s">
        <v>704</v>
      </c>
      <c r="F22" s="19" t="s">
        <v>710</v>
      </c>
      <c r="G22" s="19" t="s">
        <v>708</v>
      </c>
      <c r="H22" s="32" t="s">
        <v>716</v>
      </c>
      <c r="I22" s="19" t="n">
        <v>200</v>
      </c>
      <c r="J22" s="19"/>
      <c r="K22" s="19" t="s">
        <v>85</v>
      </c>
      <c r="L22" s="73" t="n">
        <v>2</v>
      </c>
      <c r="M22" s="37" t="str">
        <f aca="false">IF($G22&lt;&gt;"PIPE","",IFERROR(1/(1/INDEX(배관단중표!$B$7:$W$41,MATCH($I22,배관단중표!$A$7:$A$41,0),MATCH(IF($J22="SPP","SPP",IF(LEFT($F22,3)="STS",IF(ISNUMBER(SEARCH("316",$F22)),"STS316","STS304"),"SPPS")&amp;"|"&amp;$J22),배관단중표!$B$6:$W$6,0))),"DB확인"))</f>
        <v/>
      </c>
      <c r="N22" s="74" t="n">
        <v>10.1</v>
      </c>
      <c r="O22" s="56"/>
      <c r="P22" s="54" t="n">
        <f aca="false">IF($G22="","",IFERROR(IF(O22&lt;&gt;"",O22,L22*IF(G22="PIPE",M22,N22)),0))</f>
        <v>20.2</v>
      </c>
      <c r="Q22" s="6" t="str">
        <f aca="false">IF($G22="","",IF(G22="PIPE","P","F"))</f>
        <v>F</v>
      </c>
      <c r="R22" s="35" t="str">
        <f aca="false">IF($G22&lt;&gt;"PIPE","",IFERROR(IF(O22&lt;&gt;"",O22/M22,IF(K22="M",L22,"")),""))</f>
        <v/>
      </c>
      <c r="S22" s="6" t="str">
        <f aca="false">IF($G22&lt;&gt;"PIPE","",IF(AND($AA22="○",OR($W22&lt;&gt;"○",배관기준!$AG$17="N"),$C22&lt;&gt;"매설",LEFT($F22,3)&lt;&gt;"STS",LEFT($F22,3)&lt;&gt;"SUS"),"Y","N"))</f>
        <v/>
      </c>
      <c r="T22" s="16"/>
      <c r="U22" s="19" t="s">
        <v>705</v>
      </c>
      <c r="V22" s="19"/>
      <c r="W22" s="6" t="str">
        <f aca="false">IF($G22="","",IFERROR(INDEX(배관집계!$AC$7:$AC$32,MATCH($AC22,배관집계!$AJ$7:$AJ$32,0))&amp;"",""))</f>
        <v>○</v>
      </c>
      <c r="X22" s="6" t="str">
        <f aca="false">IF($G22="","",IFERROR(INDEX(배관집계!$AD$7:$AD$32,MATCH($AC22,배관집계!$AJ$7:$AJ$32,0))&amp;"",""))</f>
        <v>○</v>
      </c>
      <c r="Y22" s="6" t="str">
        <f aca="false">IF($G22="","",IFERROR(INDEX(배관집계!$AE$7:$AE$32,MATCH($AC22,배관집계!$AJ$7:$AJ$32,0))&amp;"",""))</f>
        <v>×</v>
      </c>
      <c r="Z22" s="6" t="str">
        <f aca="false">IF($G22="","",IFERROR(INDEX(배관집계!$AF$7:$AF$32,MATCH($AC22,배관집계!$AJ$7:$AJ$32,0))&amp;"",""))</f>
        <v>○</v>
      </c>
      <c r="AA22" s="6" t="str">
        <f aca="false">IF($G22="","",IFERROR(INDEX(배관집계!$AG$7:$AG$32,MATCH($AC22,배관집계!$AJ$7:$AJ$32,0))&amp;"",""))</f>
        <v>×</v>
      </c>
      <c r="AB22" s="6" t="str">
        <f aca="false">IF($G22="","",IFERROR(INDEX(배관집계!$AH$7:$AH$32,MATCH($AC22,배관집계!$AJ$7:$AJ$32,0))&amp;"",""))</f>
        <v>C/C</v>
      </c>
      <c r="AC22" s="75" t="str">
        <f aca="false">IF($G22="","",$B22&amp;"|"&amp;$C22&amp;"|"&amp;$E22&amp;"|"&amp;$U22&amp;"|"&amp;$I22)</f>
        <v>설치|옥외|5kg/cm2이상|STPG370S|200</v>
      </c>
      <c r="AD22" s="76" t="str">
        <f aca="false">IF($G22="","",IF($B22&lt;&gt;"설치","",IF($G22="PIPE","PIPE",IF($G22="VALVE",IF(ISNUMBER(SEARCH("GLOBE",$H22)),"GLOBE",IF(ISNUMBER(SEARCH("GATE",$H22)),"GATE",IF(ISNUMBER(SEARCH("BUTTER",$H22)),"BFLY","VALVE기타"))),IF($G22="FITTING",IF(LEFT($H22,5)="ELBOW",IF($AE22=90,"90EL",IF($AE22=45,"45EL","비규격EL")),IF(LEFT($H22,6)="FLANGE","FLANGE",IF(ISNUMBER(SEARCH("TEE",$H22)),"TEE",""))),"")))))</f>
        <v>비규격EL</v>
      </c>
      <c r="AE22" s="76" t="n">
        <f aca="false">IF(AND($G22="FITTING",LEFT($H22,5)="ELBOW"),IFERROR(VALUE(LEFT(MID($H22,7,12),MIN(IFERROR(FIND("L",MID($H22,7,12)),99),IFERROR(FIND("S",MID($H22,7,12)),99),IFERROR(FIND(" ",MID($H22,7,12)),99))-1)),""),"")</f>
        <v>17.6</v>
      </c>
      <c r="AF22" s="77" t="n">
        <f aca="false">IF($AD22="비규격EL",N($L22)*RADIANS(N($AE22))*보온기준!$F$15*N($I22)*보온기준!$F$16/1000,0)</f>
        <v>0.221168122812721</v>
      </c>
      <c r="AG22" s="76" t="str">
        <f aca="false">IF($G22="","",IF(OR($AA22&lt;&gt;"○",LEFT($F22,3)="STS",LEFT($F22,3)="SUS",$C22="매설"),"Y","N"))</f>
        <v>Y</v>
      </c>
    </row>
    <row r="23" customFormat="false" ht="15" hidden="false" customHeight="true" outlineLevel="0" collapsed="false">
      <c r="A23" s="6" t="n">
        <v>17</v>
      </c>
      <c r="B23" s="20" t="s">
        <v>142</v>
      </c>
      <c r="C23" s="20" t="s">
        <v>702</v>
      </c>
      <c r="D23" s="19" t="s">
        <v>703</v>
      </c>
      <c r="E23" s="19" t="s">
        <v>704</v>
      </c>
      <c r="F23" s="19" t="s">
        <v>710</v>
      </c>
      <c r="G23" s="19" t="s">
        <v>708</v>
      </c>
      <c r="H23" s="32" t="s">
        <v>717</v>
      </c>
      <c r="I23" s="19" t="n">
        <v>200</v>
      </c>
      <c r="J23" s="19"/>
      <c r="K23" s="19" t="s">
        <v>85</v>
      </c>
      <c r="L23" s="73" t="n">
        <v>2</v>
      </c>
      <c r="M23" s="37" t="str">
        <f aca="false">IF($G23&lt;&gt;"PIPE","",IFERROR(1/(1/INDEX(배관단중표!$B$7:$W$41,MATCH($I23,배관단중표!$A$7:$A$41,0),MATCH(IF($J23="SPP","SPP",IF(LEFT($F23,3)="STS",IF(ISNUMBER(SEARCH("316",$F23)),"STS316","STS304"),"SPPS")&amp;"|"&amp;$J23),배관단중표!$B$6:$W$6,0))),"DB확인"))</f>
        <v/>
      </c>
      <c r="N23" s="74" t="n">
        <v>10.1</v>
      </c>
      <c r="O23" s="56"/>
      <c r="P23" s="54" t="n">
        <f aca="false">IF($G23="","",IFERROR(IF(O23&lt;&gt;"",O23,L23*IF(G23="PIPE",M23,N23)),0))</f>
        <v>20.2</v>
      </c>
      <c r="Q23" s="6" t="str">
        <f aca="false">IF($G23="","",IF(G23="PIPE","P","F"))</f>
        <v>F</v>
      </c>
      <c r="R23" s="35" t="str">
        <f aca="false">IF($G23&lt;&gt;"PIPE","",IFERROR(IF(O23&lt;&gt;"",O23/M23,IF(K23="M",L23,"")),""))</f>
        <v/>
      </c>
      <c r="S23" s="6" t="str">
        <f aca="false">IF($G23&lt;&gt;"PIPE","",IF(AND($AA23="○",OR($W23&lt;&gt;"○",배관기준!$AG$17="N"),$C23&lt;&gt;"매설",LEFT($F23,3)&lt;&gt;"STS",LEFT($F23,3)&lt;&gt;"SUS"),"Y","N"))</f>
        <v/>
      </c>
      <c r="T23" s="16"/>
      <c r="U23" s="19" t="s">
        <v>705</v>
      </c>
      <c r="V23" s="19"/>
      <c r="W23" s="6" t="str">
        <f aca="false">IF($G23="","",IFERROR(INDEX(배관집계!$AC$7:$AC$32,MATCH($AC23,배관집계!$AJ$7:$AJ$32,0))&amp;"",""))</f>
        <v>○</v>
      </c>
      <c r="X23" s="6" t="str">
        <f aca="false">IF($G23="","",IFERROR(INDEX(배관집계!$AD$7:$AD$32,MATCH($AC23,배관집계!$AJ$7:$AJ$32,0))&amp;"",""))</f>
        <v>○</v>
      </c>
      <c r="Y23" s="6" t="str">
        <f aca="false">IF($G23="","",IFERROR(INDEX(배관집계!$AE$7:$AE$32,MATCH($AC23,배관집계!$AJ$7:$AJ$32,0))&amp;"",""))</f>
        <v>×</v>
      </c>
      <c r="Z23" s="6" t="str">
        <f aca="false">IF($G23="","",IFERROR(INDEX(배관집계!$AF$7:$AF$32,MATCH($AC23,배관집계!$AJ$7:$AJ$32,0))&amp;"",""))</f>
        <v>○</v>
      </c>
      <c r="AA23" s="6" t="str">
        <f aca="false">IF($G23="","",IFERROR(INDEX(배관집계!$AG$7:$AG$32,MATCH($AC23,배관집계!$AJ$7:$AJ$32,0))&amp;"",""))</f>
        <v>×</v>
      </c>
      <c r="AB23" s="6" t="str">
        <f aca="false">IF($G23="","",IFERROR(INDEX(배관집계!$AH$7:$AH$32,MATCH($AC23,배관집계!$AJ$7:$AJ$32,0))&amp;"",""))</f>
        <v>C/C</v>
      </c>
      <c r="AC23" s="75" t="str">
        <f aca="false">IF($G23="","",$B23&amp;"|"&amp;$C23&amp;"|"&amp;$E23&amp;"|"&amp;$U23&amp;"|"&amp;$I23)</f>
        <v>설치|옥외|5kg/cm2이상|STPG370S|200</v>
      </c>
      <c r="AD23" s="76" t="str">
        <f aca="false">IF($G23="","",IF($B23&lt;&gt;"설치","",IF($G23="PIPE","PIPE",IF($G23="VALVE",IF(ISNUMBER(SEARCH("GLOBE",$H23)),"GLOBE",IF(ISNUMBER(SEARCH("GATE",$H23)),"GATE",IF(ISNUMBER(SEARCH("BUTTER",$H23)),"BFLY","VALVE기타"))),IF($G23="FITTING",IF(LEFT($H23,5)="ELBOW",IF($AE23=90,"90EL",IF($AE23=45,"45EL","비규격EL")),IF(LEFT($H23,6)="FLANGE","FLANGE",IF(ISNUMBER(SEARCH("TEE",$H23)),"TEE",""))),"")))))</f>
        <v>비규격EL</v>
      </c>
      <c r="AE23" s="76" t="n">
        <f aca="false">IF(AND($G23="FITTING",LEFT($H23,5)="ELBOW"),IFERROR(VALUE(LEFT(MID($H23,7,12),MIN(IFERROR(FIND("L",MID($H23,7,12)),99),IFERROR(FIND("S",MID($H23,7,12)),99),IFERROR(FIND(" ",MID($H23,7,12)),99))-1)),""),"")</f>
        <v>40</v>
      </c>
      <c r="AF23" s="77" t="n">
        <f aca="false">IF($AD23="비규격EL",N($L23)*RADIANS(N($AE23))*보온기준!$F$15*N($I23)*보온기준!$F$16/1000,0)</f>
        <v>0.502654824574367</v>
      </c>
      <c r="AG23" s="76" t="str">
        <f aca="false">IF($G23="","",IF(OR($AA23&lt;&gt;"○",LEFT($F23,3)="STS",LEFT($F23,3)="SUS",$C23="매설"),"Y","N"))</f>
        <v>Y</v>
      </c>
    </row>
    <row r="24" customFormat="false" ht="15" hidden="false" customHeight="true" outlineLevel="0" collapsed="false">
      <c r="A24" s="6" t="n">
        <v>18</v>
      </c>
      <c r="B24" s="20" t="s">
        <v>142</v>
      </c>
      <c r="C24" s="20" t="s">
        <v>702</v>
      </c>
      <c r="D24" s="19" t="s">
        <v>703</v>
      </c>
      <c r="E24" s="19" t="s">
        <v>704</v>
      </c>
      <c r="F24" s="19" t="s">
        <v>710</v>
      </c>
      <c r="G24" s="19" t="s">
        <v>708</v>
      </c>
      <c r="H24" s="32" t="s">
        <v>712</v>
      </c>
      <c r="I24" s="19" t="n">
        <v>200</v>
      </c>
      <c r="J24" s="19"/>
      <c r="K24" s="19" t="s">
        <v>85</v>
      </c>
      <c r="L24" s="73" t="n">
        <v>2</v>
      </c>
      <c r="M24" s="37" t="str">
        <f aca="false">IF($G24&lt;&gt;"PIPE","",IFERROR(1/(1/INDEX(배관단중표!$B$7:$W$41,MATCH($I24,배관단중표!$A$7:$A$41,0),MATCH(IF($J24="SPP","SPP",IF(LEFT($F24,3)="STS",IF(ISNUMBER(SEARCH("316",$F24)),"STS316","STS304"),"SPPS")&amp;"|"&amp;$J24),배관단중표!$B$6:$W$6,0))),"DB확인"))</f>
        <v/>
      </c>
      <c r="N24" s="74" t="n">
        <v>20.2</v>
      </c>
      <c r="O24" s="56"/>
      <c r="P24" s="54" t="n">
        <f aca="false">IF($G24="","",IFERROR(IF(O24&lt;&gt;"",O24,L24*IF(G24="PIPE",M24,N24)),0))</f>
        <v>40.4</v>
      </c>
      <c r="Q24" s="6" t="str">
        <f aca="false">IF($G24="","",IF(G24="PIPE","P","F"))</f>
        <v>F</v>
      </c>
      <c r="R24" s="35" t="str">
        <f aca="false">IF($G24&lt;&gt;"PIPE","",IFERROR(IF(O24&lt;&gt;"",O24/M24,IF(K24="M",L24,"")),""))</f>
        <v/>
      </c>
      <c r="S24" s="6" t="str">
        <f aca="false">IF($G24&lt;&gt;"PIPE","",IF(AND($AA24="○",OR($W24&lt;&gt;"○",배관기준!$AG$17="N"),$C24&lt;&gt;"매설",LEFT($F24,3)&lt;&gt;"STS",LEFT($F24,3)&lt;&gt;"SUS"),"Y","N"))</f>
        <v/>
      </c>
      <c r="T24" s="16"/>
      <c r="U24" s="19" t="s">
        <v>705</v>
      </c>
      <c r="V24" s="19"/>
      <c r="W24" s="6" t="str">
        <f aca="false">IF($G24="","",IFERROR(INDEX(배관집계!$AC$7:$AC$32,MATCH($AC24,배관집계!$AJ$7:$AJ$32,0))&amp;"",""))</f>
        <v>○</v>
      </c>
      <c r="X24" s="6" t="str">
        <f aca="false">IF($G24="","",IFERROR(INDEX(배관집계!$AD$7:$AD$32,MATCH($AC24,배관집계!$AJ$7:$AJ$32,0))&amp;"",""))</f>
        <v>○</v>
      </c>
      <c r="Y24" s="6" t="str">
        <f aca="false">IF($G24="","",IFERROR(INDEX(배관집계!$AE$7:$AE$32,MATCH($AC24,배관집계!$AJ$7:$AJ$32,0))&amp;"",""))</f>
        <v>×</v>
      </c>
      <c r="Z24" s="6" t="str">
        <f aca="false">IF($G24="","",IFERROR(INDEX(배관집계!$AF$7:$AF$32,MATCH($AC24,배관집계!$AJ$7:$AJ$32,0))&amp;"",""))</f>
        <v>○</v>
      </c>
      <c r="AA24" s="6" t="str">
        <f aca="false">IF($G24="","",IFERROR(INDEX(배관집계!$AG$7:$AG$32,MATCH($AC24,배관집계!$AJ$7:$AJ$32,0))&amp;"",""))</f>
        <v>×</v>
      </c>
      <c r="AB24" s="6" t="str">
        <f aca="false">IF($G24="","",IFERROR(INDEX(배관집계!$AH$7:$AH$32,MATCH($AC24,배관집계!$AJ$7:$AJ$32,0))&amp;"",""))</f>
        <v>C/C</v>
      </c>
      <c r="AC24" s="75" t="str">
        <f aca="false">IF($G24="","",$B24&amp;"|"&amp;$C24&amp;"|"&amp;$E24&amp;"|"&amp;$U24&amp;"|"&amp;$I24)</f>
        <v>설치|옥외|5kg/cm2이상|STPG370S|200</v>
      </c>
      <c r="AD24" s="76" t="str">
        <f aca="false">IF($G24="","",IF($B24&lt;&gt;"설치","",IF($G24="PIPE","PIPE",IF($G24="VALVE",IF(ISNUMBER(SEARCH("GLOBE",$H24)),"GLOBE",IF(ISNUMBER(SEARCH("GATE",$H24)),"GATE",IF(ISNUMBER(SEARCH("BUTTER",$H24)),"BFLY","VALVE기타"))),IF($G24="FITTING",IF(LEFT($H24,5)="ELBOW",IF($AE24=90,"90EL",IF($AE24=45,"45EL","비규격EL")),IF(LEFT($H24,6)="FLANGE","FLANGE",IF(ISNUMBER(SEARCH("TEE",$H24)),"TEE",""))),"")))))</f>
        <v>90EL</v>
      </c>
      <c r="AE24" s="76" t="n">
        <f aca="false">IF(AND($G24="FITTING",LEFT($H24,5)="ELBOW"),IFERROR(VALUE(LEFT(MID($H24,7,12),MIN(IFERROR(FIND("L",MID($H24,7,12)),99),IFERROR(FIND("S",MID($H24,7,12)),99),IFERROR(FIND(" ",MID($H24,7,12)),99))-1)),""),"")</f>
        <v>90</v>
      </c>
      <c r="AF24" s="77" t="n">
        <f aca="false">IF($AD24="비규격EL",N($L24)*RADIANS(N($AE24))*보온기준!$F$15*N($I24)*보온기준!$F$16/1000,0)</f>
        <v>0</v>
      </c>
      <c r="AG24" s="76" t="str">
        <f aca="false">IF($G24="","",IF(OR($AA24&lt;&gt;"○",LEFT($F24,3)="STS",LEFT($F24,3)="SUS",$C24="매설"),"Y","N"))</f>
        <v>Y</v>
      </c>
    </row>
    <row r="25" customFormat="false" ht="15" hidden="false" customHeight="true" outlineLevel="0" collapsed="false">
      <c r="A25" s="6" t="n">
        <v>19</v>
      </c>
      <c r="B25" s="20" t="s">
        <v>142</v>
      </c>
      <c r="C25" s="20" t="s">
        <v>702</v>
      </c>
      <c r="D25" s="19" t="s">
        <v>703</v>
      </c>
      <c r="E25" s="19" t="s">
        <v>704</v>
      </c>
      <c r="F25" s="19" t="s">
        <v>710</v>
      </c>
      <c r="G25" s="19" t="s">
        <v>708</v>
      </c>
      <c r="H25" s="32" t="s">
        <v>714</v>
      </c>
      <c r="I25" s="19" t="n">
        <v>250</v>
      </c>
      <c r="J25" s="19"/>
      <c r="K25" s="19" t="s">
        <v>85</v>
      </c>
      <c r="L25" s="73" t="n">
        <v>2</v>
      </c>
      <c r="M25" s="37" t="str">
        <f aca="false">IF($G25&lt;&gt;"PIPE","",IFERROR(1/(1/INDEX(배관단중표!$B$7:$W$41,MATCH($I25,배관단중표!$A$7:$A$41,0),MATCH(IF($J25="SPP","SPP",IF(LEFT($F25,3)="STS",IF(ISNUMBER(SEARCH("316",$F25)),"STS316","STS304"),"SPPS")&amp;"|"&amp;$J25),배관단중표!$B$6:$W$6,0))),"DB확인"))</f>
        <v/>
      </c>
      <c r="N25" s="74" t="n">
        <v>17.7</v>
      </c>
      <c r="O25" s="56"/>
      <c r="P25" s="54" t="n">
        <f aca="false">IF($G25="","",IFERROR(IF(O25&lt;&gt;"",O25,L25*IF(G25="PIPE",M25,N25)),0))</f>
        <v>35.4</v>
      </c>
      <c r="Q25" s="6" t="str">
        <f aca="false">IF($G25="","",IF(G25="PIPE","P","F"))</f>
        <v>F</v>
      </c>
      <c r="R25" s="35" t="str">
        <f aca="false">IF($G25&lt;&gt;"PIPE","",IFERROR(IF(O25&lt;&gt;"",O25/M25,IF(K25="M",L25,"")),""))</f>
        <v/>
      </c>
      <c r="S25" s="6" t="str">
        <f aca="false">IF($G25&lt;&gt;"PIPE","",IF(AND($AA25="○",OR($W25&lt;&gt;"○",배관기준!$AG$17="N"),$C25&lt;&gt;"매설",LEFT($F25,3)&lt;&gt;"STS",LEFT($F25,3)&lt;&gt;"SUS"),"Y","N"))</f>
        <v/>
      </c>
      <c r="T25" s="16"/>
      <c r="U25" s="19" t="s">
        <v>705</v>
      </c>
      <c r="V25" s="19"/>
      <c r="W25" s="6" t="str">
        <f aca="false">IF($G25="","",IFERROR(INDEX(배관집계!$AC$7:$AC$32,MATCH($AC25,배관집계!$AJ$7:$AJ$32,0))&amp;"",""))</f>
        <v>○</v>
      </c>
      <c r="X25" s="6" t="str">
        <f aca="false">IF($G25="","",IFERROR(INDEX(배관집계!$AD$7:$AD$32,MATCH($AC25,배관집계!$AJ$7:$AJ$32,0))&amp;"",""))</f>
        <v>○</v>
      </c>
      <c r="Y25" s="6" t="str">
        <f aca="false">IF($G25="","",IFERROR(INDEX(배관집계!$AE$7:$AE$32,MATCH($AC25,배관집계!$AJ$7:$AJ$32,0))&amp;"",""))</f>
        <v>×</v>
      </c>
      <c r="Z25" s="6" t="str">
        <f aca="false">IF($G25="","",IFERROR(INDEX(배관집계!$AF$7:$AF$32,MATCH($AC25,배관집계!$AJ$7:$AJ$32,0))&amp;"",""))</f>
        <v>○</v>
      </c>
      <c r="AA25" s="6" t="str">
        <f aca="false">IF($G25="","",IFERROR(INDEX(배관집계!$AG$7:$AG$32,MATCH($AC25,배관집계!$AJ$7:$AJ$32,0))&amp;"",""))</f>
        <v>×</v>
      </c>
      <c r="AB25" s="6" t="str">
        <f aca="false">IF($G25="","",IFERROR(INDEX(배관집계!$AH$7:$AH$32,MATCH($AC25,배관집계!$AJ$7:$AJ$32,0))&amp;"",""))</f>
        <v>C/C</v>
      </c>
      <c r="AC25" s="75" t="str">
        <f aca="false">IF($G25="","",$B25&amp;"|"&amp;$C25&amp;"|"&amp;$E25&amp;"|"&amp;$U25&amp;"|"&amp;$I25)</f>
        <v>설치|옥외|5kg/cm2이상|STPG370S|250</v>
      </c>
      <c r="AD25" s="76" t="str">
        <f aca="false">IF($G25="","",IF($B25&lt;&gt;"설치","",IF($G25="PIPE","PIPE",IF($G25="VALVE",IF(ISNUMBER(SEARCH("GLOBE",$H25)),"GLOBE",IF(ISNUMBER(SEARCH("GATE",$H25)),"GATE",IF(ISNUMBER(SEARCH("BUTTER",$H25)),"BFLY","VALVE기타"))),IF($G25="FITTING",IF(LEFT($H25,5)="ELBOW",IF($AE25=90,"90EL",IF($AE25=45,"45EL","비규격EL")),IF(LEFT($H25,6)="FLANGE","FLANGE",IF(ISNUMBER(SEARCH("TEE",$H25)),"TEE",""))),"")))))</f>
        <v>45EL</v>
      </c>
      <c r="AE25" s="76" t="n">
        <f aca="false">IF(AND($G25="FITTING",LEFT($H25,5)="ELBOW"),IFERROR(VALUE(LEFT(MID($H25,7,12),MIN(IFERROR(FIND("L",MID($H25,7,12)),99),IFERROR(FIND("S",MID($H25,7,12)),99),IFERROR(FIND(" ",MID($H25,7,12)),99))-1)),""),"")</f>
        <v>45</v>
      </c>
      <c r="AF25" s="77" t="n">
        <f aca="false">IF($AD25="비규격EL",N($L25)*RADIANS(N($AE25))*보온기준!$F$15*N($I25)*보온기준!$F$16/1000,0)</f>
        <v>0</v>
      </c>
      <c r="AG25" s="76" t="str">
        <f aca="false">IF($G25="","",IF(OR($AA25&lt;&gt;"○",LEFT($F25,3)="STS",LEFT($F25,3)="SUS",$C25="매설"),"Y","N"))</f>
        <v>Y</v>
      </c>
    </row>
    <row r="26" customFormat="false" ht="15" hidden="false" customHeight="true" outlineLevel="0" collapsed="false">
      <c r="A26" s="6" t="n">
        <v>20</v>
      </c>
      <c r="B26" s="20" t="s">
        <v>142</v>
      </c>
      <c r="C26" s="20" t="s">
        <v>702</v>
      </c>
      <c r="D26" s="19" t="s">
        <v>703</v>
      </c>
      <c r="E26" s="19" t="s">
        <v>704</v>
      </c>
      <c r="F26" s="19" t="s">
        <v>710</v>
      </c>
      <c r="G26" s="19" t="s">
        <v>708</v>
      </c>
      <c r="H26" s="32" t="s">
        <v>718</v>
      </c>
      <c r="I26" s="19" t="n">
        <v>250</v>
      </c>
      <c r="J26" s="19"/>
      <c r="K26" s="19" t="s">
        <v>85</v>
      </c>
      <c r="L26" s="73" t="n">
        <v>1</v>
      </c>
      <c r="M26" s="37" t="str">
        <f aca="false">IF($G26&lt;&gt;"PIPE","",IFERROR(1/(1/INDEX(배관단중표!$B$7:$W$41,MATCH($I26,배관단중표!$A$7:$A$41,0),MATCH(IF($J26="SPP","SPP",IF(LEFT($F26,3)="STS",IF(ISNUMBER(SEARCH("316",$F26)),"STS316","STS304"),"SPPS")&amp;"|"&amp;$J26),배관단중표!$B$6:$W$6,0))),"DB확인"))</f>
        <v/>
      </c>
      <c r="N26" s="74" t="n">
        <v>17.7</v>
      </c>
      <c r="O26" s="56"/>
      <c r="P26" s="54" t="n">
        <f aca="false">IF($G26="","",IFERROR(IF(O26&lt;&gt;"",O26,L26*IF(G26="PIPE",M26,N26)),0))</f>
        <v>17.7</v>
      </c>
      <c r="Q26" s="6" t="str">
        <f aca="false">IF($G26="","",IF(G26="PIPE","P","F"))</f>
        <v>F</v>
      </c>
      <c r="R26" s="35" t="str">
        <f aca="false">IF($G26&lt;&gt;"PIPE","",IFERROR(IF(O26&lt;&gt;"",O26/M26,IF(K26="M",L26,"")),""))</f>
        <v/>
      </c>
      <c r="S26" s="6" t="str">
        <f aca="false">IF($G26&lt;&gt;"PIPE","",IF(AND($AA26="○",OR($W26&lt;&gt;"○",배관기준!$AG$17="N"),$C26&lt;&gt;"매설",LEFT($F26,3)&lt;&gt;"STS",LEFT($F26,3)&lt;&gt;"SUS"),"Y","N"))</f>
        <v/>
      </c>
      <c r="T26" s="16"/>
      <c r="U26" s="19" t="s">
        <v>705</v>
      </c>
      <c r="V26" s="19"/>
      <c r="W26" s="6" t="str">
        <f aca="false">IF($G26="","",IFERROR(INDEX(배관집계!$AC$7:$AC$32,MATCH($AC26,배관집계!$AJ$7:$AJ$32,0))&amp;"",""))</f>
        <v>○</v>
      </c>
      <c r="X26" s="6" t="str">
        <f aca="false">IF($G26="","",IFERROR(INDEX(배관집계!$AD$7:$AD$32,MATCH($AC26,배관집계!$AJ$7:$AJ$32,0))&amp;"",""))</f>
        <v>○</v>
      </c>
      <c r="Y26" s="6" t="str">
        <f aca="false">IF($G26="","",IFERROR(INDEX(배관집계!$AE$7:$AE$32,MATCH($AC26,배관집계!$AJ$7:$AJ$32,0))&amp;"",""))</f>
        <v>×</v>
      </c>
      <c r="Z26" s="6" t="str">
        <f aca="false">IF($G26="","",IFERROR(INDEX(배관집계!$AF$7:$AF$32,MATCH($AC26,배관집계!$AJ$7:$AJ$32,0))&amp;"",""))</f>
        <v>○</v>
      </c>
      <c r="AA26" s="6" t="str">
        <f aca="false">IF($G26="","",IFERROR(INDEX(배관집계!$AG$7:$AG$32,MATCH($AC26,배관집계!$AJ$7:$AJ$32,0))&amp;"",""))</f>
        <v>×</v>
      </c>
      <c r="AB26" s="6" t="str">
        <f aca="false">IF($G26="","",IFERROR(INDEX(배관집계!$AH$7:$AH$32,MATCH($AC26,배관집계!$AJ$7:$AJ$32,0))&amp;"",""))</f>
        <v>C/C</v>
      </c>
      <c r="AC26" s="75" t="str">
        <f aca="false">IF($G26="","",$B26&amp;"|"&amp;$C26&amp;"|"&amp;$E26&amp;"|"&amp;$U26&amp;"|"&amp;$I26)</f>
        <v>설치|옥외|5kg/cm2이상|STPG370S|250</v>
      </c>
      <c r="AD26" s="76" t="str">
        <f aca="false">IF($G26="","",IF($B26&lt;&gt;"설치","",IF($G26="PIPE","PIPE",IF($G26="VALVE",IF(ISNUMBER(SEARCH("GLOBE",$H26)),"GLOBE",IF(ISNUMBER(SEARCH("GATE",$H26)),"GATE",IF(ISNUMBER(SEARCH("BUTTER",$H26)),"BFLY","VALVE기타"))),IF($G26="FITTING",IF(LEFT($H26,5)="ELBOW",IF($AE26=90,"90EL",IF($AE26=45,"45EL","비규격EL")),IF(LEFT($H26,6)="FLANGE","FLANGE",IF(ISNUMBER(SEARCH("TEE",$H26)),"TEE",""))),"")))))</f>
        <v>비규격EL</v>
      </c>
      <c r="AE26" s="76" t="n">
        <f aca="false">IF(AND($G26="FITTING",LEFT($H26,5)="ELBOW"),IFERROR(VALUE(LEFT(MID($H26,7,12),MIN(IFERROR(FIND("L",MID($H26,7,12)),99),IFERROR(FIND("S",MID($H26,7,12)),99),IFERROR(FIND(" ",MID($H26,7,12)),99))-1)),""),"")</f>
        <v>55</v>
      </c>
      <c r="AF26" s="77" t="n">
        <f aca="false">IF($AD26="비규격EL",N($L26)*RADIANS(N($AE26))*보온기준!$F$15*N($I26)*보온기준!$F$16/1000,0)</f>
        <v>0.431968989868597</v>
      </c>
      <c r="AG26" s="76" t="str">
        <f aca="false">IF($G26="","",IF(OR($AA26&lt;&gt;"○",LEFT($F26,3)="STS",LEFT($F26,3)="SUS",$C26="매설"),"Y","N"))</f>
        <v>Y</v>
      </c>
    </row>
    <row r="27" customFormat="false" ht="15" hidden="false" customHeight="true" outlineLevel="0" collapsed="false">
      <c r="A27" s="6" t="n">
        <v>21</v>
      </c>
      <c r="B27" s="20" t="s">
        <v>142</v>
      </c>
      <c r="C27" s="20" t="s">
        <v>702</v>
      </c>
      <c r="D27" s="19" t="s">
        <v>703</v>
      </c>
      <c r="E27" s="19" t="s">
        <v>704</v>
      </c>
      <c r="F27" s="19" t="s">
        <v>710</v>
      </c>
      <c r="G27" s="19" t="s">
        <v>708</v>
      </c>
      <c r="H27" s="32" t="s">
        <v>719</v>
      </c>
      <c r="I27" s="19" t="n">
        <v>250</v>
      </c>
      <c r="J27" s="19"/>
      <c r="K27" s="19" t="s">
        <v>85</v>
      </c>
      <c r="L27" s="73" t="n">
        <v>2</v>
      </c>
      <c r="M27" s="37" t="str">
        <f aca="false">IF($G27&lt;&gt;"PIPE","",IFERROR(1/(1/INDEX(배관단중표!$B$7:$W$41,MATCH($I27,배관단중표!$A$7:$A$41,0),MATCH(IF($J27="SPP","SPP",IF(LEFT($F27,3)="STS",IF(ISNUMBER(SEARCH("316",$F27)),"STS316","STS304"),"SPPS")&amp;"|"&amp;$J27),배관단중표!$B$6:$W$6,0))),"DB확인"))</f>
        <v/>
      </c>
      <c r="N27" s="74" t="n">
        <v>18.2</v>
      </c>
      <c r="O27" s="56"/>
      <c r="P27" s="54" t="n">
        <f aca="false">IF($G27="","",IFERROR(IF(O27&lt;&gt;"",O27,L27*IF(G27="PIPE",M27,N27)),0))</f>
        <v>36.4</v>
      </c>
      <c r="Q27" s="6" t="str">
        <f aca="false">IF($G27="","",IF(G27="PIPE","P","F"))</f>
        <v>F</v>
      </c>
      <c r="R27" s="35" t="str">
        <f aca="false">IF($G27&lt;&gt;"PIPE","",IFERROR(IF(O27&lt;&gt;"",O27/M27,IF(K27="M",L27,"")),""))</f>
        <v/>
      </c>
      <c r="S27" s="6" t="str">
        <f aca="false">IF($G27&lt;&gt;"PIPE","",IF(AND($AA27="○",OR($W27&lt;&gt;"○",배관기준!$AG$17="N"),$C27&lt;&gt;"매설",LEFT($F27,3)&lt;&gt;"STS",LEFT($F27,3)&lt;&gt;"SUS"),"Y","N"))</f>
        <v/>
      </c>
      <c r="T27" s="16"/>
      <c r="U27" s="19" t="s">
        <v>705</v>
      </c>
      <c r="V27" s="19"/>
      <c r="W27" s="6" t="str">
        <f aca="false">IF($G27="","",IFERROR(INDEX(배관집계!$AC$7:$AC$32,MATCH($AC27,배관집계!$AJ$7:$AJ$32,0))&amp;"",""))</f>
        <v>○</v>
      </c>
      <c r="X27" s="6" t="str">
        <f aca="false">IF($G27="","",IFERROR(INDEX(배관집계!$AD$7:$AD$32,MATCH($AC27,배관집계!$AJ$7:$AJ$32,0))&amp;"",""))</f>
        <v>○</v>
      </c>
      <c r="Y27" s="6" t="str">
        <f aca="false">IF($G27="","",IFERROR(INDEX(배관집계!$AE$7:$AE$32,MATCH($AC27,배관집계!$AJ$7:$AJ$32,0))&amp;"",""))</f>
        <v>×</v>
      </c>
      <c r="Z27" s="6" t="str">
        <f aca="false">IF($G27="","",IFERROR(INDEX(배관집계!$AF$7:$AF$32,MATCH($AC27,배관집계!$AJ$7:$AJ$32,0))&amp;"",""))</f>
        <v>○</v>
      </c>
      <c r="AA27" s="6" t="str">
        <f aca="false">IF($G27="","",IFERROR(INDEX(배관집계!$AG$7:$AG$32,MATCH($AC27,배관집계!$AJ$7:$AJ$32,0))&amp;"",""))</f>
        <v>×</v>
      </c>
      <c r="AB27" s="6" t="str">
        <f aca="false">IF($G27="","",IFERROR(INDEX(배관집계!$AH$7:$AH$32,MATCH($AC27,배관집계!$AJ$7:$AJ$32,0))&amp;"",""))</f>
        <v>C/C</v>
      </c>
      <c r="AC27" s="75" t="str">
        <f aca="false">IF($G27="","",$B27&amp;"|"&amp;$C27&amp;"|"&amp;$E27&amp;"|"&amp;$U27&amp;"|"&amp;$I27)</f>
        <v>설치|옥외|5kg/cm2이상|STPG370S|250</v>
      </c>
      <c r="AD27" s="76" t="str">
        <f aca="false">IF($G27="","",IF($B27&lt;&gt;"설치","",IF($G27="PIPE","PIPE",IF($G27="VALVE",IF(ISNUMBER(SEARCH("GLOBE",$H27)),"GLOBE",IF(ISNUMBER(SEARCH("GATE",$H27)),"GATE",IF(ISNUMBER(SEARCH("BUTTER",$H27)),"BFLY","VALVE기타"))),IF($G27="FITTING",IF(LEFT($H27,5)="ELBOW",IF($AE27=90,"90EL",IF($AE27=45,"45EL","비규격EL")),IF(LEFT($H27,6)="FLANGE","FLANGE",IF(ISNUMBER(SEARCH("TEE",$H27)),"TEE",""))),"")))))</f>
        <v>비규격EL</v>
      </c>
      <c r="AE27" s="76" t="n">
        <f aca="false">IF(AND($G27="FITTING",LEFT($H27,5)="ELBOW"),IFERROR(VALUE(LEFT(MID($H27,7,12),MIN(IFERROR(FIND("L",MID($H27,7,12)),99),IFERROR(FIND("S",MID($H27,7,12)),99),IFERROR(FIND(" ",MID($H27,7,12)),99))-1)),""),"")</f>
        <v>70</v>
      </c>
      <c r="AF27" s="77" t="n">
        <f aca="false">IF($AD27="비규격EL",N($L27)*RADIANS(N($AE27))*보온기준!$F$15*N($I27)*보온기준!$F$16/1000,0)</f>
        <v>1.09955742875643</v>
      </c>
      <c r="AG27" s="76" t="str">
        <f aca="false">IF($G27="","",IF(OR($AA27&lt;&gt;"○",LEFT($F27,3)="STS",LEFT($F27,3)="SUS",$C27="매설"),"Y","N"))</f>
        <v>Y</v>
      </c>
    </row>
    <row r="28" customFormat="false" ht="15" hidden="false" customHeight="true" outlineLevel="0" collapsed="false">
      <c r="A28" s="6" t="n">
        <v>22</v>
      </c>
      <c r="B28" s="20" t="s">
        <v>142</v>
      </c>
      <c r="C28" s="20" t="s">
        <v>702</v>
      </c>
      <c r="D28" s="19" t="s">
        <v>703</v>
      </c>
      <c r="E28" s="19" t="s">
        <v>704</v>
      </c>
      <c r="F28" s="19" t="s">
        <v>710</v>
      </c>
      <c r="G28" s="19" t="s">
        <v>708</v>
      </c>
      <c r="H28" s="32" t="s">
        <v>712</v>
      </c>
      <c r="I28" s="19" t="n">
        <v>250</v>
      </c>
      <c r="J28" s="19"/>
      <c r="K28" s="19" t="s">
        <v>85</v>
      </c>
      <c r="L28" s="73" t="n">
        <v>1</v>
      </c>
      <c r="M28" s="37" t="str">
        <f aca="false">IF($G28&lt;&gt;"PIPE","",IFERROR(1/(1/INDEX(배관단중표!$B$7:$W$41,MATCH($I28,배관단중표!$A$7:$A$41,0),MATCH(IF($J28="SPP","SPP",IF(LEFT($F28,3)="STS",IF(ISNUMBER(SEARCH("316",$F28)),"STS316","STS304"),"SPPS")&amp;"|"&amp;$J28),배관단중표!$B$6:$W$6,0))),"DB확인"))</f>
        <v/>
      </c>
      <c r="N28" s="74" t="n">
        <v>20.2</v>
      </c>
      <c r="O28" s="56"/>
      <c r="P28" s="54" t="n">
        <f aca="false">IF($G28="","",IFERROR(IF(O28&lt;&gt;"",O28,L28*IF(G28="PIPE",M28,N28)),0))</f>
        <v>20.2</v>
      </c>
      <c r="Q28" s="6" t="str">
        <f aca="false">IF($G28="","",IF(G28="PIPE","P","F"))</f>
        <v>F</v>
      </c>
      <c r="R28" s="35" t="str">
        <f aca="false">IF($G28&lt;&gt;"PIPE","",IFERROR(IF(O28&lt;&gt;"",O28/M28,IF(K28="M",L28,"")),""))</f>
        <v/>
      </c>
      <c r="S28" s="6" t="str">
        <f aca="false">IF($G28&lt;&gt;"PIPE","",IF(AND($AA28="○",OR($W28&lt;&gt;"○",배관기준!$AG$17="N"),$C28&lt;&gt;"매설",LEFT($F28,3)&lt;&gt;"STS",LEFT($F28,3)&lt;&gt;"SUS"),"Y","N"))</f>
        <v/>
      </c>
      <c r="T28" s="16"/>
      <c r="U28" s="19" t="s">
        <v>705</v>
      </c>
      <c r="V28" s="19"/>
      <c r="W28" s="6" t="str">
        <f aca="false">IF($G28="","",IFERROR(INDEX(배관집계!$AC$7:$AC$32,MATCH($AC28,배관집계!$AJ$7:$AJ$32,0))&amp;"",""))</f>
        <v>○</v>
      </c>
      <c r="X28" s="6" t="str">
        <f aca="false">IF($G28="","",IFERROR(INDEX(배관집계!$AD$7:$AD$32,MATCH($AC28,배관집계!$AJ$7:$AJ$32,0))&amp;"",""))</f>
        <v>○</v>
      </c>
      <c r="Y28" s="6" t="str">
        <f aca="false">IF($G28="","",IFERROR(INDEX(배관집계!$AE$7:$AE$32,MATCH($AC28,배관집계!$AJ$7:$AJ$32,0))&amp;"",""))</f>
        <v>×</v>
      </c>
      <c r="Z28" s="6" t="str">
        <f aca="false">IF($G28="","",IFERROR(INDEX(배관집계!$AF$7:$AF$32,MATCH($AC28,배관집계!$AJ$7:$AJ$32,0))&amp;"",""))</f>
        <v>○</v>
      </c>
      <c r="AA28" s="6" t="str">
        <f aca="false">IF($G28="","",IFERROR(INDEX(배관집계!$AG$7:$AG$32,MATCH($AC28,배관집계!$AJ$7:$AJ$32,0))&amp;"",""))</f>
        <v>×</v>
      </c>
      <c r="AB28" s="6" t="str">
        <f aca="false">IF($G28="","",IFERROR(INDEX(배관집계!$AH$7:$AH$32,MATCH($AC28,배관집계!$AJ$7:$AJ$32,0))&amp;"",""))</f>
        <v>C/C</v>
      </c>
      <c r="AC28" s="75" t="str">
        <f aca="false">IF($G28="","",$B28&amp;"|"&amp;$C28&amp;"|"&amp;$E28&amp;"|"&amp;$U28&amp;"|"&amp;$I28)</f>
        <v>설치|옥외|5kg/cm2이상|STPG370S|250</v>
      </c>
      <c r="AD28" s="76" t="str">
        <f aca="false">IF($G28="","",IF($B28&lt;&gt;"설치","",IF($G28="PIPE","PIPE",IF($G28="VALVE",IF(ISNUMBER(SEARCH("GLOBE",$H28)),"GLOBE",IF(ISNUMBER(SEARCH("GATE",$H28)),"GATE",IF(ISNUMBER(SEARCH("BUTTER",$H28)),"BFLY","VALVE기타"))),IF($G28="FITTING",IF(LEFT($H28,5)="ELBOW",IF($AE28=90,"90EL",IF($AE28=45,"45EL","비규격EL")),IF(LEFT($H28,6)="FLANGE","FLANGE",IF(ISNUMBER(SEARCH("TEE",$H28)),"TEE",""))),"")))))</f>
        <v>90EL</v>
      </c>
      <c r="AE28" s="76" t="n">
        <f aca="false">IF(AND($G28="FITTING",LEFT($H28,5)="ELBOW"),IFERROR(VALUE(LEFT(MID($H28,7,12),MIN(IFERROR(FIND("L",MID($H28,7,12)),99),IFERROR(FIND("S",MID($H28,7,12)),99),IFERROR(FIND(" ",MID($H28,7,12)),99))-1)),""),"")</f>
        <v>90</v>
      </c>
      <c r="AF28" s="77" t="n">
        <f aca="false">IF($AD28="비규격EL",N($L28)*RADIANS(N($AE28))*보온기준!$F$15*N($I28)*보온기준!$F$16/1000,0)</f>
        <v>0</v>
      </c>
      <c r="AG28" s="76" t="str">
        <f aca="false">IF($G28="","",IF(OR($AA28&lt;&gt;"○",LEFT($F28,3)="STS",LEFT($F28,3)="SUS",$C28="매설"),"Y","N"))</f>
        <v>Y</v>
      </c>
    </row>
    <row r="29" customFormat="false" ht="15" hidden="false" customHeight="true" outlineLevel="0" collapsed="false">
      <c r="A29" s="6" t="n">
        <v>23</v>
      </c>
      <c r="B29" s="20" t="s">
        <v>142</v>
      </c>
      <c r="C29" s="20" t="s">
        <v>702</v>
      </c>
      <c r="D29" s="19" t="s">
        <v>703</v>
      </c>
      <c r="E29" s="19" t="s">
        <v>704</v>
      </c>
      <c r="F29" s="19" t="s">
        <v>710</v>
      </c>
      <c r="G29" s="19" t="s">
        <v>708</v>
      </c>
      <c r="H29" s="32" t="s">
        <v>714</v>
      </c>
      <c r="I29" s="19" t="n">
        <v>300</v>
      </c>
      <c r="J29" s="19"/>
      <c r="K29" s="19" t="s">
        <v>85</v>
      </c>
      <c r="L29" s="73" t="n">
        <v>1</v>
      </c>
      <c r="M29" s="37" t="str">
        <f aca="false">IF($G29&lt;&gt;"PIPE","",IFERROR(1/(1/INDEX(배관단중표!$B$7:$W$41,MATCH($I29,배관단중표!$A$7:$A$41,0),MATCH(IF($J29="SPP","SPP",IF(LEFT($F29,3)="STS",IF(ISNUMBER(SEARCH("316",$F29)),"STS316","STS304"),"SPPS")&amp;"|"&amp;$J29),배관단중표!$B$6:$W$6,0))),"DB확인"))</f>
        <v/>
      </c>
      <c r="N29" s="74" t="n">
        <v>28</v>
      </c>
      <c r="O29" s="56"/>
      <c r="P29" s="54" t="n">
        <f aca="false">IF($G29="","",IFERROR(IF(O29&lt;&gt;"",O29,L29*IF(G29="PIPE",M29,N29)),0))</f>
        <v>28</v>
      </c>
      <c r="Q29" s="6" t="str">
        <f aca="false">IF($G29="","",IF(G29="PIPE","P","F"))</f>
        <v>F</v>
      </c>
      <c r="R29" s="35" t="str">
        <f aca="false">IF($G29&lt;&gt;"PIPE","",IFERROR(IF(O29&lt;&gt;"",O29/M29,IF(K29="M",L29,"")),""))</f>
        <v/>
      </c>
      <c r="S29" s="6" t="str">
        <f aca="false">IF($G29&lt;&gt;"PIPE","",IF(AND($AA29="○",OR($W29&lt;&gt;"○",배관기준!$AG$17="N"),$C29&lt;&gt;"매설",LEFT($F29,3)&lt;&gt;"STS",LEFT($F29,3)&lt;&gt;"SUS"),"Y","N"))</f>
        <v/>
      </c>
      <c r="T29" s="16"/>
      <c r="U29" s="19" t="s">
        <v>705</v>
      </c>
      <c r="V29" s="19"/>
      <c r="W29" s="6" t="str">
        <f aca="false">IF($G29="","",IFERROR(INDEX(배관집계!$AC$7:$AC$32,MATCH($AC29,배관집계!$AJ$7:$AJ$32,0))&amp;"",""))</f>
        <v>×</v>
      </c>
      <c r="X29" s="6" t="str">
        <f aca="false">IF($G29="","",IFERROR(INDEX(배관집계!$AD$7:$AD$32,MATCH($AC29,배관집계!$AJ$7:$AJ$32,0))&amp;"",""))</f>
        <v>○</v>
      </c>
      <c r="Y29" s="6" t="str">
        <f aca="false">IF($G29="","",IFERROR(INDEX(배관집계!$AE$7:$AE$32,MATCH($AC29,배관집계!$AJ$7:$AJ$32,0))&amp;"",""))</f>
        <v>×</v>
      </c>
      <c r="Z29" s="6" t="str">
        <f aca="false">IF($G29="","",IFERROR(INDEX(배관집계!$AF$7:$AF$32,MATCH($AC29,배관집계!$AJ$7:$AJ$32,0))&amp;"",""))</f>
        <v>○</v>
      </c>
      <c r="AA29" s="6" t="str">
        <f aca="false">IF($G29="","",IFERROR(INDEX(배관집계!$AG$7:$AG$32,MATCH($AC29,배관집계!$AJ$7:$AJ$32,0))&amp;"",""))</f>
        <v>○</v>
      </c>
      <c r="AB29" s="6" t="str">
        <f aca="false">IF($G29="","",IFERROR(INDEX(배관집계!$AH$7:$AH$32,MATCH($AC29,배관집계!$AJ$7:$AJ$32,0))&amp;"",""))</f>
        <v>C/C</v>
      </c>
      <c r="AC29" s="75" t="str">
        <f aca="false">IF($G29="","",$B29&amp;"|"&amp;$C29&amp;"|"&amp;$E29&amp;"|"&amp;$U29&amp;"|"&amp;$I29)</f>
        <v>설치|옥외|5kg/cm2이상|STPG370S|300</v>
      </c>
      <c r="AD29" s="76" t="str">
        <f aca="false">IF($G29="","",IF($B29&lt;&gt;"설치","",IF($G29="PIPE","PIPE",IF($G29="VALVE",IF(ISNUMBER(SEARCH("GLOBE",$H29)),"GLOBE",IF(ISNUMBER(SEARCH("GATE",$H29)),"GATE",IF(ISNUMBER(SEARCH("BUTTER",$H29)),"BFLY","VALVE기타"))),IF($G29="FITTING",IF(LEFT($H29,5)="ELBOW",IF($AE29=90,"90EL",IF($AE29=45,"45EL","비규격EL")),IF(LEFT($H29,6)="FLANGE","FLANGE",IF(ISNUMBER(SEARCH("TEE",$H29)),"TEE",""))),"")))))</f>
        <v>45EL</v>
      </c>
      <c r="AE29" s="76" t="n">
        <f aca="false">IF(AND($G29="FITTING",LEFT($H29,5)="ELBOW"),IFERROR(VALUE(LEFT(MID($H29,7,12),MIN(IFERROR(FIND("L",MID($H29,7,12)),99),IFERROR(FIND("S",MID($H29,7,12)),99),IFERROR(FIND(" ",MID($H29,7,12)),99))-1)),""),"")</f>
        <v>45</v>
      </c>
      <c r="AF29" s="77" t="n">
        <f aca="false">IF($AD29="비규격EL",N($L29)*RADIANS(N($AE29))*보온기준!$F$15*N($I29)*보온기준!$F$16/1000,0)</f>
        <v>0</v>
      </c>
      <c r="AG29" s="76" t="str">
        <f aca="false">IF($G29="","",IF(OR($AA29&lt;&gt;"○",LEFT($F29,3)="STS",LEFT($F29,3)="SUS",$C29="매설"),"Y","N"))</f>
        <v>N</v>
      </c>
    </row>
    <row r="30" customFormat="false" ht="15" hidden="false" customHeight="true" outlineLevel="0" collapsed="false">
      <c r="A30" s="6" t="n">
        <v>24</v>
      </c>
      <c r="B30" s="20" t="s">
        <v>142</v>
      </c>
      <c r="C30" s="20" t="s">
        <v>702</v>
      </c>
      <c r="D30" s="19" t="s">
        <v>703</v>
      </c>
      <c r="E30" s="19" t="s">
        <v>704</v>
      </c>
      <c r="F30" s="19" t="s">
        <v>710</v>
      </c>
      <c r="G30" s="19" t="s">
        <v>708</v>
      </c>
      <c r="H30" s="32" t="s">
        <v>712</v>
      </c>
      <c r="I30" s="19" t="n">
        <v>300</v>
      </c>
      <c r="J30" s="19"/>
      <c r="K30" s="19" t="s">
        <v>85</v>
      </c>
      <c r="L30" s="73" t="n">
        <v>1</v>
      </c>
      <c r="M30" s="37" t="str">
        <f aca="false">IF($G30&lt;&gt;"PIPE","",IFERROR(1/(1/INDEX(배관단중표!$B$7:$W$41,MATCH($I30,배관단중표!$A$7:$A$41,0),MATCH(IF($J30="SPP","SPP",IF(LEFT($F30,3)="STS",IF(ISNUMBER(SEARCH("316",$F30)),"STS316","STS304"),"SPPS")&amp;"|"&amp;$J30),배관단중표!$B$6:$W$6,0))),"DB확인"))</f>
        <v/>
      </c>
      <c r="N30" s="74" t="n">
        <v>56.2</v>
      </c>
      <c r="O30" s="56"/>
      <c r="P30" s="54" t="n">
        <f aca="false">IF($G30="","",IFERROR(IF(O30&lt;&gt;"",O30,L30*IF(G30="PIPE",M30,N30)),0))</f>
        <v>56.2</v>
      </c>
      <c r="Q30" s="6" t="str">
        <f aca="false">IF($G30="","",IF(G30="PIPE","P","F"))</f>
        <v>F</v>
      </c>
      <c r="R30" s="35" t="str">
        <f aca="false">IF($G30&lt;&gt;"PIPE","",IFERROR(IF(O30&lt;&gt;"",O30/M30,IF(K30="M",L30,"")),""))</f>
        <v/>
      </c>
      <c r="S30" s="6" t="str">
        <f aca="false">IF($G30&lt;&gt;"PIPE","",IF(AND($AA30="○",OR($W30&lt;&gt;"○",배관기준!$AG$17="N"),$C30&lt;&gt;"매설",LEFT($F30,3)&lt;&gt;"STS",LEFT($F30,3)&lt;&gt;"SUS"),"Y","N"))</f>
        <v/>
      </c>
      <c r="T30" s="16"/>
      <c r="U30" s="19" t="s">
        <v>705</v>
      </c>
      <c r="V30" s="19"/>
      <c r="W30" s="6" t="str">
        <f aca="false">IF($G30="","",IFERROR(INDEX(배관집계!$AC$7:$AC$32,MATCH($AC30,배관집계!$AJ$7:$AJ$32,0))&amp;"",""))</f>
        <v>×</v>
      </c>
      <c r="X30" s="6" t="str">
        <f aca="false">IF($G30="","",IFERROR(INDEX(배관집계!$AD$7:$AD$32,MATCH($AC30,배관집계!$AJ$7:$AJ$32,0))&amp;"",""))</f>
        <v>○</v>
      </c>
      <c r="Y30" s="6" t="str">
        <f aca="false">IF($G30="","",IFERROR(INDEX(배관집계!$AE$7:$AE$32,MATCH($AC30,배관집계!$AJ$7:$AJ$32,0))&amp;"",""))</f>
        <v>×</v>
      </c>
      <c r="Z30" s="6" t="str">
        <f aca="false">IF($G30="","",IFERROR(INDEX(배관집계!$AF$7:$AF$32,MATCH($AC30,배관집계!$AJ$7:$AJ$32,0))&amp;"",""))</f>
        <v>○</v>
      </c>
      <c r="AA30" s="6" t="str">
        <f aca="false">IF($G30="","",IFERROR(INDEX(배관집계!$AG$7:$AG$32,MATCH($AC30,배관집계!$AJ$7:$AJ$32,0))&amp;"",""))</f>
        <v>○</v>
      </c>
      <c r="AB30" s="6" t="str">
        <f aca="false">IF($G30="","",IFERROR(INDEX(배관집계!$AH$7:$AH$32,MATCH($AC30,배관집계!$AJ$7:$AJ$32,0))&amp;"",""))</f>
        <v>C/C</v>
      </c>
      <c r="AC30" s="75" t="str">
        <f aca="false">IF($G30="","",$B30&amp;"|"&amp;$C30&amp;"|"&amp;$E30&amp;"|"&amp;$U30&amp;"|"&amp;$I30)</f>
        <v>설치|옥외|5kg/cm2이상|STPG370S|300</v>
      </c>
      <c r="AD30" s="76" t="str">
        <f aca="false">IF($G30="","",IF($B30&lt;&gt;"설치","",IF($G30="PIPE","PIPE",IF($G30="VALVE",IF(ISNUMBER(SEARCH("GLOBE",$H30)),"GLOBE",IF(ISNUMBER(SEARCH("GATE",$H30)),"GATE",IF(ISNUMBER(SEARCH("BUTTER",$H30)),"BFLY","VALVE기타"))),IF($G30="FITTING",IF(LEFT($H30,5)="ELBOW",IF($AE30=90,"90EL",IF($AE30=45,"45EL","비규격EL")),IF(LEFT($H30,6)="FLANGE","FLANGE",IF(ISNUMBER(SEARCH("TEE",$H30)),"TEE",""))),"")))))</f>
        <v>90EL</v>
      </c>
      <c r="AE30" s="76" t="n">
        <f aca="false">IF(AND($G30="FITTING",LEFT($H30,5)="ELBOW"),IFERROR(VALUE(LEFT(MID($H30,7,12),MIN(IFERROR(FIND("L",MID($H30,7,12)),99),IFERROR(FIND("S",MID($H30,7,12)),99),IFERROR(FIND(" ",MID($H30,7,12)),99))-1)),""),"")</f>
        <v>90</v>
      </c>
      <c r="AF30" s="77" t="n">
        <f aca="false">IF($AD30="비규격EL",N($L30)*RADIANS(N($AE30))*보온기준!$F$15*N($I30)*보온기준!$F$16/1000,0)</f>
        <v>0</v>
      </c>
      <c r="AG30" s="76" t="str">
        <f aca="false">IF($G30="","",IF(OR($AA30&lt;&gt;"○",LEFT($F30,3)="STS",LEFT($F30,3)="SUS",$C30="매설"),"Y","N"))</f>
        <v>N</v>
      </c>
    </row>
    <row r="31" customFormat="false" ht="15" hidden="false" customHeight="true" outlineLevel="0" collapsed="false">
      <c r="A31" s="6" t="n">
        <v>25</v>
      </c>
      <c r="B31" s="20" t="s">
        <v>142</v>
      </c>
      <c r="C31" s="20" t="s">
        <v>702</v>
      </c>
      <c r="D31" s="19" t="s">
        <v>703</v>
      </c>
      <c r="E31" s="19" t="s">
        <v>704</v>
      </c>
      <c r="F31" s="19" t="s">
        <v>710</v>
      </c>
      <c r="G31" s="19" t="s">
        <v>708</v>
      </c>
      <c r="H31" s="32" t="s">
        <v>715</v>
      </c>
      <c r="I31" s="19" t="n">
        <v>300</v>
      </c>
      <c r="J31" s="19"/>
      <c r="K31" s="19" t="s">
        <v>85</v>
      </c>
      <c r="L31" s="73" t="n">
        <v>1</v>
      </c>
      <c r="M31" s="37" t="str">
        <f aca="false">IF($G31&lt;&gt;"PIPE","",IFERROR(1/(1/INDEX(배관단중표!$B$7:$W$41,MATCH($I31,배관단중표!$A$7:$A$41,0),MATCH(IF($J31="SPP","SPP",IF(LEFT($F31,3)="STS",IF(ISNUMBER(SEARCH("316",$F31)),"STS316","STS304"),"SPPS")&amp;"|"&amp;$J31),배관단중표!$B$6:$W$6,0))),"DB확인"))</f>
        <v/>
      </c>
      <c r="N31" s="74" t="n">
        <v>56.2</v>
      </c>
      <c r="O31" s="56"/>
      <c r="P31" s="54" t="n">
        <f aca="false">IF($G31="","",IFERROR(IF(O31&lt;&gt;"",O31,L31*IF(G31="PIPE",M31,N31)),0))</f>
        <v>56.2</v>
      </c>
      <c r="Q31" s="6" t="str">
        <f aca="false">IF($G31="","",IF(G31="PIPE","P","F"))</f>
        <v>F</v>
      </c>
      <c r="R31" s="35" t="str">
        <f aca="false">IF($G31&lt;&gt;"PIPE","",IFERROR(IF(O31&lt;&gt;"",O31/M31,IF(K31="M",L31,"")),""))</f>
        <v/>
      </c>
      <c r="S31" s="6" t="str">
        <f aca="false">IF($G31&lt;&gt;"PIPE","",IF(AND($AA31="○",OR($W31&lt;&gt;"○",배관기준!$AG$17="N"),$C31&lt;&gt;"매설",LEFT($F31,3)&lt;&gt;"STS",LEFT($F31,3)&lt;&gt;"SUS"),"Y","N"))</f>
        <v/>
      </c>
      <c r="T31" s="16"/>
      <c r="U31" s="19" t="s">
        <v>705</v>
      </c>
      <c r="V31" s="19"/>
      <c r="W31" s="6" t="str">
        <f aca="false">IF($G31="","",IFERROR(INDEX(배관집계!$AC$7:$AC$32,MATCH($AC31,배관집계!$AJ$7:$AJ$32,0))&amp;"",""))</f>
        <v>×</v>
      </c>
      <c r="X31" s="6" t="str">
        <f aca="false">IF($G31="","",IFERROR(INDEX(배관집계!$AD$7:$AD$32,MATCH($AC31,배관집계!$AJ$7:$AJ$32,0))&amp;"",""))</f>
        <v>○</v>
      </c>
      <c r="Y31" s="6" t="str">
        <f aca="false">IF($G31="","",IFERROR(INDEX(배관집계!$AE$7:$AE$32,MATCH($AC31,배관집계!$AJ$7:$AJ$32,0))&amp;"",""))</f>
        <v>×</v>
      </c>
      <c r="Z31" s="6" t="str">
        <f aca="false">IF($G31="","",IFERROR(INDEX(배관집계!$AF$7:$AF$32,MATCH($AC31,배관집계!$AJ$7:$AJ$32,0))&amp;"",""))</f>
        <v>○</v>
      </c>
      <c r="AA31" s="6" t="str">
        <f aca="false">IF($G31="","",IFERROR(INDEX(배관집계!$AG$7:$AG$32,MATCH($AC31,배관집계!$AJ$7:$AJ$32,0))&amp;"",""))</f>
        <v>○</v>
      </c>
      <c r="AB31" s="6" t="str">
        <f aca="false">IF($G31="","",IFERROR(INDEX(배관집계!$AH$7:$AH$32,MATCH($AC31,배관집계!$AJ$7:$AJ$32,0))&amp;"",""))</f>
        <v>C/C</v>
      </c>
      <c r="AC31" s="75" t="str">
        <f aca="false">IF($G31="","",$B31&amp;"|"&amp;$C31&amp;"|"&amp;$E31&amp;"|"&amp;$U31&amp;"|"&amp;$I31)</f>
        <v>설치|옥외|5kg/cm2이상|STPG370S|300</v>
      </c>
      <c r="AD31" s="76" t="str">
        <f aca="false">IF($G31="","",IF($B31&lt;&gt;"설치","",IF($G31="PIPE","PIPE",IF($G31="VALVE",IF(ISNUMBER(SEARCH("GLOBE",$H31)),"GLOBE",IF(ISNUMBER(SEARCH("GATE",$H31)),"GATE",IF(ISNUMBER(SEARCH("BUTTER",$H31)),"BFLY","VALVE기타"))),IF($G31="FITTING",IF(LEFT($H31,5)="ELBOW",IF($AE31=90,"90EL",IF($AE31=45,"45EL","비규격EL")),IF(LEFT($H31,6)="FLANGE","FLANGE",IF(ISNUMBER(SEARCH("TEE",$H31)),"TEE",""))),"")))))</f>
        <v>90EL</v>
      </c>
      <c r="AE31" s="76" t="n">
        <f aca="false">IF(AND($G31="FITTING",LEFT($H31,5)="ELBOW"),IFERROR(VALUE(LEFT(MID($H31,7,12),MIN(IFERROR(FIND("L",MID($H31,7,12)),99),IFERROR(FIND("S",MID($H31,7,12)),99),IFERROR(FIND(" ",MID($H31,7,12)),99))-1)),""),"")</f>
        <v>90</v>
      </c>
      <c r="AF31" s="77" t="n">
        <f aca="false">IF($AD31="비규격EL",N($L31)*RADIANS(N($AE31))*보온기준!$F$15*N($I31)*보온기준!$F$16/1000,0)</f>
        <v>0</v>
      </c>
      <c r="AG31" s="76" t="str">
        <f aca="false">IF($G31="","",IF(OR($AA31&lt;&gt;"○",LEFT($F31,3)="STS",LEFT($F31,3)="SUS",$C31="매설"),"Y","N"))</f>
        <v>N</v>
      </c>
    </row>
    <row r="32" customFormat="false" ht="15" hidden="false" customHeight="true" outlineLevel="0" collapsed="false">
      <c r="A32" s="6" t="n">
        <v>26</v>
      </c>
      <c r="B32" s="20" t="s">
        <v>142</v>
      </c>
      <c r="C32" s="20" t="s">
        <v>702</v>
      </c>
      <c r="D32" s="19" t="s">
        <v>703</v>
      </c>
      <c r="E32" s="19" t="s">
        <v>704</v>
      </c>
      <c r="F32" s="19" t="s">
        <v>720</v>
      </c>
      <c r="G32" s="19" t="s">
        <v>708</v>
      </c>
      <c r="H32" s="32" t="s">
        <v>721</v>
      </c>
      <c r="I32" s="19" t="n">
        <v>15</v>
      </c>
      <c r="J32" s="19"/>
      <c r="K32" s="19" t="s">
        <v>85</v>
      </c>
      <c r="L32" s="73" t="n">
        <v>6</v>
      </c>
      <c r="M32" s="37" t="str">
        <f aca="false">IF($G32&lt;&gt;"PIPE","",IFERROR(1/(1/INDEX(배관단중표!$B$7:$W$41,MATCH($I32,배관단중표!$A$7:$A$41,0),MATCH(IF($J32="SPP","SPP",IF(LEFT($F32,3)="STS",IF(ISNUMBER(SEARCH("316",$F32)),"STS316","STS304"),"SPPS")&amp;"|"&amp;$J32),배관단중표!$B$6:$W$6,0))),"DB확인"))</f>
        <v/>
      </c>
      <c r="N32" s="74" t="n">
        <v>0.6</v>
      </c>
      <c r="O32" s="56"/>
      <c r="P32" s="54" t="n">
        <f aca="false">IF($G32="","",IFERROR(IF(O32&lt;&gt;"",O32,L32*IF(G32="PIPE",M32,N32)),0))</f>
        <v>3.6</v>
      </c>
      <c r="Q32" s="6" t="str">
        <f aca="false">IF($G32="","",IF(G32="PIPE","P","F"))</f>
        <v>F</v>
      </c>
      <c r="R32" s="35" t="str">
        <f aca="false">IF($G32&lt;&gt;"PIPE","",IFERROR(IF(O32&lt;&gt;"",O32/M32,IF(K32="M",L32,"")),""))</f>
        <v/>
      </c>
      <c r="S32" s="6" t="str">
        <f aca="false">IF($G32&lt;&gt;"PIPE","",IF(AND($AA32="○",OR($W32&lt;&gt;"○",배관기준!$AG$17="N"),$C32&lt;&gt;"매설",LEFT($F32,3)&lt;&gt;"STS",LEFT($F32,3)&lt;&gt;"SUS"),"Y","N"))</f>
        <v/>
      </c>
      <c r="T32" s="16"/>
      <c r="U32" s="19" t="s">
        <v>705</v>
      </c>
      <c r="V32" s="19"/>
      <c r="W32" s="6" t="str">
        <f aca="false">IF($G32="","",IFERROR(INDEX(배관집계!$AC$7:$AC$32,MATCH($AC32,배관집계!$AJ$7:$AJ$32,0))&amp;"",""))</f>
        <v>○</v>
      </c>
      <c r="X32" s="6" t="str">
        <f aca="false">IF($G32="","",IFERROR(INDEX(배관집계!$AD$7:$AD$32,MATCH($AC32,배관집계!$AJ$7:$AJ$32,0))&amp;"",""))</f>
        <v>○</v>
      </c>
      <c r="Y32" s="6" t="str">
        <f aca="false">IF($G32="","",IFERROR(INDEX(배관집계!$AE$7:$AE$32,MATCH($AC32,배관집계!$AJ$7:$AJ$32,0))&amp;"",""))</f>
        <v>×</v>
      </c>
      <c r="Z32" s="6" t="str">
        <f aca="false">IF($G32="","",IFERROR(INDEX(배관집계!$AF$7:$AF$32,MATCH($AC32,배관집계!$AJ$7:$AJ$32,0))&amp;"",""))</f>
        <v>○</v>
      </c>
      <c r="AA32" s="6" t="str">
        <f aca="false">IF($G32="","",IFERROR(INDEX(배관집계!$AG$7:$AG$32,MATCH($AC32,배관집계!$AJ$7:$AJ$32,0))&amp;"",""))</f>
        <v>×</v>
      </c>
      <c r="AB32" s="6" t="str">
        <f aca="false">IF($G32="","",IFERROR(INDEX(배관집계!$AH$7:$AH$32,MATCH($AC32,배관집계!$AJ$7:$AJ$32,0))&amp;"",""))</f>
        <v>C/C</v>
      </c>
      <c r="AC32" s="75" t="str">
        <f aca="false">IF($G32="","",$B32&amp;"|"&amp;$C32&amp;"|"&amp;$E32&amp;"|"&amp;$U32&amp;"|"&amp;$I32)</f>
        <v>설치|옥외|5kg/cm2이상|STPG370S|15</v>
      </c>
      <c r="AD32" s="76" t="str">
        <f aca="false">IF($G32="","",IF($B32&lt;&gt;"설치","",IF($G32="PIPE","PIPE",IF($G32="VALVE",IF(ISNUMBER(SEARCH("GLOBE",$H32)),"GLOBE",IF(ISNUMBER(SEARCH("GATE",$H32)),"GATE",IF(ISNUMBER(SEARCH("BUTTER",$H32)),"BFLY","VALVE기타"))),IF($G32="FITTING",IF(LEFT($H32,5)="ELBOW",IF($AE32=90,"90EL",IF($AE32=45,"45EL","비규격EL")),IF(LEFT($H32,6)="FLANGE","FLANGE",IF(ISNUMBER(SEARCH("TEE",$H32)),"TEE",""))),"")))))</f>
        <v>FLANGE</v>
      </c>
      <c r="AE32" s="76" t="str">
        <f aca="false">IF(AND($G32="FITTING",LEFT($H32,5)="ELBOW"),IFERROR(VALUE(LEFT(MID($H32,7,12),MIN(IFERROR(FIND("L",MID($H32,7,12)),99),IFERROR(FIND("S",MID($H32,7,12)),99),IFERROR(FIND(" ",MID($H32,7,12)),99))-1)),""),"")</f>
        <v/>
      </c>
      <c r="AF32" s="77" t="n">
        <f aca="false">IF($AD32="비규격EL",N($L32)*RADIANS(N($AE32))*보온기준!$F$15*N($I32)*보온기준!$F$16/1000,0)</f>
        <v>0</v>
      </c>
      <c r="AG32" s="76" t="str">
        <f aca="false">IF($G32="","",IF(OR($AA32&lt;&gt;"○",LEFT($F32,3)="STS",LEFT($F32,3)="SUS",$C32="매설"),"Y","N"))</f>
        <v>Y</v>
      </c>
    </row>
    <row r="33" customFormat="false" ht="15" hidden="false" customHeight="true" outlineLevel="0" collapsed="false">
      <c r="A33" s="6" t="n">
        <v>27</v>
      </c>
      <c r="B33" s="20" t="s">
        <v>142</v>
      </c>
      <c r="C33" s="20" t="s">
        <v>702</v>
      </c>
      <c r="D33" s="19" t="s">
        <v>703</v>
      </c>
      <c r="E33" s="19" t="s">
        <v>704</v>
      </c>
      <c r="F33" s="19" t="s">
        <v>720</v>
      </c>
      <c r="G33" s="19" t="s">
        <v>708</v>
      </c>
      <c r="H33" s="32" t="s">
        <v>722</v>
      </c>
      <c r="I33" s="19" t="n">
        <v>50</v>
      </c>
      <c r="J33" s="19"/>
      <c r="K33" s="19" t="s">
        <v>85</v>
      </c>
      <c r="L33" s="73" t="n">
        <v>6</v>
      </c>
      <c r="M33" s="37" t="str">
        <f aca="false">IF($G33&lt;&gt;"PIPE","",IFERROR(1/(1/INDEX(배관단중표!$B$7:$W$41,MATCH($I33,배관단중표!$A$7:$A$41,0),MATCH(IF($J33="SPP","SPP",IF(LEFT($F33,3)="STS",IF(ISNUMBER(SEARCH("316",$F33)),"STS316","STS304"),"SPPS")&amp;"|"&amp;$J33),배관단중표!$B$6:$W$6,0))),"DB확인"))</f>
        <v/>
      </c>
      <c r="N33" s="74" t="n">
        <v>1.9</v>
      </c>
      <c r="O33" s="56"/>
      <c r="P33" s="54" t="n">
        <f aca="false">IF($G33="","",IFERROR(IF(O33&lt;&gt;"",O33,L33*IF(G33="PIPE",M33,N33)),0))</f>
        <v>11.4</v>
      </c>
      <c r="Q33" s="6" t="str">
        <f aca="false">IF($G33="","",IF(G33="PIPE","P","F"))</f>
        <v>F</v>
      </c>
      <c r="R33" s="35" t="str">
        <f aca="false">IF($G33&lt;&gt;"PIPE","",IFERROR(IF(O33&lt;&gt;"",O33/M33,IF(K33="M",L33,"")),""))</f>
        <v/>
      </c>
      <c r="S33" s="6" t="str">
        <f aca="false">IF($G33&lt;&gt;"PIPE","",IF(AND($AA33="○",OR($W33&lt;&gt;"○",배관기준!$AG$17="N"),$C33&lt;&gt;"매설",LEFT($F33,3)&lt;&gt;"STS",LEFT($F33,3)&lt;&gt;"SUS"),"Y","N"))</f>
        <v/>
      </c>
      <c r="T33" s="16"/>
      <c r="U33" s="19" t="s">
        <v>705</v>
      </c>
      <c r="V33" s="19"/>
      <c r="W33" s="6" t="str">
        <f aca="false">IF($G33="","",IFERROR(INDEX(배관집계!$AC$7:$AC$32,MATCH($AC33,배관집계!$AJ$7:$AJ$32,0))&amp;"",""))</f>
        <v>○</v>
      </c>
      <c r="X33" s="6" t="str">
        <f aca="false">IF($G33="","",IFERROR(INDEX(배관집계!$AD$7:$AD$32,MATCH($AC33,배관집계!$AJ$7:$AJ$32,0))&amp;"",""))</f>
        <v>○</v>
      </c>
      <c r="Y33" s="6" t="str">
        <f aca="false">IF($G33="","",IFERROR(INDEX(배관집계!$AE$7:$AE$32,MATCH($AC33,배관집계!$AJ$7:$AJ$32,0))&amp;"",""))</f>
        <v>×</v>
      </c>
      <c r="Z33" s="6" t="str">
        <f aca="false">IF($G33="","",IFERROR(INDEX(배관집계!$AF$7:$AF$32,MATCH($AC33,배관집계!$AJ$7:$AJ$32,0))&amp;"",""))</f>
        <v>○</v>
      </c>
      <c r="AA33" s="6" t="str">
        <f aca="false">IF($G33="","",IFERROR(INDEX(배관집계!$AG$7:$AG$32,MATCH($AC33,배관집계!$AJ$7:$AJ$32,0))&amp;"",""))</f>
        <v>×</v>
      </c>
      <c r="AB33" s="6" t="str">
        <f aca="false">IF($G33="","",IFERROR(INDEX(배관집계!$AH$7:$AH$32,MATCH($AC33,배관집계!$AJ$7:$AJ$32,0))&amp;"",""))</f>
        <v>C/C</v>
      </c>
      <c r="AC33" s="75" t="str">
        <f aca="false">IF($G33="","",$B33&amp;"|"&amp;$C33&amp;"|"&amp;$E33&amp;"|"&amp;$U33&amp;"|"&amp;$I33)</f>
        <v>설치|옥외|5kg/cm2이상|STPG370S|50</v>
      </c>
      <c r="AD33" s="76" t="str">
        <f aca="false">IF($G33="","",IF($B33&lt;&gt;"설치","",IF($G33="PIPE","PIPE",IF($G33="VALVE",IF(ISNUMBER(SEARCH("GLOBE",$H33)),"GLOBE",IF(ISNUMBER(SEARCH("GATE",$H33)),"GATE",IF(ISNUMBER(SEARCH("BUTTER",$H33)),"BFLY","VALVE기타"))),IF($G33="FITTING",IF(LEFT($H33,5)="ELBOW",IF($AE33=90,"90EL",IF($AE33=45,"45EL","비규격EL")),IF(LEFT($H33,6)="FLANGE","FLANGE",IF(ISNUMBER(SEARCH("TEE",$H33)),"TEE",""))),"")))))</f>
        <v>FLANGE</v>
      </c>
      <c r="AE33" s="76" t="str">
        <f aca="false">IF(AND($G33="FITTING",LEFT($H33,5)="ELBOW"),IFERROR(VALUE(LEFT(MID($H33,7,12),MIN(IFERROR(FIND("L",MID($H33,7,12)),99),IFERROR(FIND("S",MID($H33,7,12)),99),IFERROR(FIND(" ",MID($H33,7,12)),99))-1)),""),"")</f>
        <v/>
      </c>
      <c r="AF33" s="77" t="n">
        <f aca="false">IF($AD33="비규격EL",N($L33)*RADIANS(N($AE33))*보온기준!$F$15*N($I33)*보온기준!$F$16/1000,0)</f>
        <v>0</v>
      </c>
      <c r="AG33" s="76" t="str">
        <f aca="false">IF($G33="","",IF(OR($AA33&lt;&gt;"○",LEFT($F33,3)="STS",LEFT($F33,3)="SUS",$C33="매설"),"Y","N"))</f>
        <v>Y</v>
      </c>
    </row>
    <row r="34" customFormat="false" ht="15" hidden="false" customHeight="true" outlineLevel="0" collapsed="false">
      <c r="A34" s="6" t="n">
        <v>28</v>
      </c>
      <c r="B34" s="20" t="s">
        <v>142</v>
      </c>
      <c r="C34" s="20" t="s">
        <v>702</v>
      </c>
      <c r="D34" s="19" t="s">
        <v>703</v>
      </c>
      <c r="E34" s="19" t="s">
        <v>704</v>
      </c>
      <c r="F34" s="19" t="s">
        <v>720</v>
      </c>
      <c r="G34" s="19" t="s">
        <v>708</v>
      </c>
      <c r="H34" s="32" t="s">
        <v>722</v>
      </c>
      <c r="I34" s="19" t="n">
        <v>80</v>
      </c>
      <c r="J34" s="19"/>
      <c r="K34" s="19" t="s">
        <v>85</v>
      </c>
      <c r="L34" s="73" t="n">
        <v>1</v>
      </c>
      <c r="M34" s="37" t="str">
        <f aca="false">IF($G34&lt;&gt;"PIPE","",IFERROR(1/(1/INDEX(배관단중표!$B$7:$W$41,MATCH($I34,배관단중표!$A$7:$A$41,0),MATCH(IF($J34="SPP","SPP",IF(LEFT($F34,3)="STS",IF(ISNUMBER(SEARCH("316",$F34)),"STS316","STS304"),"SPPS")&amp;"|"&amp;$J34),배관단중표!$B$6:$W$6,0))),"DB확인"))</f>
        <v/>
      </c>
      <c r="N34" s="74" t="n">
        <v>2.6</v>
      </c>
      <c r="O34" s="56"/>
      <c r="P34" s="54" t="n">
        <f aca="false">IF($G34="","",IFERROR(IF(O34&lt;&gt;"",O34,L34*IF(G34="PIPE",M34,N34)),0))</f>
        <v>2.6</v>
      </c>
      <c r="Q34" s="6" t="str">
        <f aca="false">IF($G34="","",IF(G34="PIPE","P","F"))</f>
        <v>F</v>
      </c>
      <c r="R34" s="35" t="str">
        <f aca="false">IF($G34&lt;&gt;"PIPE","",IFERROR(IF(O34&lt;&gt;"",O34/M34,IF(K34="M",L34,"")),""))</f>
        <v/>
      </c>
      <c r="S34" s="6" t="str">
        <f aca="false">IF($G34&lt;&gt;"PIPE","",IF(AND($AA34="○",OR($W34&lt;&gt;"○",배관기준!$AG$17="N"),$C34&lt;&gt;"매설",LEFT($F34,3)&lt;&gt;"STS",LEFT($F34,3)&lt;&gt;"SUS"),"Y","N"))</f>
        <v/>
      </c>
      <c r="T34" s="16"/>
      <c r="U34" s="19" t="s">
        <v>705</v>
      </c>
      <c r="V34" s="19"/>
      <c r="W34" s="6" t="str">
        <f aca="false">IF($G34="","",IFERROR(INDEX(배관집계!$AC$7:$AC$32,MATCH($AC34,배관집계!$AJ$7:$AJ$32,0))&amp;"",""))</f>
        <v>○</v>
      </c>
      <c r="X34" s="6" t="str">
        <f aca="false">IF($G34="","",IFERROR(INDEX(배관집계!$AD$7:$AD$32,MATCH($AC34,배관집계!$AJ$7:$AJ$32,0))&amp;"",""))</f>
        <v>○</v>
      </c>
      <c r="Y34" s="6" t="str">
        <f aca="false">IF($G34="","",IFERROR(INDEX(배관집계!$AE$7:$AE$32,MATCH($AC34,배관집계!$AJ$7:$AJ$32,0))&amp;"",""))</f>
        <v>×</v>
      </c>
      <c r="Z34" s="6" t="str">
        <f aca="false">IF($G34="","",IFERROR(INDEX(배관집계!$AF$7:$AF$32,MATCH($AC34,배관집계!$AJ$7:$AJ$32,0))&amp;"",""))</f>
        <v>○</v>
      </c>
      <c r="AA34" s="6" t="str">
        <f aca="false">IF($G34="","",IFERROR(INDEX(배관집계!$AG$7:$AG$32,MATCH($AC34,배관집계!$AJ$7:$AJ$32,0))&amp;"",""))</f>
        <v>×</v>
      </c>
      <c r="AB34" s="6" t="str">
        <f aca="false">IF($G34="","",IFERROR(INDEX(배관집계!$AH$7:$AH$32,MATCH($AC34,배관집계!$AJ$7:$AJ$32,0))&amp;"",""))</f>
        <v>C/C</v>
      </c>
      <c r="AC34" s="75" t="str">
        <f aca="false">IF($G34="","",$B34&amp;"|"&amp;$C34&amp;"|"&amp;$E34&amp;"|"&amp;$U34&amp;"|"&amp;$I34)</f>
        <v>설치|옥외|5kg/cm2이상|STPG370S|80</v>
      </c>
      <c r="AD34" s="76" t="str">
        <f aca="false">IF($G34="","",IF($B34&lt;&gt;"설치","",IF($G34="PIPE","PIPE",IF($G34="VALVE",IF(ISNUMBER(SEARCH("GLOBE",$H34)),"GLOBE",IF(ISNUMBER(SEARCH("GATE",$H34)),"GATE",IF(ISNUMBER(SEARCH("BUTTER",$H34)),"BFLY","VALVE기타"))),IF($G34="FITTING",IF(LEFT($H34,5)="ELBOW",IF($AE34=90,"90EL",IF($AE34=45,"45EL","비규격EL")),IF(LEFT($H34,6)="FLANGE","FLANGE",IF(ISNUMBER(SEARCH("TEE",$H34)),"TEE",""))),"")))))</f>
        <v>FLANGE</v>
      </c>
      <c r="AE34" s="76" t="str">
        <f aca="false">IF(AND($G34="FITTING",LEFT($H34,5)="ELBOW"),IFERROR(VALUE(LEFT(MID($H34,7,12),MIN(IFERROR(FIND("L",MID($H34,7,12)),99),IFERROR(FIND("S",MID($H34,7,12)),99),IFERROR(FIND(" ",MID($H34,7,12)),99))-1)),""),"")</f>
        <v/>
      </c>
      <c r="AF34" s="77" t="n">
        <f aca="false">IF($AD34="비규격EL",N($L34)*RADIANS(N($AE34))*보온기준!$F$15*N($I34)*보온기준!$F$16/1000,0)</f>
        <v>0</v>
      </c>
      <c r="AG34" s="76" t="str">
        <f aca="false">IF($G34="","",IF(OR($AA34&lt;&gt;"○",LEFT($F34,3)="STS",LEFT($F34,3)="SUS",$C34="매설"),"Y","N"))</f>
        <v>Y</v>
      </c>
    </row>
    <row r="35" customFormat="false" ht="15" hidden="false" customHeight="true" outlineLevel="0" collapsed="false">
      <c r="A35" s="6" t="n">
        <v>29</v>
      </c>
      <c r="B35" s="20" t="s">
        <v>142</v>
      </c>
      <c r="C35" s="20" t="s">
        <v>702</v>
      </c>
      <c r="D35" s="19" t="s">
        <v>703</v>
      </c>
      <c r="E35" s="19" t="s">
        <v>704</v>
      </c>
      <c r="F35" s="19" t="s">
        <v>720</v>
      </c>
      <c r="G35" s="19" t="s">
        <v>708</v>
      </c>
      <c r="H35" s="32" t="s">
        <v>721</v>
      </c>
      <c r="I35" s="19" t="n">
        <v>150</v>
      </c>
      <c r="J35" s="19"/>
      <c r="K35" s="19" t="s">
        <v>85</v>
      </c>
      <c r="L35" s="73" t="n">
        <v>10</v>
      </c>
      <c r="M35" s="37" t="str">
        <f aca="false">IF($G35&lt;&gt;"PIPE","",IFERROR(1/(1/INDEX(배관단중표!$B$7:$W$41,MATCH($I35,배관단중표!$A$7:$A$41,0),MATCH(IF($J35="SPP","SPP",IF(LEFT($F35,3)="STS",IF(ISNUMBER(SEARCH("316",$F35)),"STS316","STS304"),"SPPS")&amp;"|"&amp;$J35),배관단중표!$B$6:$W$6,0))),"DB확인"))</f>
        <v/>
      </c>
      <c r="N35" s="74" t="n">
        <v>6.3</v>
      </c>
      <c r="O35" s="56"/>
      <c r="P35" s="54" t="n">
        <f aca="false">IF($G35="","",IFERROR(IF(O35&lt;&gt;"",O35,L35*IF(G35="PIPE",M35,N35)),0))</f>
        <v>63</v>
      </c>
      <c r="Q35" s="6" t="str">
        <f aca="false">IF($G35="","",IF(G35="PIPE","P","F"))</f>
        <v>F</v>
      </c>
      <c r="R35" s="35" t="str">
        <f aca="false">IF($G35&lt;&gt;"PIPE","",IFERROR(IF(O35&lt;&gt;"",O35/M35,IF(K35="M",L35,"")),""))</f>
        <v/>
      </c>
      <c r="S35" s="6" t="str">
        <f aca="false">IF($G35&lt;&gt;"PIPE","",IF(AND($AA35="○",OR($W35&lt;&gt;"○",배관기준!$AG$17="N"),$C35&lt;&gt;"매설",LEFT($F35,3)&lt;&gt;"STS",LEFT($F35,3)&lt;&gt;"SUS"),"Y","N"))</f>
        <v/>
      </c>
      <c r="T35" s="16"/>
      <c r="U35" s="19" t="s">
        <v>705</v>
      </c>
      <c r="V35" s="19"/>
      <c r="W35" s="6" t="str">
        <f aca="false">IF($G35="","",IFERROR(INDEX(배관집계!$AC$7:$AC$32,MATCH($AC35,배관집계!$AJ$7:$AJ$32,0))&amp;"",""))</f>
        <v>○</v>
      </c>
      <c r="X35" s="6" t="str">
        <f aca="false">IF($G35="","",IFERROR(INDEX(배관집계!$AD$7:$AD$32,MATCH($AC35,배관집계!$AJ$7:$AJ$32,0))&amp;"",""))</f>
        <v>○</v>
      </c>
      <c r="Y35" s="6" t="str">
        <f aca="false">IF($G35="","",IFERROR(INDEX(배관집계!$AE$7:$AE$32,MATCH($AC35,배관집계!$AJ$7:$AJ$32,0))&amp;"",""))</f>
        <v>×</v>
      </c>
      <c r="Z35" s="6" t="str">
        <f aca="false">IF($G35="","",IFERROR(INDEX(배관집계!$AF$7:$AF$32,MATCH($AC35,배관집계!$AJ$7:$AJ$32,0))&amp;"",""))</f>
        <v>○</v>
      </c>
      <c r="AA35" s="6" t="str">
        <f aca="false">IF($G35="","",IFERROR(INDEX(배관집계!$AG$7:$AG$32,MATCH($AC35,배관집계!$AJ$7:$AJ$32,0))&amp;"",""))</f>
        <v>×</v>
      </c>
      <c r="AB35" s="6" t="str">
        <f aca="false">IF($G35="","",IFERROR(INDEX(배관집계!$AH$7:$AH$32,MATCH($AC35,배관집계!$AJ$7:$AJ$32,0))&amp;"",""))</f>
        <v>C/C</v>
      </c>
      <c r="AC35" s="75" t="str">
        <f aca="false">IF($G35="","",$B35&amp;"|"&amp;$C35&amp;"|"&amp;$E35&amp;"|"&amp;$U35&amp;"|"&amp;$I35)</f>
        <v>설치|옥외|5kg/cm2이상|STPG370S|150</v>
      </c>
      <c r="AD35" s="76" t="str">
        <f aca="false">IF($G35="","",IF($B35&lt;&gt;"설치","",IF($G35="PIPE","PIPE",IF($G35="VALVE",IF(ISNUMBER(SEARCH("GLOBE",$H35)),"GLOBE",IF(ISNUMBER(SEARCH("GATE",$H35)),"GATE",IF(ISNUMBER(SEARCH("BUTTER",$H35)),"BFLY","VALVE기타"))),IF($G35="FITTING",IF(LEFT($H35,5)="ELBOW",IF($AE35=90,"90EL",IF($AE35=45,"45EL","비규격EL")),IF(LEFT($H35,6)="FLANGE","FLANGE",IF(ISNUMBER(SEARCH("TEE",$H35)),"TEE",""))),"")))))</f>
        <v>FLANGE</v>
      </c>
      <c r="AE35" s="76" t="str">
        <f aca="false">IF(AND($G35="FITTING",LEFT($H35,5)="ELBOW"),IFERROR(VALUE(LEFT(MID($H35,7,12),MIN(IFERROR(FIND("L",MID($H35,7,12)),99),IFERROR(FIND("S",MID($H35,7,12)),99),IFERROR(FIND(" ",MID($H35,7,12)),99))-1)),""),"")</f>
        <v/>
      </c>
      <c r="AF35" s="77" t="n">
        <f aca="false">IF($AD35="비규격EL",N($L35)*RADIANS(N($AE35))*보온기준!$F$15*N($I35)*보온기준!$F$16/1000,0)</f>
        <v>0</v>
      </c>
      <c r="AG35" s="76" t="str">
        <f aca="false">IF($G35="","",IF(OR($AA35&lt;&gt;"○",LEFT($F35,3)="STS",LEFT($F35,3)="SUS",$C35="매설"),"Y","N"))</f>
        <v>Y</v>
      </c>
    </row>
    <row r="36" customFormat="false" ht="15" hidden="false" customHeight="true" outlineLevel="0" collapsed="false">
      <c r="A36" s="6" t="n">
        <v>30</v>
      </c>
      <c r="B36" s="20" t="s">
        <v>142</v>
      </c>
      <c r="C36" s="20" t="s">
        <v>702</v>
      </c>
      <c r="D36" s="19" t="s">
        <v>703</v>
      </c>
      <c r="E36" s="19" t="s">
        <v>704</v>
      </c>
      <c r="F36" s="19" t="s">
        <v>723</v>
      </c>
      <c r="G36" s="19" t="s">
        <v>708</v>
      </c>
      <c r="H36" s="32" t="s">
        <v>724</v>
      </c>
      <c r="I36" s="19" t="n">
        <v>200</v>
      </c>
      <c r="J36" s="19"/>
      <c r="K36" s="19" t="s">
        <v>85</v>
      </c>
      <c r="L36" s="73" t="n">
        <v>4</v>
      </c>
      <c r="M36" s="37" t="str">
        <f aca="false">IF($G36&lt;&gt;"PIPE","",IFERROR(1/(1/INDEX(배관단중표!$B$7:$W$41,MATCH($I36,배관단중표!$A$7:$A$41,0),MATCH(IF($J36="SPP","SPP",IF(LEFT($F36,3)="STS",IF(ISNUMBER(SEARCH("316",$F36)),"STS316","STS304"),"SPPS")&amp;"|"&amp;$J36),배관단중표!$B$6:$W$6,0))),"DB확인"))</f>
        <v/>
      </c>
      <c r="N36" s="74" t="n">
        <v>41.4</v>
      </c>
      <c r="O36" s="56"/>
      <c r="P36" s="54" t="n">
        <f aca="false">IF($G36="","",IFERROR(IF(O36&lt;&gt;"",O36,L36*IF(G36="PIPE",M36,N36)),0))</f>
        <v>165.6</v>
      </c>
      <c r="Q36" s="6" t="str">
        <f aca="false">IF($G36="","",IF(G36="PIPE","P","F"))</f>
        <v>F</v>
      </c>
      <c r="R36" s="35" t="str">
        <f aca="false">IF($G36&lt;&gt;"PIPE","",IFERROR(IF(O36&lt;&gt;"",O36/M36,IF(K36="M",L36,"")),""))</f>
        <v/>
      </c>
      <c r="S36" s="6" t="str">
        <f aca="false">IF($G36&lt;&gt;"PIPE","",IF(AND($AA36="○",OR($W36&lt;&gt;"○",배관기준!$AG$17="N"),$C36&lt;&gt;"매설",LEFT($F36,3)&lt;&gt;"STS",LEFT($F36,3)&lt;&gt;"SUS"),"Y","N"))</f>
        <v/>
      </c>
      <c r="T36" s="16"/>
      <c r="U36" s="19" t="s">
        <v>705</v>
      </c>
      <c r="V36" s="19"/>
      <c r="W36" s="6" t="str">
        <f aca="false">IF($G36="","",IFERROR(INDEX(배관집계!$AC$7:$AC$32,MATCH($AC36,배관집계!$AJ$7:$AJ$32,0))&amp;"",""))</f>
        <v>○</v>
      </c>
      <c r="X36" s="6" t="str">
        <f aca="false">IF($G36="","",IFERROR(INDEX(배관집계!$AD$7:$AD$32,MATCH($AC36,배관집계!$AJ$7:$AJ$32,0))&amp;"",""))</f>
        <v>○</v>
      </c>
      <c r="Y36" s="6" t="str">
        <f aca="false">IF($G36="","",IFERROR(INDEX(배관집계!$AE$7:$AE$32,MATCH($AC36,배관집계!$AJ$7:$AJ$32,0))&amp;"",""))</f>
        <v>×</v>
      </c>
      <c r="Z36" s="6" t="str">
        <f aca="false">IF($G36="","",IFERROR(INDEX(배관집계!$AF$7:$AF$32,MATCH($AC36,배관집계!$AJ$7:$AJ$32,0))&amp;"",""))</f>
        <v>○</v>
      </c>
      <c r="AA36" s="6" t="str">
        <f aca="false">IF($G36="","",IFERROR(INDEX(배관집계!$AG$7:$AG$32,MATCH($AC36,배관집계!$AJ$7:$AJ$32,0))&amp;"",""))</f>
        <v>×</v>
      </c>
      <c r="AB36" s="6" t="str">
        <f aca="false">IF($G36="","",IFERROR(INDEX(배관집계!$AH$7:$AH$32,MATCH($AC36,배관집계!$AJ$7:$AJ$32,0))&amp;"",""))</f>
        <v>C/C</v>
      </c>
      <c r="AC36" s="75" t="str">
        <f aca="false">IF($G36="","",$B36&amp;"|"&amp;$C36&amp;"|"&amp;$E36&amp;"|"&amp;$U36&amp;"|"&amp;$I36)</f>
        <v>설치|옥외|5kg/cm2이상|STPG370S|200</v>
      </c>
      <c r="AD36" s="76" t="str">
        <f aca="false">IF($G36="","",IF($B36&lt;&gt;"설치","",IF($G36="PIPE","PIPE",IF($G36="VALVE",IF(ISNUMBER(SEARCH("GLOBE",$H36)),"GLOBE",IF(ISNUMBER(SEARCH("GATE",$H36)),"GATE",IF(ISNUMBER(SEARCH("BUTTER",$H36)),"BFLY","VALVE기타"))),IF($G36="FITTING",IF(LEFT($H36,5)="ELBOW",IF($AE36=90,"90EL",IF($AE36=45,"45EL","비규격EL")),IF(LEFT($H36,6)="FLANGE","FLANGE",IF(ISNUMBER(SEARCH("TEE",$H36)),"TEE",""))),"")))))</f>
        <v>FLANGE</v>
      </c>
      <c r="AE36" s="76" t="str">
        <f aca="false">IF(AND($G36="FITTING",LEFT($H36,5)="ELBOW"),IFERROR(VALUE(LEFT(MID($H36,7,12),MIN(IFERROR(FIND("L",MID($H36,7,12)),99),IFERROR(FIND("S",MID($H36,7,12)),99),IFERROR(FIND(" ",MID($H36,7,12)),99))-1)),""),"")</f>
        <v/>
      </c>
      <c r="AF36" s="77" t="n">
        <f aca="false">IF($AD36="비규격EL",N($L36)*RADIANS(N($AE36))*보온기준!$F$15*N($I36)*보온기준!$F$16/1000,0)</f>
        <v>0</v>
      </c>
      <c r="AG36" s="76" t="str">
        <f aca="false">IF($G36="","",IF(OR($AA36&lt;&gt;"○",LEFT($F36,3)="STS",LEFT($F36,3)="SUS",$C36="매설"),"Y","N"))</f>
        <v>Y</v>
      </c>
    </row>
    <row r="37" customFormat="false" ht="15" hidden="false" customHeight="true" outlineLevel="0" collapsed="false">
      <c r="A37" s="6" t="n">
        <v>31</v>
      </c>
      <c r="B37" s="20" t="s">
        <v>142</v>
      </c>
      <c r="C37" s="20" t="s">
        <v>702</v>
      </c>
      <c r="D37" s="19" t="s">
        <v>703</v>
      </c>
      <c r="E37" s="19" t="s">
        <v>704</v>
      </c>
      <c r="F37" s="19" t="s">
        <v>723</v>
      </c>
      <c r="G37" s="19" t="s">
        <v>708</v>
      </c>
      <c r="H37" s="32" t="s">
        <v>724</v>
      </c>
      <c r="I37" s="19" t="n">
        <v>250</v>
      </c>
      <c r="J37" s="19"/>
      <c r="K37" s="19" t="s">
        <v>85</v>
      </c>
      <c r="L37" s="73" t="n">
        <v>2</v>
      </c>
      <c r="M37" s="37" t="str">
        <f aca="false">IF($G37&lt;&gt;"PIPE","",IFERROR(1/(1/INDEX(배관단중표!$B$7:$W$41,MATCH($I37,배관단중표!$A$7:$A$41,0),MATCH(IF($J37="SPP","SPP",IF(LEFT($F37,3)="STS",IF(ISNUMBER(SEARCH("316",$F37)),"STS316","STS304"),"SPPS")&amp;"|"&amp;$J37),배관단중표!$B$6:$W$6,0))),"DB확인"))</f>
        <v/>
      </c>
      <c r="N37" s="74" t="n">
        <v>68.6</v>
      </c>
      <c r="O37" s="56"/>
      <c r="P37" s="54" t="n">
        <f aca="false">IF($G37="","",IFERROR(IF(O37&lt;&gt;"",O37,L37*IF(G37="PIPE",M37,N37)),0))</f>
        <v>137.2</v>
      </c>
      <c r="Q37" s="6" t="str">
        <f aca="false">IF($G37="","",IF(G37="PIPE","P","F"))</f>
        <v>F</v>
      </c>
      <c r="R37" s="35" t="str">
        <f aca="false">IF($G37&lt;&gt;"PIPE","",IFERROR(IF(O37&lt;&gt;"",O37/M37,IF(K37="M",L37,"")),""))</f>
        <v/>
      </c>
      <c r="S37" s="6" t="str">
        <f aca="false">IF($G37&lt;&gt;"PIPE","",IF(AND($AA37="○",OR($W37&lt;&gt;"○",배관기준!$AG$17="N"),$C37&lt;&gt;"매설",LEFT($F37,3)&lt;&gt;"STS",LEFT($F37,3)&lt;&gt;"SUS"),"Y","N"))</f>
        <v/>
      </c>
      <c r="T37" s="16"/>
      <c r="U37" s="19" t="s">
        <v>705</v>
      </c>
      <c r="V37" s="19"/>
      <c r="W37" s="6" t="str">
        <f aca="false">IF($G37="","",IFERROR(INDEX(배관집계!$AC$7:$AC$32,MATCH($AC37,배관집계!$AJ$7:$AJ$32,0))&amp;"",""))</f>
        <v>○</v>
      </c>
      <c r="X37" s="6" t="str">
        <f aca="false">IF($G37="","",IFERROR(INDEX(배관집계!$AD$7:$AD$32,MATCH($AC37,배관집계!$AJ$7:$AJ$32,0))&amp;"",""))</f>
        <v>○</v>
      </c>
      <c r="Y37" s="6" t="str">
        <f aca="false">IF($G37="","",IFERROR(INDEX(배관집계!$AE$7:$AE$32,MATCH($AC37,배관집계!$AJ$7:$AJ$32,0))&amp;"",""))</f>
        <v>×</v>
      </c>
      <c r="Z37" s="6" t="str">
        <f aca="false">IF($G37="","",IFERROR(INDEX(배관집계!$AF$7:$AF$32,MATCH($AC37,배관집계!$AJ$7:$AJ$32,0))&amp;"",""))</f>
        <v>○</v>
      </c>
      <c r="AA37" s="6" t="str">
        <f aca="false">IF($G37="","",IFERROR(INDEX(배관집계!$AG$7:$AG$32,MATCH($AC37,배관집계!$AJ$7:$AJ$32,0))&amp;"",""))</f>
        <v>×</v>
      </c>
      <c r="AB37" s="6" t="str">
        <f aca="false">IF($G37="","",IFERROR(INDEX(배관집계!$AH$7:$AH$32,MATCH($AC37,배관집계!$AJ$7:$AJ$32,0))&amp;"",""))</f>
        <v>C/C</v>
      </c>
      <c r="AC37" s="75" t="str">
        <f aca="false">IF($G37="","",$B37&amp;"|"&amp;$C37&amp;"|"&amp;$E37&amp;"|"&amp;$U37&amp;"|"&amp;$I37)</f>
        <v>설치|옥외|5kg/cm2이상|STPG370S|250</v>
      </c>
      <c r="AD37" s="76" t="str">
        <f aca="false">IF($G37="","",IF($B37&lt;&gt;"설치","",IF($G37="PIPE","PIPE",IF($G37="VALVE",IF(ISNUMBER(SEARCH("GLOBE",$H37)),"GLOBE",IF(ISNUMBER(SEARCH("GATE",$H37)),"GATE",IF(ISNUMBER(SEARCH("BUTTER",$H37)),"BFLY","VALVE기타"))),IF($G37="FITTING",IF(LEFT($H37,5)="ELBOW",IF($AE37=90,"90EL",IF($AE37=45,"45EL","비규격EL")),IF(LEFT($H37,6)="FLANGE","FLANGE",IF(ISNUMBER(SEARCH("TEE",$H37)),"TEE",""))),"")))))</f>
        <v>FLANGE</v>
      </c>
      <c r="AE37" s="76" t="str">
        <f aca="false">IF(AND($G37="FITTING",LEFT($H37,5)="ELBOW"),IFERROR(VALUE(LEFT(MID($H37,7,12),MIN(IFERROR(FIND("L",MID($H37,7,12)),99),IFERROR(FIND("S",MID($H37,7,12)),99),IFERROR(FIND(" ",MID($H37,7,12)),99))-1)),""),"")</f>
        <v/>
      </c>
      <c r="AF37" s="77" t="n">
        <f aca="false">IF($AD37="비규격EL",N($L37)*RADIANS(N($AE37))*보온기준!$F$15*N($I37)*보온기준!$F$16/1000,0)</f>
        <v>0</v>
      </c>
      <c r="AG37" s="76" t="str">
        <f aca="false">IF($G37="","",IF(OR($AA37&lt;&gt;"○",LEFT($F37,3)="STS",LEFT($F37,3)="SUS",$C37="매설"),"Y","N"))</f>
        <v>Y</v>
      </c>
    </row>
    <row r="38" customFormat="false" ht="15" hidden="false" customHeight="true" outlineLevel="0" collapsed="false">
      <c r="A38" s="6" t="n">
        <v>32</v>
      </c>
      <c r="B38" s="20" t="s">
        <v>142</v>
      </c>
      <c r="C38" s="20" t="s">
        <v>702</v>
      </c>
      <c r="D38" s="19" t="s">
        <v>703</v>
      </c>
      <c r="E38" s="19" t="s">
        <v>704</v>
      </c>
      <c r="F38" s="19" t="s">
        <v>723</v>
      </c>
      <c r="G38" s="19" t="s">
        <v>708</v>
      </c>
      <c r="H38" s="32" t="s">
        <v>724</v>
      </c>
      <c r="I38" s="19" t="n">
        <v>300</v>
      </c>
      <c r="J38" s="19"/>
      <c r="K38" s="19" t="s">
        <v>85</v>
      </c>
      <c r="L38" s="73" t="n">
        <v>1</v>
      </c>
      <c r="M38" s="37" t="str">
        <f aca="false">IF($G38&lt;&gt;"PIPE","",IFERROR(1/(1/INDEX(배관단중표!$B$7:$W$41,MATCH($I38,배관단중표!$A$7:$A$41,0),MATCH(IF($J38="SPP","SPP",IF(LEFT($F38,3)="STS",IF(ISNUMBER(SEARCH("316",$F38)),"STS316","STS304"),"SPPS")&amp;"|"&amp;$J38),배관단중표!$B$6:$W$6,0))),"DB확인"))</f>
        <v/>
      </c>
      <c r="N38" s="74" t="n">
        <v>95.6</v>
      </c>
      <c r="O38" s="56"/>
      <c r="P38" s="54" t="n">
        <f aca="false">IF($G38="","",IFERROR(IF(O38&lt;&gt;"",O38,L38*IF(G38="PIPE",M38,N38)),0))</f>
        <v>95.6</v>
      </c>
      <c r="Q38" s="6" t="str">
        <f aca="false">IF($G38="","",IF(G38="PIPE","P","F"))</f>
        <v>F</v>
      </c>
      <c r="R38" s="35" t="str">
        <f aca="false">IF($G38&lt;&gt;"PIPE","",IFERROR(IF(O38&lt;&gt;"",O38/M38,IF(K38="M",L38,"")),""))</f>
        <v/>
      </c>
      <c r="S38" s="6" t="str">
        <f aca="false">IF($G38&lt;&gt;"PIPE","",IF(AND($AA38="○",OR($W38&lt;&gt;"○",배관기준!$AG$17="N"),$C38&lt;&gt;"매설",LEFT($F38,3)&lt;&gt;"STS",LEFT($F38,3)&lt;&gt;"SUS"),"Y","N"))</f>
        <v/>
      </c>
      <c r="T38" s="16"/>
      <c r="U38" s="19" t="s">
        <v>705</v>
      </c>
      <c r="V38" s="19"/>
      <c r="W38" s="6" t="str">
        <f aca="false">IF($G38="","",IFERROR(INDEX(배관집계!$AC$7:$AC$32,MATCH($AC38,배관집계!$AJ$7:$AJ$32,0))&amp;"",""))</f>
        <v>×</v>
      </c>
      <c r="X38" s="6" t="str">
        <f aca="false">IF($G38="","",IFERROR(INDEX(배관집계!$AD$7:$AD$32,MATCH($AC38,배관집계!$AJ$7:$AJ$32,0))&amp;"",""))</f>
        <v>○</v>
      </c>
      <c r="Y38" s="6" t="str">
        <f aca="false">IF($G38="","",IFERROR(INDEX(배관집계!$AE$7:$AE$32,MATCH($AC38,배관집계!$AJ$7:$AJ$32,0))&amp;"",""))</f>
        <v>×</v>
      </c>
      <c r="Z38" s="6" t="str">
        <f aca="false">IF($G38="","",IFERROR(INDEX(배관집계!$AF$7:$AF$32,MATCH($AC38,배관집계!$AJ$7:$AJ$32,0))&amp;"",""))</f>
        <v>○</v>
      </c>
      <c r="AA38" s="6" t="str">
        <f aca="false">IF($G38="","",IFERROR(INDEX(배관집계!$AG$7:$AG$32,MATCH($AC38,배관집계!$AJ$7:$AJ$32,0))&amp;"",""))</f>
        <v>○</v>
      </c>
      <c r="AB38" s="6" t="str">
        <f aca="false">IF($G38="","",IFERROR(INDEX(배관집계!$AH$7:$AH$32,MATCH($AC38,배관집계!$AJ$7:$AJ$32,0))&amp;"",""))</f>
        <v>C/C</v>
      </c>
      <c r="AC38" s="75" t="str">
        <f aca="false">IF($G38="","",$B38&amp;"|"&amp;$C38&amp;"|"&amp;$E38&amp;"|"&amp;$U38&amp;"|"&amp;$I38)</f>
        <v>설치|옥외|5kg/cm2이상|STPG370S|300</v>
      </c>
      <c r="AD38" s="76" t="str">
        <f aca="false">IF($G38="","",IF($B38&lt;&gt;"설치","",IF($G38="PIPE","PIPE",IF($G38="VALVE",IF(ISNUMBER(SEARCH("GLOBE",$H38)),"GLOBE",IF(ISNUMBER(SEARCH("GATE",$H38)),"GATE",IF(ISNUMBER(SEARCH("BUTTER",$H38)),"BFLY","VALVE기타"))),IF($G38="FITTING",IF(LEFT($H38,5)="ELBOW",IF($AE38=90,"90EL",IF($AE38=45,"45EL","비규격EL")),IF(LEFT($H38,6)="FLANGE","FLANGE",IF(ISNUMBER(SEARCH("TEE",$H38)),"TEE",""))),"")))))</f>
        <v>FLANGE</v>
      </c>
      <c r="AE38" s="76" t="str">
        <f aca="false">IF(AND($G38="FITTING",LEFT($H38,5)="ELBOW"),IFERROR(VALUE(LEFT(MID($H38,7,12),MIN(IFERROR(FIND("L",MID($H38,7,12)),99),IFERROR(FIND("S",MID($H38,7,12)),99),IFERROR(FIND(" ",MID($H38,7,12)),99))-1)),""),"")</f>
        <v/>
      </c>
      <c r="AF38" s="77" t="n">
        <f aca="false">IF($AD38="비규격EL",N($L38)*RADIANS(N($AE38))*보온기준!$F$15*N($I38)*보온기준!$F$16/1000,0)</f>
        <v>0</v>
      </c>
      <c r="AG38" s="76" t="str">
        <f aca="false">IF($G38="","",IF(OR($AA38&lt;&gt;"○",LEFT($F38,3)="STS",LEFT($F38,3)="SUS",$C38="매설"),"Y","N"))</f>
        <v>N</v>
      </c>
    </row>
    <row r="39" customFormat="false" ht="15" hidden="false" customHeight="true" outlineLevel="0" collapsed="false">
      <c r="A39" s="6" t="n">
        <v>33</v>
      </c>
      <c r="B39" s="20" t="s">
        <v>142</v>
      </c>
      <c r="C39" s="20" t="s">
        <v>702</v>
      </c>
      <c r="D39" s="19" t="s">
        <v>703</v>
      </c>
      <c r="E39" s="19" t="s">
        <v>704</v>
      </c>
      <c r="F39" s="19" t="s">
        <v>725</v>
      </c>
      <c r="G39" s="19" t="s">
        <v>726</v>
      </c>
      <c r="H39" s="32" t="s">
        <v>727</v>
      </c>
      <c r="I39" s="19" t="n">
        <v>15</v>
      </c>
      <c r="J39" s="19"/>
      <c r="K39" s="19" t="s">
        <v>85</v>
      </c>
      <c r="L39" s="73" t="n">
        <v>1</v>
      </c>
      <c r="M39" s="37" t="str">
        <f aca="false">IF($G39&lt;&gt;"PIPE","",IFERROR(1/(1/INDEX(배관단중표!$B$7:$W$41,MATCH($I39,배관단중표!$A$7:$A$41,0),MATCH(IF($J39="SPP","SPP",IF(LEFT($F39,3)="STS",IF(ISNUMBER(SEARCH("316",$F39)),"STS316","STS304"),"SPPS")&amp;"|"&amp;$J39),배관단중표!$B$6:$W$6,0))),"DB확인"))</f>
        <v/>
      </c>
      <c r="N39" s="74" t="n">
        <v>2</v>
      </c>
      <c r="O39" s="56"/>
      <c r="P39" s="54" t="n">
        <f aca="false">IF($G39="","",IFERROR(IF(O39&lt;&gt;"",O39,L39*IF(G39="PIPE",M39,N39)),0))</f>
        <v>2</v>
      </c>
      <c r="Q39" s="6" t="str">
        <f aca="false">IF($G39="","",IF(G39="PIPE","P","F"))</f>
        <v>F</v>
      </c>
      <c r="R39" s="35" t="str">
        <f aca="false">IF($G39&lt;&gt;"PIPE","",IFERROR(IF(O39&lt;&gt;"",O39/M39,IF(K39="M",L39,"")),""))</f>
        <v/>
      </c>
      <c r="S39" s="6" t="str">
        <f aca="false">IF($G39&lt;&gt;"PIPE","",IF(AND($AA39="○",OR($W39&lt;&gt;"○",배관기준!$AG$17="N"),$C39&lt;&gt;"매설",LEFT($F39,3)&lt;&gt;"STS",LEFT($F39,3)&lt;&gt;"SUS"),"Y","N"))</f>
        <v/>
      </c>
      <c r="T39" s="16"/>
      <c r="U39" s="19" t="s">
        <v>705</v>
      </c>
      <c r="V39" s="19"/>
      <c r="W39" s="6" t="str">
        <f aca="false">IF($G39="","",IFERROR(INDEX(배관집계!$AC$7:$AC$32,MATCH($AC39,배관집계!$AJ$7:$AJ$32,0))&amp;"",""))</f>
        <v>○</v>
      </c>
      <c r="X39" s="6" t="str">
        <f aca="false">IF($G39="","",IFERROR(INDEX(배관집계!$AD$7:$AD$32,MATCH($AC39,배관집계!$AJ$7:$AJ$32,0))&amp;"",""))</f>
        <v>○</v>
      </c>
      <c r="Y39" s="6" t="str">
        <f aca="false">IF($G39="","",IFERROR(INDEX(배관집계!$AE$7:$AE$32,MATCH($AC39,배관집계!$AJ$7:$AJ$32,0))&amp;"",""))</f>
        <v>×</v>
      </c>
      <c r="Z39" s="6" t="str">
        <f aca="false">IF($G39="","",IFERROR(INDEX(배관집계!$AF$7:$AF$32,MATCH($AC39,배관집계!$AJ$7:$AJ$32,0))&amp;"",""))</f>
        <v>○</v>
      </c>
      <c r="AA39" s="6" t="str">
        <f aca="false">IF($G39="","",IFERROR(INDEX(배관집계!$AG$7:$AG$32,MATCH($AC39,배관집계!$AJ$7:$AJ$32,0))&amp;"",""))</f>
        <v>×</v>
      </c>
      <c r="AB39" s="6" t="str">
        <f aca="false">IF($G39="","",IFERROR(INDEX(배관집계!$AH$7:$AH$32,MATCH($AC39,배관집계!$AJ$7:$AJ$32,0))&amp;"",""))</f>
        <v>C/C</v>
      </c>
      <c r="AC39" s="75" t="str">
        <f aca="false">IF($G39="","",$B39&amp;"|"&amp;$C39&amp;"|"&amp;$E39&amp;"|"&amp;$U39&amp;"|"&amp;$I39)</f>
        <v>설치|옥외|5kg/cm2이상|STPG370S|15</v>
      </c>
      <c r="AD39" s="76" t="str">
        <f aca="false">IF($G39="","",IF($B39&lt;&gt;"설치","",IF($G39="PIPE","PIPE",IF($G39="VALVE",IF(ISNUMBER(SEARCH("GLOBE",$H39)),"GLOBE",IF(ISNUMBER(SEARCH("GATE",$H39)),"GATE",IF(ISNUMBER(SEARCH("BUTTER",$H39)),"BFLY","VALVE기타"))),IF($G39="FITTING",IF(LEFT($H39,5)="ELBOW",IF($AE39=90,"90EL",IF($AE39=45,"45EL","비규격EL")),IF(LEFT($H39,6)="FLANGE","FLANGE",IF(ISNUMBER(SEARCH("TEE",$H39)),"TEE",""))),"")))))</f>
        <v>GLOBE</v>
      </c>
      <c r="AE39" s="76" t="str">
        <f aca="false">IF(AND($G39="FITTING",LEFT($H39,5)="ELBOW"),IFERROR(VALUE(LEFT(MID($H39,7,12),MIN(IFERROR(FIND("L",MID($H39,7,12)),99),IFERROR(FIND("S",MID($H39,7,12)),99),IFERROR(FIND(" ",MID($H39,7,12)),99))-1)),""),"")</f>
        <v/>
      </c>
      <c r="AF39" s="77" t="n">
        <f aca="false">IF($AD39="비규격EL",N($L39)*RADIANS(N($AE39))*보온기준!$F$15*N($I39)*보온기준!$F$16/1000,0)</f>
        <v>0</v>
      </c>
      <c r="AG39" s="76" t="str">
        <f aca="false">IF($G39="","",IF(OR($AA39&lt;&gt;"○",LEFT($F39,3)="STS",LEFT($F39,3)="SUS",$C39="매설"),"Y","N"))</f>
        <v>Y</v>
      </c>
    </row>
    <row r="40" customFormat="false" ht="15" hidden="false" customHeight="true" outlineLevel="0" collapsed="false">
      <c r="A40" s="6" t="n">
        <v>34</v>
      </c>
      <c r="B40" s="20" t="s">
        <v>142</v>
      </c>
      <c r="C40" s="20" t="s">
        <v>702</v>
      </c>
      <c r="D40" s="19" t="s">
        <v>703</v>
      </c>
      <c r="E40" s="19" t="s">
        <v>704</v>
      </c>
      <c r="F40" s="19" t="s">
        <v>725</v>
      </c>
      <c r="G40" s="19" t="s">
        <v>726</v>
      </c>
      <c r="H40" s="32" t="s">
        <v>728</v>
      </c>
      <c r="I40" s="19" t="n">
        <v>15</v>
      </c>
      <c r="J40" s="19"/>
      <c r="K40" s="19" t="s">
        <v>85</v>
      </c>
      <c r="L40" s="73" t="n">
        <v>1</v>
      </c>
      <c r="M40" s="37" t="str">
        <f aca="false">IF($G40&lt;&gt;"PIPE","",IFERROR(1/(1/INDEX(배관단중표!$B$7:$W$41,MATCH($I40,배관단중표!$A$7:$A$41,0),MATCH(IF($J40="SPP","SPP",IF(LEFT($F40,3)="STS",IF(ISNUMBER(SEARCH("316",$F40)),"STS316","STS304"),"SPPS")&amp;"|"&amp;$J40),배관단중표!$B$6:$W$6,0))),"DB확인"))</f>
        <v/>
      </c>
      <c r="N40" s="74" t="n">
        <v>2</v>
      </c>
      <c r="O40" s="56"/>
      <c r="P40" s="54" t="n">
        <f aca="false">IF($G40="","",IFERROR(IF(O40&lt;&gt;"",O40,L40*IF(G40="PIPE",M40,N40)),0))</f>
        <v>2</v>
      </c>
      <c r="Q40" s="6" t="str">
        <f aca="false">IF($G40="","",IF(G40="PIPE","P","F"))</f>
        <v>F</v>
      </c>
      <c r="R40" s="35" t="str">
        <f aca="false">IF($G40&lt;&gt;"PIPE","",IFERROR(IF(O40&lt;&gt;"",O40/M40,IF(K40="M",L40,"")),""))</f>
        <v/>
      </c>
      <c r="S40" s="6" t="str">
        <f aca="false">IF($G40&lt;&gt;"PIPE","",IF(AND($AA40="○",OR($W40&lt;&gt;"○",배관기준!$AG$17="N"),$C40&lt;&gt;"매설",LEFT($F40,3)&lt;&gt;"STS",LEFT($F40,3)&lt;&gt;"SUS"),"Y","N"))</f>
        <v/>
      </c>
      <c r="T40" s="16"/>
      <c r="U40" s="19" t="s">
        <v>705</v>
      </c>
      <c r="V40" s="19"/>
      <c r="W40" s="6" t="str">
        <f aca="false">IF($G40="","",IFERROR(INDEX(배관집계!$AC$7:$AC$32,MATCH($AC40,배관집계!$AJ$7:$AJ$32,0))&amp;"",""))</f>
        <v>○</v>
      </c>
      <c r="X40" s="6" t="str">
        <f aca="false">IF($G40="","",IFERROR(INDEX(배관집계!$AD$7:$AD$32,MATCH($AC40,배관집계!$AJ$7:$AJ$32,0))&amp;"",""))</f>
        <v>○</v>
      </c>
      <c r="Y40" s="6" t="str">
        <f aca="false">IF($G40="","",IFERROR(INDEX(배관집계!$AE$7:$AE$32,MATCH($AC40,배관집계!$AJ$7:$AJ$32,0))&amp;"",""))</f>
        <v>×</v>
      </c>
      <c r="Z40" s="6" t="str">
        <f aca="false">IF($G40="","",IFERROR(INDEX(배관집계!$AF$7:$AF$32,MATCH($AC40,배관집계!$AJ$7:$AJ$32,0))&amp;"",""))</f>
        <v>○</v>
      </c>
      <c r="AA40" s="6" t="str">
        <f aca="false">IF($G40="","",IFERROR(INDEX(배관집계!$AG$7:$AG$32,MATCH($AC40,배관집계!$AJ$7:$AJ$32,0))&amp;"",""))</f>
        <v>×</v>
      </c>
      <c r="AB40" s="6" t="str">
        <f aca="false">IF($G40="","",IFERROR(INDEX(배관집계!$AH$7:$AH$32,MATCH($AC40,배관집계!$AJ$7:$AJ$32,0))&amp;"",""))</f>
        <v>C/C</v>
      </c>
      <c r="AC40" s="75" t="str">
        <f aca="false">IF($G40="","",$B40&amp;"|"&amp;$C40&amp;"|"&amp;$E40&amp;"|"&amp;$U40&amp;"|"&amp;$I40)</f>
        <v>설치|옥외|5kg/cm2이상|STPG370S|15</v>
      </c>
      <c r="AD40" s="76" t="str">
        <f aca="false">IF($G40="","",IF($B40&lt;&gt;"설치","",IF($G40="PIPE","PIPE",IF($G40="VALVE",IF(ISNUMBER(SEARCH("GLOBE",$H40)),"GLOBE",IF(ISNUMBER(SEARCH("GATE",$H40)),"GATE",IF(ISNUMBER(SEARCH("BUTTER",$H40)),"BFLY","VALVE기타"))),IF($G40="FITTING",IF(LEFT($H40,5)="ELBOW",IF($AE40=90,"90EL",IF($AE40=45,"45EL","비규격EL")),IF(LEFT($H40,6)="FLANGE","FLANGE",IF(ISNUMBER(SEARCH("TEE",$H40)),"TEE",""))),"")))))</f>
        <v>GLOBE</v>
      </c>
      <c r="AE40" s="76" t="str">
        <f aca="false">IF(AND($G40="FITTING",LEFT($H40,5)="ELBOW"),IFERROR(VALUE(LEFT(MID($H40,7,12),MIN(IFERROR(FIND("L",MID($H40,7,12)),99),IFERROR(FIND("S",MID($H40,7,12)),99),IFERROR(FIND(" ",MID($H40,7,12)),99))-1)),""),"")</f>
        <v/>
      </c>
      <c r="AF40" s="77" t="n">
        <f aca="false">IF($AD40="비규격EL",N($L40)*RADIANS(N($AE40))*보온기준!$F$15*N($I40)*보온기준!$F$16/1000,0)</f>
        <v>0</v>
      </c>
      <c r="AG40" s="76" t="str">
        <f aca="false">IF($G40="","",IF(OR($AA40&lt;&gt;"○",LEFT($F40,3)="STS",LEFT($F40,3)="SUS",$C40="매설"),"Y","N"))</f>
        <v>Y</v>
      </c>
    </row>
    <row r="41" customFormat="false" ht="15" hidden="false" customHeight="true" outlineLevel="0" collapsed="false">
      <c r="A41" s="6" t="n">
        <v>35</v>
      </c>
      <c r="B41" s="20" t="s">
        <v>142</v>
      </c>
      <c r="C41" s="20" t="s">
        <v>702</v>
      </c>
      <c r="D41" s="19" t="s">
        <v>703</v>
      </c>
      <c r="E41" s="19" t="s">
        <v>704</v>
      </c>
      <c r="F41" s="19" t="s">
        <v>725</v>
      </c>
      <c r="G41" s="19" t="s">
        <v>726</v>
      </c>
      <c r="H41" s="32" t="s">
        <v>729</v>
      </c>
      <c r="I41" s="19" t="n">
        <v>15</v>
      </c>
      <c r="J41" s="19"/>
      <c r="K41" s="19" t="s">
        <v>85</v>
      </c>
      <c r="L41" s="73" t="n">
        <v>1</v>
      </c>
      <c r="M41" s="37" t="str">
        <f aca="false">IF($G41&lt;&gt;"PIPE","",IFERROR(1/(1/INDEX(배관단중표!$B$7:$W$41,MATCH($I41,배관단중표!$A$7:$A$41,0),MATCH(IF($J41="SPP","SPP",IF(LEFT($F41,3)="STS",IF(ISNUMBER(SEARCH("316",$F41)),"STS316","STS304"),"SPPS")&amp;"|"&amp;$J41),배관단중표!$B$6:$W$6,0))),"DB확인"))</f>
        <v/>
      </c>
      <c r="N41" s="74" t="n">
        <v>2</v>
      </c>
      <c r="O41" s="56"/>
      <c r="P41" s="54" t="n">
        <f aca="false">IF($G41="","",IFERROR(IF(O41&lt;&gt;"",O41,L41*IF(G41="PIPE",M41,N41)),0))</f>
        <v>2</v>
      </c>
      <c r="Q41" s="6" t="str">
        <f aca="false">IF($G41="","",IF(G41="PIPE","P","F"))</f>
        <v>F</v>
      </c>
      <c r="R41" s="35" t="str">
        <f aca="false">IF($G41&lt;&gt;"PIPE","",IFERROR(IF(O41&lt;&gt;"",O41/M41,IF(K41="M",L41,"")),""))</f>
        <v/>
      </c>
      <c r="S41" s="6" t="str">
        <f aca="false">IF($G41&lt;&gt;"PIPE","",IF(AND($AA41="○",OR($W41&lt;&gt;"○",배관기준!$AG$17="N"),$C41&lt;&gt;"매설",LEFT($F41,3)&lt;&gt;"STS",LEFT($F41,3)&lt;&gt;"SUS"),"Y","N"))</f>
        <v/>
      </c>
      <c r="T41" s="16"/>
      <c r="U41" s="19" t="s">
        <v>705</v>
      </c>
      <c r="V41" s="19"/>
      <c r="W41" s="6" t="str">
        <f aca="false">IF($G41="","",IFERROR(INDEX(배관집계!$AC$7:$AC$32,MATCH($AC41,배관집계!$AJ$7:$AJ$32,0))&amp;"",""))</f>
        <v>○</v>
      </c>
      <c r="X41" s="6" t="str">
        <f aca="false">IF($G41="","",IFERROR(INDEX(배관집계!$AD$7:$AD$32,MATCH($AC41,배관집계!$AJ$7:$AJ$32,0))&amp;"",""))</f>
        <v>○</v>
      </c>
      <c r="Y41" s="6" t="str">
        <f aca="false">IF($G41="","",IFERROR(INDEX(배관집계!$AE$7:$AE$32,MATCH($AC41,배관집계!$AJ$7:$AJ$32,0))&amp;"",""))</f>
        <v>×</v>
      </c>
      <c r="Z41" s="6" t="str">
        <f aca="false">IF($G41="","",IFERROR(INDEX(배관집계!$AF$7:$AF$32,MATCH($AC41,배관집계!$AJ$7:$AJ$32,0))&amp;"",""))</f>
        <v>○</v>
      </c>
      <c r="AA41" s="6" t="str">
        <f aca="false">IF($G41="","",IFERROR(INDEX(배관집계!$AG$7:$AG$32,MATCH($AC41,배관집계!$AJ$7:$AJ$32,0))&amp;"",""))</f>
        <v>×</v>
      </c>
      <c r="AB41" s="6" t="str">
        <f aca="false">IF($G41="","",IFERROR(INDEX(배관집계!$AH$7:$AH$32,MATCH($AC41,배관집계!$AJ$7:$AJ$32,0))&amp;"",""))</f>
        <v>C/C</v>
      </c>
      <c r="AC41" s="75" t="str">
        <f aca="false">IF($G41="","",$B41&amp;"|"&amp;$C41&amp;"|"&amp;$E41&amp;"|"&amp;$U41&amp;"|"&amp;$I41)</f>
        <v>설치|옥외|5kg/cm2이상|STPG370S|15</v>
      </c>
      <c r="AD41" s="76" t="str">
        <f aca="false">IF($G41="","",IF($B41&lt;&gt;"설치","",IF($G41="PIPE","PIPE",IF($G41="VALVE",IF(ISNUMBER(SEARCH("GLOBE",$H41)),"GLOBE",IF(ISNUMBER(SEARCH("GATE",$H41)),"GATE",IF(ISNUMBER(SEARCH("BUTTER",$H41)),"BFLY","VALVE기타"))),IF($G41="FITTING",IF(LEFT($H41,5)="ELBOW",IF($AE41=90,"90EL",IF($AE41=45,"45EL","비규격EL")),IF(LEFT($H41,6)="FLANGE","FLANGE",IF(ISNUMBER(SEARCH("TEE",$H41)),"TEE",""))),"")))))</f>
        <v>GLOBE</v>
      </c>
      <c r="AE41" s="76" t="str">
        <f aca="false">IF(AND($G41="FITTING",LEFT($H41,5)="ELBOW"),IFERROR(VALUE(LEFT(MID($H41,7,12),MIN(IFERROR(FIND("L",MID($H41,7,12)),99),IFERROR(FIND("S",MID($H41,7,12)),99),IFERROR(FIND(" ",MID($H41,7,12)),99))-1)),""),"")</f>
        <v/>
      </c>
      <c r="AF41" s="77" t="n">
        <f aca="false">IF($AD41="비규격EL",N($L41)*RADIANS(N($AE41))*보온기준!$F$15*N($I41)*보온기준!$F$16/1000,0)</f>
        <v>0</v>
      </c>
      <c r="AG41" s="76" t="str">
        <f aca="false">IF($G41="","",IF(OR($AA41&lt;&gt;"○",LEFT($F41,3)="STS",LEFT($F41,3)="SUS",$C41="매설"),"Y","N"))</f>
        <v>Y</v>
      </c>
    </row>
    <row r="42" customFormat="false" ht="15" hidden="false" customHeight="true" outlineLevel="0" collapsed="false">
      <c r="A42" s="6" t="n">
        <v>36</v>
      </c>
      <c r="B42" s="20" t="s">
        <v>142</v>
      </c>
      <c r="C42" s="20" t="s">
        <v>702</v>
      </c>
      <c r="D42" s="19" t="s">
        <v>703</v>
      </c>
      <c r="E42" s="19" t="s">
        <v>704</v>
      </c>
      <c r="F42" s="19" t="s">
        <v>725</v>
      </c>
      <c r="G42" s="19" t="s">
        <v>726</v>
      </c>
      <c r="H42" s="32" t="s">
        <v>730</v>
      </c>
      <c r="I42" s="19" t="n">
        <v>15</v>
      </c>
      <c r="J42" s="19"/>
      <c r="K42" s="19" t="s">
        <v>85</v>
      </c>
      <c r="L42" s="73" t="n">
        <v>1</v>
      </c>
      <c r="M42" s="37" t="str">
        <f aca="false">IF($G42&lt;&gt;"PIPE","",IFERROR(1/(1/INDEX(배관단중표!$B$7:$W$41,MATCH($I42,배관단중표!$A$7:$A$41,0),MATCH(IF($J42="SPP","SPP",IF(LEFT($F42,3)="STS",IF(ISNUMBER(SEARCH("316",$F42)),"STS316","STS304"),"SPPS")&amp;"|"&amp;$J42),배관단중표!$B$6:$W$6,0))),"DB확인"))</f>
        <v/>
      </c>
      <c r="N42" s="74" t="n">
        <v>2</v>
      </c>
      <c r="O42" s="56"/>
      <c r="P42" s="54" t="n">
        <f aca="false">IF($G42="","",IFERROR(IF(O42&lt;&gt;"",O42,L42*IF(G42="PIPE",M42,N42)),0))</f>
        <v>2</v>
      </c>
      <c r="Q42" s="6" t="str">
        <f aca="false">IF($G42="","",IF(G42="PIPE","P","F"))</f>
        <v>F</v>
      </c>
      <c r="R42" s="35" t="str">
        <f aca="false">IF($G42&lt;&gt;"PIPE","",IFERROR(IF(O42&lt;&gt;"",O42/M42,IF(K42="M",L42,"")),""))</f>
        <v/>
      </c>
      <c r="S42" s="6" t="str">
        <f aca="false">IF($G42&lt;&gt;"PIPE","",IF(AND($AA42="○",OR($W42&lt;&gt;"○",배관기준!$AG$17="N"),$C42&lt;&gt;"매설",LEFT($F42,3)&lt;&gt;"STS",LEFT($F42,3)&lt;&gt;"SUS"),"Y","N"))</f>
        <v/>
      </c>
      <c r="T42" s="16"/>
      <c r="U42" s="19" t="s">
        <v>705</v>
      </c>
      <c r="V42" s="19"/>
      <c r="W42" s="6" t="str">
        <f aca="false">IF($G42="","",IFERROR(INDEX(배관집계!$AC$7:$AC$32,MATCH($AC42,배관집계!$AJ$7:$AJ$32,0))&amp;"",""))</f>
        <v>○</v>
      </c>
      <c r="X42" s="6" t="str">
        <f aca="false">IF($G42="","",IFERROR(INDEX(배관집계!$AD$7:$AD$32,MATCH($AC42,배관집계!$AJ$7:$AJ$32,0))&amp;"",""))</f>
        <v>○</v>
      </c>
      <c r="Y42" s="6" t="str">
        <f aca="false">IF($G42="","",IFERROR(INDEX(배관집계!$AE$7:$AE$32,MATCH($AC42,배관집계!$AJ$7:$AJ$32,0))&amp;"",""))</f>
        <v>×</v>
      </c>
      <c r="Z42" s="6" t="str">
        <f aca="false">IF($G42="","",IFERROR(INDEX(배관집계!$AF$7:$AF$32,MATCH($AC42,배관집계!$AJ$7:$AJ$32,0))&amp;"",""))</f>
        <v>○</v>
      </c>
      <c r="AA42" s="6" t="str">
        <f aca="false">IF($G42="","",IFERROR(INDEX(배관집계!$AG$7:$AG$32,MATCH($AC42,배관집계!$AJ$7:$AJ$32,0))&amp;"",""))</f>
        <v>×</v>
      </c>
      <c r="AB42" s="6" t="str">
        <f aca="false">IF($G42="","",IFERROR(INDEX(배관집계!$AH$7:$AH$32,MATCH($AC42,배관집계!$AJ$7:$AJ$32,0))&amp;"",""))</f>
        <v>C/C</v>
      </c>
      <c r="AC42" s="75" t="str">
        <f aca="false">IF($G42="","",$B42&amp;"|"&amp;$C42&amp;"|"&amp;$E42&amp;"|"&amp;$U42&amp;"|"&amp;$I42)</f>
        <v>설치|옥외|5kg/cm2이상|STPG370S|15</v>
      </c>
      <c r="AD42" s="76" t="str">
        <f aca="false">IF($G42="","",IF($B42&lt;&gt;"설치","",IF($G42="PIPE","PIPE",IF($G42="VALVE",IF(ISNUMBER(SEARCH("GLOBE",$H42)),"GLOBE",IF(ISNUMBER(SEARCH("GATE",$H42)),"GATE",IF(ISNUMBER(SEARCH("BUTTER",$H42)),"BFLY","VALVE기타"))),IF($G42="FITTING",IF(LEFT($H42,5)="ELBOW",IF($AE42=90,"90EL",IF($AE42=45,"45EL","비규격EL")),IF(LEFT($H42,6)="FLANGE","FLANGE",IF(ISNUMBER(SEARCH("TEE",$H42)),"TEE",""))),"")))))</f>
        <v>GLOBE</v>
      </c>
      <c r="AE42" s="76" t="str">
        <f aca="false">IF(AND($G42="FITTING",LEFT($H42,5)="ELBOW"),IFERROR(VALUE(LEFT(MID($H42,7,12),MIN(IFERROR(FIND("L",MID($H42,7,12)),99),IFERROR(FIND("S",MID($H42,7,12)),99),IFERROR(FIND(" ",MID($H42,7,12)),99))-1)),""),"")</f>
        <v/>
      </c>
      <c r="AF42" s="77" t="n">
        <f aca="false">IF($AD42="비규격EL",N($L42)*RADIANS(N($AE42))*보온기준!$F$15*N($I42)*보온기준!$F$16/1000,0)</f>
        <v>0</v>
      </c>
      <c r="AG42" s="76" t="str">
        <f aca="false">IF($G42="","",IF(OR($AA42&lt;&gt;"○",LEFT($F42,3)="STS",LEFT($F42,3)="SUS",$C42="매설"),"Y","N"))</f>
        <v>Y</v>
      </c>
    </row>
    <row r="43" customFormat="false" ht="15" hidden="false" customHeight="true" outlineLevel="0" collapsed="false">
      <c r="A43" s="6" t="n">
        <v>37</v>
      </c>
      <c r="B43" s="20" t="s">
        <v>142</v>
      </c>
      <c r="C43" s="20" t="s">
        <v>702</v>
      </c>
      <c r="D43" s="19" t="s">
        <v>703</v>
      </c>
      <c r="E43" s="19" t="s">
        <v>704</v>
      </c>
      <c r="F43" s="19" t="s">
        <v>731</v>
      </c>
      <c r="G43" s="19" t="s">
        <v>726</v>
      </c>
      <c r="H43" s="32" t="s">
        <v>732</v>
      </c>
      <c r="I43" s="19" t="n">
        <v>50</v>
      </c>
      <c r="J43" s="19"/>
      <c r="K43" s="19" t="s">
        <v>85</v>
      </c>
      <c r="L43" s="73" t="n">
        <v>1</v>
      </c>
      <c r="M43" s="37" t="str">
        <f aca="false">IF($G43&lt;&gt;"PIPE","",IFERROR(1/(1/INDEX(배관단중표!$B$7:$W$41,MATCH($I43,배관단중표!$A$7:$A$41,0),MATCH(IF($J43="SPP","SPP",IF(LEFT($F43,3)="STS",IF(ISNUMBER(SEARCH("316",$F43)),"STS316","STS304"),"SPPS")&amp;"|"&amp;$J43),배관단중표!$B$6:$W$6,0))),"DB확인"))</f>
        <v/>
      </c>
      <c r="N43" s="74" t="n">
        <v>27</v>
      </c>
      <c r="O43" s="56"/>
      <c r="P43" s="54" t="n">
        <f aca="false">IF($G43="","",IFERROR(IF(O43&lt;&gt;"",O43,L43*IF(G43="PIPE",M43,N43)),0))</f>
        <v>27</v>
      </c>
      <c r="Q43" s="6" t="str">
        <f aca="false">IF($G43="","",IF(G43="PIPE","P","F"))</f>
        <v>F</v>
      </c>
      <c r="R43" s="35" t="str">
        <f aca="false">IF($G43&lt;&gt;"PIPE","",IFERROR(IF(O43&lt;&gt;"",O43/M43,IF(K43="M",L43,"")),""))</f>
        <v/>
      </c>
      <c r="S43" s="6" t="str">
        <f aca="false">IF($G43&lt;&gt;"PIPE","",IF(AND($AA43="○",OR($W43&lt;&gt;"○",배관기준!$AG$17="N"),$C43&lt;&gt;"매설",LEFT($F43,3)&lt;&gt;"STS",LEFT($F43,3)&lt;&gt;"SUS"),"Y","N"))</f>
        <v/>
      </c>
      <c r="T43" s="16"/>
      <c r="U43" s="19" t="s">
        <v>705</v>
      </c>
      <c r="V43" s="19"/>
      <c r="W43" s="6" t="str">
        <f aca="false">IF($G43="","",IFERROR(INDEX(배관집계!$AC$7:$AC$32,MATCH($AC43,배관집계!$AJ$7:$AJ$32,0))&amp;"",""))</f>
        <v>○</v>
      </c>
      <c r="X43" s="6" t="str">
        <f aca="false">IF($G43="","",IFERROR(INDEX(배관집계!$AD$7:$AD$32,MATCH($AC43,배관집계!$AJ$7:$AJ$32,0))&amp;"",""))</f>
        <v>○</v>
      </c>
      <c r="Y43" s="6" t="str">
        <f aca="false">IF($G43="","",IFERROR(INDEX(배관집계!$AE$7:$AE$32,MATCH($AC43,배관집계!$AJ$7:$AJ$32,0))&amp;"",""))</f>
        <v>×</v>
      </c>
      <c r="Z43" s="6" t="str">
        <f aca="false">IF($G43="","",IFERROR(INDEX(배관집계!$AF$7:$AF$32,MATCH($AC43,배관집계!$AJ$7:$AJ$32,0))&amp;"",""))</f>
        <v>○</v>
      </c>
      <c r="AA43" s="6" t="str">
        <f aca="false">IF($G43="","",IFERROR(INDEX(배관집계!$AG$7:$AG$32,MATCH($AC43,배관집계!$AJ$7:$AJ$32,0))&amp;"",""))</f>
        <v>×</v>
      </c>
      <c r="AB43" s="6" t="str">
        <f aca="false">IF($G43="","",IFERROR(INDEX(배관집계!$AH$7:$AH$32,MATCH($AC43,배관집계!$AJ$7:$AJ$32,0))&amp;"",""))</f>
        <v>C/C</v>
      </c>
      <c r="AC43" s="75" t="str">
        <f aca="false">IF($G43="","",$B43&amp;"|"&amp;$C43&amp;"|"&amp;$E43&amp;"|"&amp;$U43&amp;"|"&amp;$I43)</f>
        <v>설치|옥외|5kg/cm2이상|STPG370S|50</v>
      </c>
      <c r="AD43" s="76" t="str">
        <f aca="false">IF($G43="","",IF($B43&lt;&gt;"설치","",IF($G43="PIPE","PIPE",IF($G43="VALVE",IF(ISNUMBER(SEARCH("GLOBE",$H43)),"GLOBE",IF(ISNUMBER(SEARCH("GATE",$H43)),"GATE",IF(ISNUMBER(SEARCH("BUTTER",$H43)),"BFLY","VALVE기타"))),IF($G43="FITTING",IF(LEFT($H43,5)="ELBOW",IF($AE43=90,"90EL",IF($AE43=45,"45EL","비규격EL")),IF(LEFT($H43,6)="FLANGE","FLANGE",IF(ISNUMBER(SEARCH("TEE",$H43)),"TEE",""))),"")))))</f>
        <v>GATE</v>
      </c>
      <c r="AE43" s="76" t="str">
        <f aca="false">IF(AND($G43="FITTING",LEFT($H43,5)="ELBOW"),IFERROR(VALUE(LEFT(MID($H43,7,12),MIN(IFERROR(FIND("L",MID($H43,7,12)),99),IFERROR(FIND("S",MID($H43,7,12)),99),IFERROR(FIND(" ",MID($H43,7,12)),99))-1)),""),"")</f>
        <v/>
      </c>
      <c r="AF43" s="77" t="n">
        <f aca="false">IF($AD43="비규격EL",N($L43)*RADIANS(N($AE43))*보온기준!$F$15*N($I43)*보온기준!$F$16/1000,0)</f>
        <v>0</v>
      </c>
      <c r="AG43" s="76" t="str">
        <f aca="false">IF($G43="","",IF(OR($AA43&lt;&gt;"○",LEFT($F43,3)="STS",LEFT($F43,3)="SUS",$C43="매설"),"Y","N"))</f>
        <v>Y</v>
      </c>
    </row>
    <row r="44" customFormat="false" ht="15" hidden="false" customHeight="true" outlineLevel="0" collapsed="false">
      <c r="A44" s="6" t="n">
        <v>38</v>
      </c>
      <c r="B44" s="20" t="s">
        <v>142</v>
      </c>
      <c r="C44" s="20" t="s">
        <v>702</v>
      </c>
      <c r="D44" s="19" t="s">
        <v>703</v>
      </c>
      <c r="E44" s="19" t="s">
        <v>704</v>
      </c>
      <c r="F44" s="19" t="s">
        <v>731</v>
      </c>
      <c r="G44" s="19" t="s">
        <v>726</v>
      </c>
      <c r="H44" s="32" t="s">
        <v>733</v>
      </c>
      <c r="I44" s="19" t="n">
        <v>50</v>
      </c>
      <c r="J44" s="19"/>
      <c r="K44" s="19" t="s">
        <v>85</v>
      </c>
      <c r="L44" s="73" t="n">
        <v>1</v>
      </c>
      <c r="M44" s="37" t="str">
        <f aca="false">IF($G44&lt;&gt;"PIPE","",IFERROR(1/(1/INDEX(배관단중표!$B$7:$W$41,MATCH($I44,배관단중표!$A$7:$A$41,0),MATCH(IF($J44="SPP","SPP",IF(LEFT($F44,3)="STS",IF(ISNUMBER(SEARCH("316",$F44)),"STS316","STS304"),"SPPS")&amp;"|"&amp;$J44),배관단중표!$B$6:$W$6,0))),"DB확인"))</f>
        <v/>
      </c>
      <c r="N44" s="74" t="n">
        <v>27</v>
      </c>
      <c r="O44" s="56"/>
      <c r="P44" s="54" t="n">
        <f aca="false">IF($G44="","",IFERROR(IF(O44&lt;&gt;"",O44,L44*IF(G44="PIPE",M44,N44)),0))</f>
        <v>27</v>
      </c>
      <c r="Q44" s="6" t="str">
        <f aca="false">IF($G44="","",IF(G44="PIPE","P","F"))</f>
        <v>F</v>
      </c>
      <c r="R44" s="35" t="str">
        <f aca="false">IF($G44&lt;&gt;"PIPE","",IFERROR(IF(O44&lt;&gt;"",O44/M44,IF(K44="M",L44,"")),""))</f>
        <v/>
      </c>
      <c r="S44" s="6" t="str">
        <f aca="false">IF($G44&lt;&gt;"PIPE","",IF(AND($AA44="○",OR($W44&lt;&gt;"○",배관기준!$AG$17="N"),$C44&lt;&gt;"매설",LEFT($F44,3)&lt;&gt;"STS",LEFT($F44,3)&lt;&gt;"SUS"),"Y","N"))</f>
        <v/>
      </c>
      <c r="T44" s="16"/>
      <c r="U44" s="19" t="s">
        <v>705</v>
      </c>
      <c r="V44" s="19"/>
      <c r="W44" s="6" t="str">
        <f aca="false">IF($G44="","",IFERROR(INDEX(배관집계!$AC$7:$AC$32,MATCH($AC44,배관집계!$AJ$7:$AJ$32,0))&amp;"",""))</f>
        <v>○</v>
      </c>
      <c r="X44" s="6" t="str">
        <f aca="false">IF($G44="","",IFERROR(INDEX(배관집계!$AD$7:$AD$32,MATCH($AC44,배관집계!$AJ$7:$AJ$32,0))&amp;"",""))</f>
        <v>○</v>
      </c>
      <c r="Y44" s="6" t="str">
        <f aca="false">IF($G44="","",IFERROR(INDEX(배관집계!$AE$7:$AE$32,MATCH($AC44,배관집계!$AJ$7:$AJ$32,0))&amp;"",""))</f>
        <v>×</v>
      </c>
      <c r="Z44" s="6" t="str">
        <f aca="false">IF($G44="","",IFERROR(INDEX(배관집계!$AF$7:$AF$32,MATCH($AC44,배관집계!$AJ$7:$AJ$32,0))&amp;"",""))</f>
        <v>○</v>
      </c>
      <c r="AA44" s="6" t="str">
        <f aca="false">IF($G44="","",IFERROR(INDEX(배관집계!$AG$7:$AG$32,MATCH($AC44,배관집계!$AJ$7:$AJ$32,0))&amp;"",""))</f>
        <v>×</v>
      </c>
      <c r="AB44" s="6" t="str">
        <f aca="false">IF($G44="","",IFERROR(INDEX(배관집계!$AH$7:$AH$32,MATCH($AC44,배관집계!$AJ$7:$AJ$32,0))&amp;"",""))</f>
        <v>C/C</v>
      </c>
      <c r="AC44" s="75" t="str">
        <f aca="false">IF($G44="","",$B44&amp;"|"&amp;$C44&amp;"|"&amp;$E44&amp;"|"&amp;$U44&amp;"|"&amp;$I44)</f>
        <v>설치|옥외|5kg/cm2이상|STPG370S|50</v>
      </c>
      <c r="AD44" s="76" t="str">
        <f aca="false">IF($G44="","",IF($B44&lt;&gt;"설치","",IF($G44="PIPE","PIPE",IF($G44="VALVE",IF(ISNUMBER(SEARCH("GLOBE",$H44)),"GLOBE",IF(ISNUMBER(SEARCH("GATE",$H44)),"GATE",IF(ISNUMBER(SEARCH("BUTTER",$H44)),"BFLY","VALVE기타"))),IF($G44="FITTING",IF(LEFT($H44,5)="ELBOW",IF($AE44=90,"90EL",IF($AE44=45,"45EL","비규격EL")),IF(LEFT($H44,6)="FLANGE","FLANGE",IF(ISNUMBER(SEARCH("TEE",$H44)),"TEE",""))),"")))))</f>
        <v>GATE</v>
      </c>
      <c r="AE44" s="76" t="str">
        <f aca="false">IF(AND($G44="FITTING",LEFT($H44,5)="ELBOW"),IFERROR(VALUE(LEFT(MID($H44,7,12),MIN(IFERROR(FIND("L",MID($H44,7,12)),99),IFERROR(FIND("S",MID($H44,7,12)),99),IFERROR(FIND(" ",MID($H44,7,12)),99))-1)),""),"")</f>
        <v/>
      </c>
      <c r="AF44" s="77" t="n">
        <f aca="false">IF($AD44="비규격EL",N($L44)*RADIANS(N($AE44))*보온기준!$F$15*N($I44)*보온기준!$F$16/1000,0)</f>
        <v>0</v>
      </c>
      <c r="AG44" s="76" t="str">
        <f aca="false">IF($G44="","",IF(OR($AA44&lt;&gt;"○",LEFT($F44,3)="STS",LEFT($F44,3)="SUS",$C44="매설"),"Y","N"))</f>
        <v>Y</v>
      </c>
    </row>
    <row r="45" customFormat="false" ht="15" hidden="false" customHeight="true" outlineLevel="0" collapsed="false">
      <c r="A45" s="6" t="n">
        <v>39</v>
      </c>
      <c r="B45" s="20" t="s">
        <v>142</v>
      </c>
      <c r="C45" s="20" t="s">
        <v>702</v>
      </c>
      <c r="D45" s="19" t="s">
        <v>703</v>
      </c>
      <c r="E45" s="19" t="s">
        <v>704</v>
      </c>
      <c r="F45" s="19" t="s">
        <v>731</v>
      </c>
      <c r="G45" s="19" t="s">
        <v>726</v>
      </c>
      <c r="H45" s="32" t="s">
        <v>734</v>
      </c>
      <c r="I45" s="19" t="n">
        <v>50</v>
      </c>
      <c r="J45" s="19"/>
      <c r="K45" s="19" t="s">
        <v>85</v>
      </c>
      <c r="L45" s="73" t="n">
        <v>1</v>
      </c>
      <c r="M45" s="37" t="str">
        <f aca="false">IF($G45&lt;&gt;"PIPE","",IFERROR(1/(1/INDEX(배관단중표!$B$7:$W$41,MATCH($I45,배관단중표!$A$7:$A$41,0),MATCH(IF($J45="SPP","SPP",IF(LEFT($F45,3)="STS",IF(ISNUMBER(SEARCH("316",$F45)),"STS316","STS304"),"SPPS")&amp;"|"&amp;$J45),배관단중표!$B$6:$W$6,0))),"DB확인"))</f>
        <v/>
      </c>
      <c r="N45" s="74" t="n">
        <v>27</v>
      </c>
      <c r="O45" s="56"/>
      <c r="P45" s="54" t="n">
        <f aca="false">IF($G45="","",IFERROR(IF(O45&lt;&gt;"",O45,L45*IF(G45="PIPE",M45,N45)),0))</f>
        <v>27</v>
      </c>
      <c r="Q45" s="6" t="str">
        <f aca="false">IF($G45="","",IF(G45="PIPE","P","F"))</f>
        <v>F</v>
      </c>
      <c r="R45" s="35" t="str">
        <f aca="false">IF($G45&lt;&gt;"PIPE","",IFERROR(IF(O45&lt;&gt;"",O45/M45,IF(K45="M",L45,"")),""))</f>
        <v/>
      </c>
      <c r="S45" s="6" t="str">
        <f aca="false">IF($G45&lt;&gt;"PIPE","",IF(AND($AA45="○",OR($W45&lt;&gt;"○",배관기준!$AG$17="N"),$C45&lt;&gt;"매설",LEFT($F45,3)&lt;&gt;"STS",LEFT($F45,3)&lt;&gt;"SUS"),"Y","N"))</f>
        <v/>
      </c>
      <c r="T45" s="16"/>
      <c r="U45" s="19" t="s">
        <v>705</v>
      </c>
      <c r="V45" s="19"/>
      <c r="W45" s="6" t="str">
        <f aca="false">IF($G45="","",IFERROR(INDEX(배관집계!$AC$7:$AC$32,MATCH($AC45,배관집계!$AJ$7:$AJ$32,0))&amp;"",""))</f>
        <v>○</v>
      </c>
      <c r="X45" s="6" t="str">
        <f aca="false">IF($G45="","",IFERROR(INDEX(배관집계!$AD$7:$AD$32,MATCH($AC45,배관집계!$AJ$7:$AJ$32,0))&amp;"",""))</f>
        <v>○</v>
      </c>
      <c r="Y45" s="6" t="str">
        <f aca="false">IF($G45="","",IFERROR(INDEX(배관집계!$AE$7:$AE$32,MATCH($AC45,배관집계!$AJ$7:$AJ$32,0))&amp;"",""))</f>
        <v>×</v>
      </c>
      <c r="Z45" s="6" t="str">
        <f aca="false">IF($G45="","",IFERROR(INDEX(배관집계!$AF$7:$AF$32,MATCH($AC45,배관집계!$AJ$7:$AJ$32,0))&amp;"",""))</f>
        <v>○</v>
      </c>
      <c r="AA45" s="6" t="str">
        <f aca="false">IF($G45="","",IFERROR(INDEX(배관집계!$AG$7:$AG$32,MATCH($AC45,배관집계!$AJ$7:$AJ$32,0))&amp;"",""))</f>
        <v>×</v>
      </c>
      <c r="AB45" s="6" t="str">
        <f aca="false">IF($G45="","",IFERROR(INDEX(배관집계!$AH$7:$AH$32,MATCH($AC45,배관집계!$AJ$7:$AJ$32,0))&amp;"",""))</f>
        <v>C/C</v>
      </c>
      <c r="AC45" s="75" t="str">
        <f aca="false">IF($G45="","",$B45&amp;"|"&amp;$C45&amp;"|"&amp;$E45&amp;"|"&amp;$U45&amp;"|"&amp;$I45)</f>
        <v>설치|옥외|5kg/cm2이상|STPG370S|50</v>
      </c>
      <c r="AD45" s="76" t="str">
        <f aca="false">IF($G45="","",IF($B45&lt;&gt;"설치","",IF($G45="PIPE","PIPE",IF($G45="VALVE",IF(ISNUMBER(SEARCH("GLOBE",$H45)),"GLOBE",IF(ISNUMBER(SEARCH("GATE",$H45)),"GATE",IF(ISNUMBER(SEARCH("BUTTER",$H45)),"BFLY","VALVE기타"))),IF($G45="FITTING",IF(LEFT($H45,5)="ELBOW",IF($AE45=90,"90EL",IF($AE45=45,"45EL","비규격EL")),IF(LEFT($H45,6)="FLANGE","FLANGE",IF(ISNUMBER(SEARCH("TEE",$H45)),"TEE",""))),"")))))</f>
        <v>GATE</v>
      </c>
      <c r="AE45" s="76" t="str">
        <f aca="false">IF(AND($G45="FITTING",LEFT($H45,5)="ELBOW"),IFERROR(VALUE(LEFT(MID($H45,7,12),MIN(IFERROR(FIND("L",MID($H45,7,12)),99),IFERROR(FIND("S",MID($H45,7,12)),99),IFERROR(FIND(" ",MID($H45,7,12)),99))-1)),""),"")</f>
        <v/>
      </c>
      <c r="AF45" s="77" t="n">
        <f aca="false">IF($AD45="비규격EL",N($L45)*RADIANS(N($AE45))*보온기준!$F$15*N($I45)*보온기준!$F$16/1000,0)</f>
        <v>0</v>
      </c>
      <c r="AG45" s="76" t="str">
        <f aca="false">IF($G45="","",IF(OR($AA45&lt;&gt;"○",LEFT($F45,3)="STS",LEFT($F45,3)="SUS",$C45="매설"),"Y","N"))</f>
        <v>Y</v>
      </c>
    </row>
    <row r="46" customFormat="false" ht="15" hidden="false" customHeight="true" outlineLevel="0" collapsed="false">
      <c r="A46" s="6" t="n">
        <v>40</v>
      </c>
      <c r="B46" s="20" t="s">
        <v>142</v>
      </c>
      <c r="C46" s="20" t="s">
        <v>702</v>
      </c>
      <c r="D46" s="19" t="s">
        <v>703</v>
      </c>
      <c r="E46" s="19" t="s">
        <v>704</v>
      </c>
      <c r="F46" s="19" t="s">
        <v>731</v>
      </c>
      <c r="G46" s="19" t="s">
        <v>726</v>
      </c>
      <c r="H46" s="32" t="s">
        <v>735</v>
      </c>
      <c r="I46" s="19" t="n">
        <v>80</v>
      </c>
      <c r="J46" s="19"/>
      <c r="K46" s="19" t="s">
        <v>85</v>
      </c>
      <c r="L46" s="73" t="n">
        <v>1</v>
      </c>
      <c r="M46" s="37" t="str">
        <f aca="false">IF($G46&lt;&gt;"PIPE","",IFERROR(1/(1/INDEX(배관단중표!$B$7:$W$41,MATCH($I46,배관단중표!$A$7:$A$41,0),MATCH(IF($J46="SPP","SPP",IF(LEFT($F46,3)="STS",IF(ISNUMBER(SEARCH("316",$F46)),"STS316","STS304"),"SPPS")&amp;"|"&amp;$J46),배관단중표!$B$6:$W$6,0))),"DB확인"))</f>
        <v/>
      </c>
      <c r="N46" s="74" t="n">
        <v>55</v>
      </c>
      <c r="O46" s="56"/>
      <c r="P46" s="54" t="n">
        <f aca="false">IF($G46="","",IFERROR(IF(O46&lt;&gt;"",O46,L46*IF(G46="PIPE",M46,N46)),0))</f>
        <v>55</v>
      </c>
      <c r="Q46" s="6" t="str">
        <f aca="false">IF($G46="","",IF(G46="PIPE","P","F"))</f>
        <v>F</v>
      </c>
      <c r="R46" s="35" t="str">
        <f aca="false">IF($G46&lt;&gt;"PIPE","",IFERROR(IF(O46&lt;&gt;"",O46/M46,IF(K46="M",L46,"")),""))</f>
        <v/>
      </c>
      <c r="S46" s="6" t="str">
        <f aca="false">IF($G46&lt;&gt;"PIPE","",IF(AND($AA46="○",OR($W46&lt;&gt;"○",배관기준!$AG$17="N"),$C46&lt;&gt;"매설",LEFT($F46,3)&lt;&gt;"STS",LEFT($F46,3)&lt;&gt;"SUS"),"Y","N"))</f>
        <v/>
      </c>
      <c r="T46" s="16"/>
      <c r="U46" s="19" t="s">
        <v>705</v>
      </c>
      <c r="V46" s="19"/>
      <c r="W46" s="6" t="str">
        <f aca="false">IF($G46="","",IFERROR(INDEX(배관집계!$AC$7:$AC$32,MATCH($AC46,배관집계!$AJ$7:$AJ$32,0))&amp;"",""))</f>
        <v>○</v>
      </c>
      <c r="X46" s="6" t="str">
        <f aca="false">IF($G46="","",IFERROR(INDEX(배관집계!$AD$7:$AD$32,MATCH($AC46,배관집계!$AJ$7:$AJ$32,0))&amp;"",""))</f>
        <v>○</v>
      </c>
      <c r="Y46" s="6" t="str">
        <f aca="false">IF($G46="","",IFERROR(INDEX(배관집계!$AE$7:$AE$32,MATCH($AC46,배관집계!$AJ$7:$AJ$32,0))&amp;"",""))</f>
        <v>×</v>
      </c>
      <c r="Z46" s="6" t="str">
        <f aca="false">IF($G46="","",IFERROR(INDEX(배관집계!$AF$7:$AF$32,MATCH($AC46,배관집계!$AJ$7:$AJ$32,0))&amp;"",""))</f>
        <v>○</v>
      </c>
      <c r="AA46" s="6" t="str">
        <f aca="false">IF($G46="","",IFERROR(INDEX(배관집계!$AG$7:$AG$32,MATCH($AC46,배관집계!$AJ$7:$AJ$32,0))&amp;"",""))</f>
        <v>×</v>
      </c>
      <c r="AB46" s="6" t="str">
        <f aca="false">IF($G46="","",IFERROR(INDEX(배관집계!$AH$7:$AH$32,MATCH($AC46,배관집계!$AJ$7:$AJ$32,0))&amp;"",""))</f>
        <v>C/C</v>
      </c>
      <c r="AC46" s="75" t="str">
        <f aca="false">IF($G46="","",$B46&amp;"|"&amp;$C46&amp;"|"&amp;$E46&amp;"|"&amp;$U46&amp;"|"&amp;$I46)</f>
        <v>설치|옥외|5kg/cm2이상|STPG370S|80</v>
      </c>
      <c r="AD46" s="76" t="str">
        <f aca="false">IF($G46="","",IF($B46&lt;&gt;"설치","",IF($G46="PIPE","PIPE",IF($G46="VALVE",IF(ISNUMBER(SEARCH("GLOBE",$H46)),"GLOBE",IF(ISNUMBER(SEARCH("GATE",$H46)),"GATE",IF(ISNUMBER(SEARCH("BUTTER",$H46)),"BFLY","VALVE기타"))),IF($G46="FITTING",IF(LEFT($H46,5)="ELBOW",IF($AE46=90,"90EL",IF($AE46=45,"45EL","비규격EL")),IF(LEFT($H46,6)="FLANGE","FLANGE",IF(ISNUMBER(SEARCH("TEE",$H46)),"TEE",""))),"")))))</f>
        <v>GATE</v>
      </c>
      <c r="AE46" s="76" t="str">
        <f aca="false">IF(AND($G46="FITTING",LEFT($H46,5)="ELBOW"),IFERROR(VALUE(LEFT(MID($H46,7,12),MIN(IFERROR(FIND("L",MID($H46,7,12)),99),IFERROR(FIND("S",MID($H46,7,12)),99),IFERROR(FIND(" ",MID($H46,7,12)),99))-1)),""),"")</f>
        <v/>
      </c>
      <c r="AF46" s="77" t="n">
        <f aca="false">IF($AD46="비규격EL",N($L46)*RADIANS(N($AE46))*보온기준!$F$15*N($I46)*보온기준!$F$16/1000,0)</f>
        <v>0</v>
      </c>
      <c r="AG46" s="76" t="str">
        <f aca="false">IF($G46="","",IF(OR($AA46&lt;&gt;"○",LEFT($F46,3)="STS",LEFT($F46,3)="SUS",$C46="매설"),"Y","N"))</f>
        <v>Y</v>
      </c>
    </row>
    <row r="47" customFormat="false" ht="15" hidden="false" customHeight="true" outlineLevel="0" collapsed="false">
      <c r="A47" s="6" t="n">
        <v>41</v>
      </c>
      <c r="B47" s="20" t="s">
        <v>142</v>
      </c>
      <c r="C47" s="20" t="s">
        <v>702</v>
      </c>
      <c r="D47" s="19" t="s">
        <v>703</v>
      </c>
      <c r="E47" s="19" t="s">
        <v>704</v>
      </c>
      <c r="F47" s="19" t="s">
        <v>731</v>
      </c>
      <c r="G47" s="19" t="s">
        <v>726</v>
      </c>
      <c r="H47" s="32" t="s">
        <v>736</v>
      </c>
      <c r="I47" s="19" t="n">
        <v>150</v>
      </c>
      <c r="J47" s="19"/>
      <c r="K47" s="19" t="s">
        <v>85</v>
      </c>
      <c r="L47" s="73" t="n">
        <v>1</v>
      </c>
      <c r="M47" s="37" t="str">
        <f aca="false">IF($G47&lt;&gt;"PIPE","",IFERROR(1/(1/INDEX(배관단중표!$B$7:$W$41,MATCH($I47,배관단중표!$A$7:$A$41,0),MATCH(IF($J47="SPP","SPP",IF(LEFT($F47,3)="STS",IF(ISNUMBER(SEARCH("316",$F47)),"STS316","STS304"),"SPPS")&amp;"|"&amp;$J47),배관단중표!$B$6:$W$6,0))),"DB확인"))</f>
        <v/>
      </c>
      <c r="N47" s="74" t="n">
        <v>130</v>
      </c>
      <c r="O47" s="56"/>
      <c r="P47" s="54" t="n">
        <f aca="false">IF($G47="","",IFERROR(IF(O47&lt;&gt;"",O47,L47*IF(G47="PIPE",M47,N47)),0))</f>
        <v>130</v>
      </c>
      <c r="Q47" s="6" t="str">
        <f aca="false">IF($G47="","",IF(G47="PIPE","P","F"))</f>
        <v>F</v>
      </c>
      <c r="R47" s="35" t="str">
        <f aca="false">IF($G47&lt;&gt;"PIPE","",IFERROR(IF(O47&lt;&gt;"",O47/M47,IF(K47="M",L47,"")),""))</f>
        <v/>
      </c>
      <c r="S47" s="6" t="str">
        <f aca="false">IF($G47&lt;&gt;"PIPE","",IF(AND($AA47="○",OR($W47&lt;&gt;"○",배관기준!$AG$17="N"),$C47&lt;&gt;"매설",LEFT($F47,3)&lt;&gt;"STS",LEFT($F47,3)&lt;&gt;"SUS"),"Y","N"))</f>
        <v/>
      </c>
      <c r="T47" s="16"/>
      <c r="U47" s="19" t="s">
        <v>705</v>
      </c>
      <c r="V47" s="19"/>
      <c r="W47" s="6" t="str">
        <f aca="false">IF($G47="","",IFERROR(INDEX(배관집계!$AC$7:$AC$32,MATCH($AC47,배관집계!$AJ$7:$AJ$32,0))&amp;"",""))</f>
        <v>○</v>
      </c>
      <c r="X47" s="6" t="str">
        <f aca="false">IF($G47="","",IFERROR(INDEX(배관집계!$AD$7:$AD$32,MATCH($AC47,배관집계!$AJ$7:$AJ$32,0))&amp;"",""))</f>
        <v>○</v>
      </c>
      <c r="Y47" s="6" t="str">
        <f aca="false">IF($G47="","",IFERROR(INDEX(배관집계!$AE$7:$AE$32,MATCH($AC47,배관집계!$AJ$7:$AJ$32,0))&amp;"",""))</f>
        <v>×</v>
      </c>
      <c r="Z47" s="6" t="str">
        <f aca="false">IF($G47="","",IFERROR(INDEX(배관집계!$AF$7:$AF$32,MATCH($AC47,배관집계!$AJ$7:$AJ$32,0))&amp;"",""))</f>
        <v>○</v>
      </c>
      <c r="AA47" s="6" t="str">
        <f aca="false">IF($G47="","",IFERROR(INDEX(배관집계!$AG$7:$AG$32,MATCH($AC47,배관집계!$AJ$7:$AJ$32,0))&amp;"",""))</f>
        <v>×</v>
      </c>
      <c r="AB47" s="6" t="str">
        <f aca="false">IF($G47="","",IFERROR(INDEX(배관집계!$AH$7:$AH$32,MATCH($AC47,배관집계!$AJ$7:$AJ$32,0))&amp;"",""))</f>
        <v>C/C</v>
      </c>
      <c r="AC47" s="75" t="str">
        <f aca="false">IF($G47="","",$B47&amp;"|"&amp;$C47&amp;"|"&amp;$E47&amp;"|"&amp;$U47&amp;"|"&amp;$I47)</f>
        <v>설치|옥외|5kg/cm2이상|STPG370S|150</v>
      </c>
      <c r="AD47" s="76" t="str">
        <f aca="false">IF($G47="","",IF($B47&lt;&gt;"설치","",IF($G47="PIPE","PIPE",IF($G47="VALVE",IF(ISNUMBER(SEARCH("GLOBE",$H47)),"GLOBE",IF(ISNUMBER(SEARCH("GATE",$H47)),"GATE",IF(ISNUMBER(SEARCH("BUTTER",$H47)),"BFLY","VALVE기타"))),IF($G47="FITTING",IF(LEFT($H47,5)="ELBOW",IF($AE47=90,"90EL",IF($AE47=45,"45EL","비규격EL")),IF(LEFT($H47,6)="FLANGE","FLANGE",IF(ISNUMBER(SEARCH("TEE",$H47)),"TEE",""))),"")))))</f>
        <v>GATE</v>
      </c>
      <c r="AE47" s="76" t="str">
        <f aca="false">IF(AND($G47="FITTING",LEFT($H47,5)="ELBOW"),IFERROR(VALUE(LEFT(MID($H47,7,12),MIN(IFERROR(FIND("L",MID($H47,7,12)),99),IFERROR(FIND("S",MID($H47,7,12)),99),IFERROR(FIND(" ",MID($H47,7,12)),99))-1)),""),"")</f>
        <v/>
      </c>
      <c r="AF47" s="77" t="n">
        <f aca="false">IF($AD47="비규격EL",N($L47)*RADIANS(N($AE47))*보온기준!$F$15*N($I47)*보온기준!$F$16/1000,0)</f>
        <v>0</v>
      </c>
      <c r="AG47" s="76" t="str">
        <f aca="false">IF($G47="","",IF(OR($AA47&lt;&gt;"○",LEFT($F47,3)="STS",LEFT($F47,3)="SUS",$C47="매설"),"Y","N"))</f>
        <v>Y</v>
      </c>
    </row>
    <row r="48" customFormat="false" ht="15" hidden="false" customHeight="true" outlineLevel="0" collapsed="false">
      <c r="A48" s="6" t="n">
        <v>42</v>
      </c>
      <c r="B48" s="20" t="s">
        <v>142</v>
      </c>
      <c r="C48" s="20" t="s">
        <v>702</v>
      </c>
      <c r="D48" s="19" t="s">
        <v>703</v>
      </c>
      <c r="E48" s="19" t="s">
        <v>704</v>
      </c>
      <c r="F48" s="19" t="s">
        <v>731</v>
      </c>
      <c r="G48" s="19" t="s">
        <v>726</v>
      </c>
      <c r="H48" s="32" t="s">
        <v>737</v>
      </c>
      <c r="I48" s="19" t="n">
        <v>150</v>
      </c>
      <c r="J48" s="19"/>
      <c r="K48" s="19" t="s">
        <v>85</v>
      </c>
      <c r="L48" s="73" t="n">
        <v>1</v>
      </c>
      <c r="M48" s="37" t="str">
        <f aca="false">IF($G48&lt;&gt;"PIPE","",IFERROR(1/(1/INDEX(배관단중표!$B$7:$W$41,MATCH($I48,배관단중표!$A$7:$A$41,0),MATCH(IF($J48="SPP","SPP",IF(LEFT($F48,3)="STS",IF(ISNUMBER(SEARCH("316",$F48)),"STS316","STS304"),"SPPS")&amp;"|"&amp;$J48),배관단중표!$B$6:$W$6,0))),"DB확인"))</f>
        <v/>
      </c>
      <c r="N48" s="74" t="n">
        <v>130</v>
      </c>
      <c r="O48" s="56"/>
      <c r="P48" s="54" t="n">
        <f aca="false">IF($G48="","",IFERROR(IF(O48&lt;&gt;"",O48,L48*IF(G48="PIPE",M48,N48)),0))</f>
        <v>130</v>
      </c>
      <c r="Q48" s="6" t="str">
        <f aca="false">IF($G48="","",IF(G48="PIPE","P","F"))</f>
        <v>F</v>
      </c>
      <c r="R48" s="35" t="str">
        <f aca="false">IF($G48&lt;&gt;"PIPE","",IFERROR(IF(O48&lt;&gt;"",O48/M48,IF(K48="M",L48,"")),""))</f>
        <v/>
      </c>
      <c r="S48" s="6" t="str">
        <f aca="false">IF($G48&lt;&gt;"PIPE","",IF(AND($AA48="○",OR($W48&lt;&gt;"○",배관기준!$AG$17="N"),$C48&lt;&gt;"매설",LEFT($F48,3)&lt;&gt;"STS",LEFT($F48,3)&lt;&gt;"SUS"),"Y","N"))</f>
        <v/>
      </c>
      <c r="T48" s="16"/>
      <c r="U48" s="19" t="s">
        <v>705</v>
      </c>
      <c r="V48" s="19"/>
      <c r="W48" s="6" t="str">
        <f aca="false">IF($G48="","",IFERROR(INDEX(배관집계!$AC$7:$AC$32,MATCH($AC48,배관집계!$AJ$7:$AJ$32,0))&amp;"",""))</f>
        <v>○</v>
      </c>
      <c r="X48" s="6" t="str">
        <f aca="false">IF($G48="","",IFERROR(INDEX(배관집계!$AD$7:$AD$32,MATCH($AC48,배관집계!$AJ$7:$AJ$32,0))&amp;"",""))</f>
        <v>○</v>
      </c>
      <c r="Y48" s="6" t="str">
        <f aca="false">IF($G48="","",IFERROR(INDEX(배관집계!$AE$7:$AE$32,MATCH($AC48,배관집계!$AJ$7:$AJ$32,0))&amp;"",""))</f>
        <v>×</v>
      </c>
      <c r="Z48" s="6" t="str">
        <f aca="false">IF($G48="","",IFERROR(INDEX(배관집계!$AF$7:$AF$32,MATCH($AC48,배관집계!$AJ$7:$AJ$32,0))&amp;"",""))</f>
        <v>○</v>
      </c>
      <c r="AA48" s="6" t="str">
        <f aca="false">IF($G48="","",IFERROR(INDEX(배관집계!$AG$7:$AG$32,MATCH($AC48,배관집계!$AJ$7:$AJ$32,0))&amp;"",""))</f>
        <v>×</v>
      </c>
      <c r="AB48" s="6" t="str">
        <f aca="false">IF($G48="","",IFERROR(INDEX(배관집계!$AH$7:$AH$32,MATCH($AC48,배관집계!$AJ$7:$AJ$32,0))&amp;"",""))</f>
        <v>C/C</v>
      </c>
      <c r="AC48" s="75" t="str">
        <f aca="false">IF($G48="","",$B48&amp;"|"&amp;$C48&amp;"|"&amp;$E48&amp;"|"&amp;$U48&amp;"|"&amp;$I48)</f>
        <v>설치|옥외|5kg/cm2이상|STPG370S|150</v>
      </c>
      <c r="AD48" s="76" t="str">
        <f aca="false">IF($G48="","",IF($B48&lt;&gt;"설치","",IF($G48="PIPE","PIPE",IF($G48="VALVE",IF(ISNUMBER(SEARCH("GLOBE",$H48)),"GLOBE",IF(ISNUMBER(SEARCH("GATE",$H48)),"GATE",IF(ISNUMBER(SEARCH("BUTTER",$H48)),"BFLY","VALVE기타"))),IF($G48="FITTING",IF(LEFT($H48,5)="ELBOW",IF($AE48=90,"90EL",IF($AE48=45,"45EL","비규격EL")),IF(LEFT($H48,6)="FLANGE","FLANGE",IF(ISNUMBER(SEARCH("TEE",$H48)),"TEE",""))),"")))))</f>
        <v>GATE</v>
      </c>
      <c r="AE48" s="76" t="str">
        <f aca="false">IF(AND($G48="FITTING",LEFT($H48,5)="ELBOW"),IFERROR(VALUE(LEFT(MID($H48,7,12),MIN(IFERROR(FIND("L",MID($H48,7,12)),99),IFERROR(FIND("S",MID($H48,7,12)),99),IFERROR(FIND(" ",MID($H48,7,12)),99))-1)),""),"")</f>
        <v/>
      </c>
      <c r="AF48" s="77" t="n">
        <f aca="false">IF($AD48="비규격EL",N($L48)*RADIANS(N($AE48))*보온기준!$F$15*N($I48)*보온기준!$F$16/1000,0)</f>
        <v>0</v>
      </c>
      <c r="AG48" s="76" t="str">
        <f aca="false">IF($G48="","",IF(OR($AA48&lt;&gt;"○",LEFT($F48,3)="STS",LEFT($F48,3)="SUS",$C48="매설"),"Y","N"))</f>
        <v>Y</v>
      </c>
    </row>
    <row r="49" customFormat="false" ht="15" hidden="false" customHeight="true" outlineLevel="0" collapsed="false">
      <c r="A49" s="6" t="n">
        <v>43</v>
      </c>
      <c r="B49" s="20" t="s">
        <v>142</v>
      </c>
      <c r="C49" s="20" t="s">
        <v>702</v>
      </c>
      <c r="D49" s="19" t="s">
        <v>703</v>
      </c>
      <c r="E49" s="19" t="s">
        <v>704</v>
      </c>
      <c r="F49" s="19" t="s">
        <v>731</v>
      </c>
      <c r="G49" s="19" t="s">
        <v>726</v>
      </c>
      <c r="H49" s="32" t="s">
        <v>738</v>
      </c>
      <c r="I49" s="19" t="n">
        <v>200</v>
      </c>
      <c r="J49" s="19"/>
      <c r="K49" s="19" t="s">
        <v>85</v>
      </c>
      <c r="L49" s="73" t="n">
        <v>1</v>
      </c>
      <c r="M49" s="37" t="str">
        <f aca="false">IF($G49&lt;&gt;"PIPE","",IFERROR(1/(1/INDEX(배관단중표!$B$7:$W$41,MATCH($I49,배관단중표!$A$7:$A$41,0),MATCH(IF($J49="SPP","SPP",IF(LEFT($F49,3)="STS",IF(ISNUMBER(SEARCH("316",$F49)),"STS316","STS304"),"SPPS")&amp;"|"&amp;$J49),배관단중표!$B$6:$W$6,0))),"DB확인"))</f>
        <v/>
      </c>
      <c r="N49" s="74" t="n">
        <v>553</v>
      </c>
      <c r="O49" s="56"/>
      <c r="P49" s="54" t="n">
        <f aca="false">IF($G49="","",IFERROR(IF(O49&lt;&gt;"",O49,L49*IF(G49="PIPE",M49,N49)),0))</f>
        <v>553</v>
      </c>
      <c r="Q49" s="6" t="str">
        <f aca="false">IF($G49="","",IF(G49="PIPE","P","F"))</f>
        <v>F</v>
      </c>
      <c r="R49" s="35" t="str">
        <f aca="false">IF($G49&lt;&gt;"PIPE","",IFERROR(IF(O49&lt;&gt;"",O49/M49,IF(K49="M",L49,"")),""))</f>
        <v/>
      </c>
      <c r="S49" s="6" t="str">
        <f aca="false">IF($G49&lt;&gt;"PIPE","",IF(AND($AA49="○",OR($W49&lt;&gt;"○",배관기준!$AG$17="N"),$C49&lt;&gt;"매설",LEFT($F49,3)&lt;&gt;"STS",LEFT($F49,3)&lt;&gt;"SUS"),"Y","N"))</f>
        <v/>
      </c>
      <c r="T49" s="16"/>
      <c r="U49" s="19" t="s">
        <v>705</v>
      </c>
      <c r="V49" s="19"/>
      <c r="W49" s="6" t="str">
        <f aca="false">IF($G49="","",IFERROR(INDEX(배관집계!$AC$7:$AC$32,MATCH($AC49,배관집계!$AJ$7:$AJ$32,0))&amp;"",""))</f>
        <v>○</v>
      </c>
      <c r="X49" s="6" t="str">
        <f aca="false">IF($G49="","",IFERROR(INDEX(배관집계!$AD$7:$AD$32,MATCH($AC49,배관집계!$AJ$7:$AJ$32,0))&amp;"",""))</f>
        <v>○</v>
      </c>
      <c r="Y49" s="6" t="str">
        <f aca="false">IF($G49="","",IFERROR(INDEX(배관집계!$AE$7:$AE$32,MATCH($AC49,배관집계!$AJ$7:$AJ$32,0))&amp;"",""))</f>
        <v>×</v>
      </c>
      <c r="Z49" s="6" t="str">
        <f aca="false">IF($G49="","",IFERROR(INDEX(배관집계!$AF$7:$AF$32,MATCH($AC49,배관집계!$AJ$7:$AJ$32,0))&amp;"",""))</f>
        <v>○</v>
      </c>
      <c r="AA49" s="6" t="str">
        <f aca="false">IF($G49="","",IFERROR(INDEX(배관집계!$AG$7:$AG$32,MATCH($AC49,배관집계!$AJ$7:$AJ$32,0))&amp;"",""))</f>
        <v>×</v>
      </c>
      <c r="AB49" s="6" t="str">
        <f aca="false">IF($G49="","",IFERROR(INDEX(배관집계!$AH$7:$AH$32,MATCH($AC49,배관집계!$AJ$7:$AJ$32,0))&amp;"",""))</f>
        <v>C/C</v>
      </c>
      <c r="AC49" s="75" t="str">
        <f aca="false">IF($G49="","",$B49&amp;"|"&amp;$C49&amp;"|"&amp;$E49&amp;"|"&amp;$U49&amp;"|"&amp;$I49)</f>
        <v>설치|옥외|5kg/cm2이상|STPG370S|200</v>
      </c>
      <c r="AD49" s="76" t="str">
        <f aca="false">IF($G49="","",IF($B49&lt;&gt;"설치","",IF($G49="PIPE","PIPE",IF($G49="VALVE",IF(ISNUMBER(SEARCH("GLOBE",$H49)),"GLOBE",IF(ISNUMBER(SEARCH("GATE",$H49)),"GATE",IF(ISNUMBER(SEARCH("BUTTER",$H49)),"BFLY","VALVE기타"))),IF($G49="FITTING",IF(LEFT($H49,5)="ELBOW",IF($AE49=90,"90EL",IF($AE49=45,"45EL","비규격EL")),IF(LEFT($H49,6)="FLANGE","FLANGE",IF(ISNUMBER(SEARCH("TEE",$H49)),"TEE",""))),"")))))</f>
        <v>GATE</v>
      </c>
      <c r="AE49" s="76" t="str">
        <f aca="false">IF(AND($G49="FITTING",LEFT($H49,5)="ELBOW"),IFERROR(VALUE(LEFT(MID($H49,7,12),MIN(IFERROR(FIND("L",MID($H49,7,12)),99),IFERROR(FIND("S",MID($H49,7,12)),99),IFERROR(FIND(" ",MID($H49,7,12)),99))-1)),""),"")</f>
        <v/>
      </c>
      <c r="AF49" s="77" t="n">
        <f aca="false">IF($AD49="비규격EL",N($L49)*RADIANS(N($AE49))*보온기준!$F$15*N($I49)*보온기준!$F$16/1000,0)</f>
        <v>0</v>
      </c>
      <c r="AG49" s="76" t="str">
        <f aca="false">IF($G49="","",IF(OR($AA49&lt;&gt;"○",LEFT($F49,3)="STS",LEFT($F49,3)="SUS",$C49="매설"),"Y","N"))</f>
        <v>Y</v>
      </c>
    </row>
    <row r="50" customFormat="false" ht="15" hidden="false" customHeight="true" outlineLevel="0" collapsed="false">
      <c r="A50" s="6" t="n">
        <v>44</v>
      </c>
      <c r="B50" s="20" t="s">
        <v>142</v>
      </c>
      <c r="C50" s="20" t="s">
        <v>702</v>
      </c>
      <c r="D50" s="19" t="s">
        <v>703</v>
      </c>
      <c r="E50" s="19" t="s">
        <v>704</v>
      </c>
      <c r="F50" s="19" t="s">
        <v>731</v>
      </c>
      <c r="G50" s="19" t="s">
        <v>726</v>
      </c>
      <c r="H50" s="32" t="s">
        <v>739</v>
      </c>
      <c r="I50" s="19" t="n">
        <v>300</v>
      </c>
      <c r="J50" s="19"/>
      <c r="K50" s="19" t="s">
        <v>85</v>
      </c>
      <c r="L50" s="73" t="n">
        <v>1</v>
      </c>
      <c r="M50" s="37" t="str">
        <f aca="false">IF($G50&lt;&gt;"PIPE","",IFERROR(1/(1/INDEX(배관단중표!$B$7:$W$41,MATCH($I50,배관단중표!$A$7:$A$41,0),MATCH(IF($J50="SPP","SPP",IF(LEFT($F50,3)="STS",IF(ISNUMBER(SEARCH("316",$F50)),"STS316","STS304"),"SPPS")&amp;"|"&amp;$J50),배관단중표!$B$6:$W$6,0))),"DB확인"))</f>
        <v/>
      </c>
      <c r="N50" s="74" t="n">
        <v>1193</v>
      </c>
      <c r="O50" s="56"/>
      <c r="P50" s="54" t="n">
        <f aca="false">IF($G50="","",IFERROR(IF(O50&lt;&gt;"",O50,L50*IF(G50="PIPE",M50,N50)),0))</f>
        <v>1193</v>
      </c>
      <c r="Q50" s="6" t="str">
        <f aca="false">IF($G50="","",IF(G50="PIPE","P","F"))</f>
        <v>F</v>
      </c>
      <c r="R50" s="35" t="str">
        <f aca="false">IF($G50&lt;&gt;"PIPE","",IFERROR(IF(O50&lt;&gt;"",O50/M50,IF(K50="M",L50,"")),""))</f>
        <v/>
      </c>
      <c r="S50" s="6" t="str">
        <f aca="false">IF($G50&lt;&gt;"PIPE","",IF(AND($AA50="○",OR($W50&lt;&gt;"○",배관기준!$AG$17="N"),$C50&lt;&gt;"매설",LEFT($F50,3)&lt;&gt;"STS",LEFT($F50,3)&lt;&gt;"SUS"),"Y","N"))</f>
        <v/>
      </c>
      <c r="T50" s="16"/>
      <c r="U50" s="19" t="s">
        <v>705</v>
      </c>
      <c r="V50" s="19"/>
      <c r="W50" s="6" t="str">
        <f aca="false">IF($G50="","",IFERROR(INDEX(배관집계!$AC$7:$AC$32,MATCH($AC50,배관집계!$AJ$7:$AJ$32,0))&amp;"",""))</f>
        <v>×</v>
      </c>
      <c r="X50" s="6" t="str">
        <f aca="false">IF($G50="","",IFERROR(INDEX(배관집계!$AD$7:$AD$32,MATCH($AC50,배관집계!$AJ$7:$AJ$32,0))&amp;"",""))</f>
        <v>○</v>
      </c>
      <c r="Y50" s="6" t="str">
        <f aca="false">IF($G50="","",IFERROR(INDEX(배관집계!$AE$7:$AE$32,MATCH($AC50,배관집계!$AJ$7:$AJ$32,0))&amp;"",""))</f>
        <v>×</v>
      </c>
      <c r="Z50" s="6" t="str">
        <f aca="false">IF($G50="","",IFERROR(INDEX(배관집계!$AF$7:$AF$32,MATCH($AC50,배관집계!$AJ$7:$AJ$32,0))&amp;"",""))</f>
        <v>○</v>
      </c>
      <c r="AA50" s="6" t="str">
        <f aca="false">IF($G50="","",IFERROR(INDEX(배관집계!$AG$7:$AG$32,MATCH($AC50,배관집계!$AJ$7:$AJ$32,0))&amp;"",""))</f>
        <v>○</v>
      </c>
      <c r="AB50" s="6" t="str">
        <f aca="false">IF($G50="","",IFERROR(INDEX(배관집계!$AH$7:$AH$32,MATCH($AC50,배관집계!$AJ$7:$AJ$32,0))&amp;"",""))</f>
        <v>C/C</v>
      </c>
      <c r="AC50" s="75" t="str">
        <f aca="false">IF($G50="","",$B50&amp;"|"&amp;$C50&amp;"|"&amp;$E50&amp;"|"&amp;$U50&amp;"|"&amp;$I50)</f>
        <v>설치|옥외|5kg/cm2이상|STPG370S|300</v>
      </c>
      <c r="AD50" s="76" t="str">
        <f aca="false">IF($G50="","",IF($B50&lt;&gt;"설치","",IF($G50="PIPE","PIPE",IF($G50="VALVE",IF(ISNUMBER(SEARCH("GLOBE",$H50)),"GLOBE",IF(ISNUMBER(SEARCH("GATE",$H50)),"GATE",IF(ISNUMBER(SEARCH("BUTTER",$H50)),"BFLY","VALVE기타"))),IF($G50="FITTING",IF(LEFT($H50,5)="ELBOW",IF($AE50=90,"90EL",IF($AE50=45,"45EL","비규격EL")),IF(LEFT($H50,6)="FLANGE","FLANGE",IF(ISNUMBER(SEARCH("TEE",$H50)),"TEE",""))),"")))))</f>
        <v>GATE</v>
      </c>
      <c r="AE50" s="76" t="str">
        <f aca="false">IF(AND($G50="FITTING",LEFT($H50,5)="ELBOW"),IFERROR(VALUE(LEFT(MID($H50,7,12),MIN(IFERROR(FIND("L",MID($H50,7,12)),99),IFERROR(FIND("S",MID($H50,7,12)),99),IFERROR(FIND(" ",MID($H50,7,12)),99))-1)),""),"")</f>
        <v/>
      </c>
      <c r="AF50" s="77" t="n">
        <f aca="false">IF($AD50="비규격EL",N($L50)*RADIANS(N($AE50))*보온기준!$F$15*N($I50)*보온기준!$F$16/1000,0)</f>
        <v>0</v>
      </c>
      <c r="AG50" s="76" t="str">
        <f aca="false">IF($G50="","",IF(OR($AA50&lt;&gt;"○",LEFT($F50,3)="STS",LEFT($F50,3)="SUS",$C50="매설"),"Y","N"))</f>
        <v>N</v>
      </c>
    </row>
    <row r="51" customFormat="false" ht="15" hidden="false" customHeight="true" outlineLevel="0" collapsed="false">
      <c r="A51" s="6" t="n">
        <v>45</v>
      </c>
      <c r="B51" s="20" t="s">
        <v>142</v>
      </c>
      <c r="C51" s="20" t="s">
        <v>702</v>
      </c>
      <c r="D51" s="19" t="s">
        <v>703</v>
      </c>
      <c r="E51" s="19" t="s">
        <v>704</v>
      </c>
      <c r="F51" s="19" t="s">
        <v>707</v>
      </c>
      <c r="G51" s="19" t="s">
        <v>708</v>
      </c>
      <c r="H51" s="32" t="s">
        <v>740</v>
      </c>
      <c r="I51" s="19" t="n">
        <v>15</v>
      </c>
      <c r="J51" s="19"/>
      <c r="K51" s="19" t="s">
        <v>85</v>
      </c>
      <c r="L51" s="73" t="n">
        <v>3</v>
      </c>
      <c r="M51" s="37" t="str">
        <f aca="false">IF($G51&lt;&gt;"PIPE","",IFERROR(1/(1/INDEX(배관단중표!$B$7:$W$41,MATCH($I51,배관단중표!$A$7:$A$41,0),MATCH(IF($J51="SPP","SPP",IF(LEFT($F51,3)="STS",IF(ISNUMBER(SEARCH("316",$F51)),"STS316","STS304"),"SPPS")&amp;"|"&amp;$J51),배관단중표!$B$6:$W$6,0))),"DB확인"))</f>
        <v/>
      </c>
      <c r="N51" s="74" t="n">
        <v>0.2</v>
      </c>
      <c r="O51" s="56"/>
      <c r="P51" s="54" t="n">
        <f aca="false">IF($G51="","",IFERROR(IF(O51&lt;&gt;"",O51,L51*IF(G51="PIPE",M51,N51)),0))</f>
        <v>0.6</v>
      </c>
      <c r="Q51" s="6" t="str">
        <f aca="false">IF($G51="","",IF(G51="PIPE","P","F"))</f>
        <v>F</v>
      </c>
      <c r="R51" s="35" t="str">
        <f aca="false">IF($G51&lt;&gt;"PIPE","",IFERROR(IF(O51&lt;&gt;"",O51/M51,IF(K51="M",L51,"")),""))</f>
        <v/>
      </c>
      <c r="S51" s="6" t="str">
        <f aca="false">IF($G51&lt;&gt;"PIPE","",IF(AND($AA51="○",OR($W51&lt;&gt;"○",배관기준!$AG$17="N"),$C51&lt;&gt;"매설",LEFT($F51,3)&lt;&gt;"STS",LEFT($F51,3)&lt;&gt;"SUS"),"Y","N"))</f>
        <v/>
      </c>
      <c r="T51" s="16"/>
      <c r="U51" s="19" t="s">
        <v>705</v>
      </c>
      <c r="V51" s="19"/>
      <c r="W51" s="6" t="str">
        <f aca="false">IF($G51="","",IFERROR(INDEX(배관집계!$AC$7:$AC$32,MATCH($AC51,배관집계!$AJ$7:$AJ$32,0))&amp;"",""))</f>
        <v>○</v>
      </c>
      <c r="X51" s="6" t="str">
        <f aca="false">IF($G51="","",IFERROR(INDEX(배관집계!$AD$7:$AD$32,MATCH($AC51,배관집계!$AJ$7:$AJ$32,0))&amp;"",""))</f>
        <v>○</v>
      </c>
      <c r="Y51" s="6" t="str">
        <f aca="false">IF($G51="","",IFERROR(INDEX(배관집계!$AE$7:$AE$32,MATCH($AC51,배관집계!$AJ$7:$AJ$32,0))&amp;"",""))</f>
        <v>×</v>
      </c>
      <c r="Z51" s="6" t="str">
        <f aca="false">IF($G51="","",IFERROR(INDEX(배관집계!$AF$7:$AF$32,MATCH($AC51,배관집계!$AJ$7:$AJ$32,0))&amp;"",""))</f>
        <v>○</v>
      </c>
      <c r="AA51" s="6" t="str">
        <f aca="false">IF($G51="","",IFERROR(INDEX(배관집계!$AG$7:$AG$32,MATCH($AC51,배관집계!$AJ$7:$AJ$32,0))&amp;"",""))</f>
        <v>×</v>
      </c>
      <c r="AB51" s="6" t="str">
        <f aca="false">IF($G51="","",IFERROR(INDEX(배관집계!$AH$7:$AH$32,MATCH($AC51,배관집계!$AJ$7:$AJ$32,0))&amp;"",""))</f>
        <v>C/C</v>
      </c>
      <c r="AC51" s="75" t="str">
        <f aca="false">IF($G51="","",$B51&amp;"|"&amp;$C51&amp;"|"&amp;$E51&amp;"|"&amp;$U51&amp;"|"&amp;$I51)</f>
        <v>설치|옥외|5kg/cm2이상|STPG370S|15</v>
      </c>
      <c r="AD51" s="76" t="str">
        <f aca="false">IF($G51="","",IF($B51&lt;&gt;"설치","",IF($G51="PIPE","PIPE",IF($G51="VALVE",IF(ISNUMBER(SEARCH("GLOBE",$H51)),"GLOBE",IF(ISNUMBER(SEARCH("GATE",$H51)),"GATE",IF(ISNUMBER(SEARCH("BUTTER",$H51)),"BFLY","VALVE기타"))),IF($G51="FITTING",IF(LEFT($H51,5)="ELBOW",IF($AE51=90,"90EL",IF($AE51=45,"45EL","비규격EL")),IF(LEFT($H51,6)="FLANGE","FLANGE",IF(ISNUMBER(SEARCH("TEE",$H51)),"TEE",""))),"")))))</f>
        <v/>
      </c>
      <c r="AE51" s="76" t="str">
        <f aca="false">IF(AND($G51="FITTING",LEFT($H51,5)="ELBOW"),IFERROR(VALUE(LEFT(MID($H51,7,12),MIN(IFERROR(FIND("L",MID($H51,7,12)),99),IFERROR(FIND("S",MID($H51,7,12)),99),IFERROR(FIND(" ",MID($H51,7,12)),99))-1)),""),"")</f>
        <v/>
      </c>
      <c r="AF51" s="77" t="n">
        <f aca="false">IF($AD51="비규격EL",N($L51)*RADIANS(N($AE51))*보온기준!$F$15*N($I51)*보온기준!$F$16/1000,0)</f>
        <v>0</v>
      </c>
      <c r="AG51" s="76" t="str">
        <f aca="false">IF($G51="","",IF(OR($AA51&lt;&gt;"○",LEFT($F51,3)="STS",LEFT($F51,3)="SUS",$C51="매설"),"Y","N"))</f>
        <v>Y</v>
      </c>
    </row>
    <row r="52" customFormat="false" ht="15" hidden="false" customHeight="true" outlineLevel="0" collapsed="false">
      <c r="A52" s="6" t="n">
        <v>46</v>
      </c>
      <c r="B52" s="20" t="s">
        <v>142</v>
      </c>
      <c r="C52" s="20" t="s">
        <v>702</v>
      </c>
      <c r="D52" s="19" t="s">
        <v>703</v>
      </c>
      <c r="E52" s="19" t="s">
        <v>704</v>
      </c>
      <c r="F52" s="19" t="s">
        <v>707</v>
      </c>
      <c r="G52" s="19" t="s">
        <v>708</v>
      </c>
      <c r="H52" s="32" t="s">
        <v>740</v>
      </c>
      <c r="I52" s="19" t="n">
        <v>25</v>
      </c>
      <c r="J52" s="19"/>
      <c r="K52" s="19" t="s">
        <v>85</v>
      </c>
      <c r="L52" s="73" t="n">
        <v>3</v>
      </c>
      <c r="M52" s="37" t="str">
        <f aca="false">IF($G52&lt;&gt;"PIPE","",IFERROR(1/(1/INDEX(배관단중표!$B$7:$W$41,MATCH($I52,배관단중표!$A$7:$A$41,0),MATCH(IF($J52="SPP","SPP",IF(LEFT($F52,3)="STS",IF(ISNUMBER(SEARCH("316",$F52)),"STS316","STS304"),"SPPS")&amp;"|"&amp;$J52),배관단중표!$B$6:$W$6,0))),"DB확인"))</f>
        <v/>
      </c>
      <c r="N52" s="74" t="n">
        <v>0.4</v>
      </c>
      <c r="O52" s="56"/>
      <c r="P52" s="54" t="n">
        <f aca="false">IF($G52="","",IFERROR(IF(O52&lt;&gt;"",O52,L52*IF(G52="PIPE",M52,N52)),0))</f>
        <v>1.2</v>
      </c>
      <c r="Q52" s="6" t="str">
        <f aca="false">IF($G52="","",IF(G52="PIPE","P","F"))</f>
        <v>F</v>
      </c>
      <c r="R52" s="35" t="str">
        <f aca="false">IF($G52&lt;&gt;"PIPE","",IFERROR(IF(O52&lt;&gt;"",O52/M52,IF(K52="M",L52,"")),""))</f>
        <v/>
      </c>
      <c r="S52" s="6" t="str">
        <f aca="false">IF($G52&lt;&gt;"PIPE","",IF(AND($AA52="○",OR($W52&lt;&gt;"○",배관기준!$AG$17="N"),$C52&lt;&gt;"매설",LEFT($F52,3)&lt;&gt;"STS",LEFT($F52,3)&lt;&gt;"SUS"),"Y","N"))</f>
        <v/>
      </c>
      <c r="T52" s="16"/>
      <c r="U52" s="19" t="s">
        <v>705</v>
      </c>
      <c r="V52" s="19"/>
      <c r="W52" s="6" t="str">
        <f aca="false">IF($G52="","",IFERROR(INDEX(배관집계!$AC$7:$AC$32,MATCH($AC52,배관집계!$AJ$7:$AJ$32,0))&amp;"",""))</f>
        <v/>
      </c>
      <c r="X52" s="6" t="str">
        <f aca="false">IF($G52="","",IFERROR(INDEX(배관집계!$AD$7:$AD$32,MATCH($AC52,배관집계!$AJ$7:$AJ$32,0))&amp;"",""))</f>
        <v/>
      </c>
      <c r="Y52" s="6" t="str">
        <f aca="false">IF($G52="","",IFERROR(INDEX(배관집계!$AE$7:$AE$32,MATCH($AC52,배관집계!$AJ$7:$AJ$32,0))&amp;"",""))</f>
        <v/>
      </c>
      <c r="Z52" s="6" t="str">
        <f aca="false">IF($G52="","",IFERROR(INDEX(배관집계!$AF$7:$AF$32,MATCH($AC52,배관집계!$AJ$7:$AJ$32,0))&amp;"",""))</f>
        <v/>
      </c>
      <c r="AA52" s="6" t="str">
        <f aca="false">IF($G52="","",IFERROR(INDEX(배관집계!$AG$7:$AG$32,MATCH($AC52,배관집계!$AJ$7:$AJ$32,0))&amp;"",""))</f>
        <v/>
      </c>
      <c r="AB52" s="6" t="str">
        <f aca="false">IF($G52="","",IFERROR(INDEX(배관집계!$AH$7:$AH$32,MATCH($AC52,배관집계!$AJ$7:$AJ$32,0))&amp;"",""))</f>
        <v/>
      </c>
      <c r="AC52" s="75" t="str">
        <f aca="false">IF($G52="","",$B52&amp;"|"&amp;$C52&amp;"|"&amp;$E52&amp;"|"&amp;$U52&amp;"|"&amp;$I52)</f>
        <v>설치|옥외|5kg/cm2이상|STPG370S|25</v>
      </c>
      <c r="AD52" s="76" t="str">
        <f aca="false">IF($G52="","",IF($B52&lt;&gt;"설치","",IF($G52="PIPE","PIPE",IF($G52="VALVE",IF(ISNUMBER(SEARCH("GLOBE",$H52)),"GLOBE",IF(ISNUMBER(SEARCH("GATE",$H52)),"GATE",IF(ISNUMBER(SEARCH("BUTTER",$H52)),"BFLY","VALVE기타"))),IF($G52="FITTING",IF(LEFT($H52,5)="ELBOW",IF($AE52=90,"90EL",IF($AE52=45,"45EL","비규격EL")),IF(LEFT($H52,6)="FLANGE","FLANGE",IF(ISNUMBER(SEARCH("TEE",$H52)),"TEE",""))),"")))))</f>
        <v/>
      </c>
      <c r="AE52" s="76" t="str">
        <f aca="false">IF(AND($G52="FITTING",LEFT($H52,5)="ELBOW"),IFERROR(VALUE(LEFT(MID($H52,7,12),MIN(IFERROR(FIND("L",MID($H52,7,12)),99),IFERROR(FIND("S",MID($H52,7,12)),99),IFERROR(FIND(" ",MID($H52,7,12)),99))-1)),""),"")</f>
        <v/>
      </c>
      <c r="AF52" s="77" t="n">
        <f aca="false">IF($AD52="비규격EL",N($L52)*RADIANS(N($AE52))*보온기준!$F$15*N($I52)*보온기준!$F$16/1000,0)</f>
        <v>0</v>
      </c>
      <c r="AG52" s="76" t="str">
        <f aca="false">IF($G52="","",IF(OR($AA52&lt;&gt;"○",LEFT($F52,3)="STS",LEFT($F52,3)="SUS",$C52="매설"),"Y","N"))</f>
        <v>Y</v>
      </c>
    </row>
    <row r="53" customFormat="false" ht="15" hidden="false" customHeight="true" outlineLevel="0" collapsed="false">
      <c r="A53" s="6" t="n">
        <v>47</v>
      </c>
      <c r="B53" s="20" t="s">
        <v>142</v>
      </c>
      <c r="C53" s="20" t="s">
        <v>702</v>
      </c>
      <c r="D53" s="19" t="s">
        <v>703</v>
      </c>
      <c r="E53" s="19" t="s">
        <v>704</v>
      </c>
      <c r="F53" s="19" t="s">
        <v>710</v>
      </c>
      <c r="G53" s="19" t="s">
        <v>708</v>
      </c>
      <c r="H53" s="32" t="s">
        <v>741</v>
      </c>
      <c r="I53" s="19" t="n">
        <v>80</v>
      </c>
      <c r="J53" s="19"/>
      <c r="K53" s="19" t="s">
        <v>85</v>
      </c>
      <c r="L53" s="73" t="n">
        <v>1</v>
      </c>
      <c r="M53" s="37" t="str">
        <f aca="false">IF($G53&lt;&gt;"PIPE","",IFERROR(1/(1/INDEX(배관단중표!$B$7:$W$41,MATCH($I53,배관단중표!$A$7:$A$41,0),MATCH(IF($J53="SPP","SPP",IF(LEFT($F53,3)="STS",IF(ISNUMBER(SEARCH("316",$F53)),"STS316","STS304"),"SPPS")&amp;"|"&amp;$J53),배관단중표!$B$6:$W$6,0))),"DB확인"))</f>
        <v/>
      </c>
      <c r="N53" s="74" t="n">
        <v>0.7</v>
      </c>
      <c r="O53" s="56"/>
      <c r="P53" s="54" t="n">
        <f aca="false">IF($G53="","",IFERROR(IF(O53&lt;&gt;"",O53,L53*IF(G53="PIPE",M53,N53)),0))</f>
        <v>0.7</v>
      </c>
      <c r="Q53" s="6" t="str">
        <f aca="false">IF($G53="","",IF(G53="PIPE","P","F"))</f>
        <v>F</v>
      </c>
      <c r="R53" s="35" t="str">
        <f aca="false">IF($G53&lt;&gt;"PIPE","",IFERROR(IF(O53&lt;&gt;"",O53/M53,IF(K53="M",L53,"")),""))</f>
        <v/>
      </c>
      <c r="S53" s="6" t="str">
        <f aca="false">IF($G53&lt;&gt;"PIPE","",IF(AND($AA53="○",OR($W53&lt;&gt;"○",배관기준!$AG$17="N"),$C53&lt;&gt;"매설",LEFT($F53,3)&lt;&gt;"STS",LEFT($F53,3)&lt;&gt;"SUS"),"Y","N"))</f>
        <v/>
      </c>
      <c r="T53" s="16"/>
      <c r="U53" s="19" t="s">
        <v>705</v>
      </c>
      <c r="V53" s="19"/>
      <c r="W53" s="6" t="str">
        <f aca="false">IF($G53="","",IFERROR(INDEX(배관집계!$AC$7:$AC$32,MATCH($AC53,배관집계!$AJ$7:$AJ$32,0))&amp;"",""))</f>
        <v>○</v>
      </c>
      <c r="X53" s="6" t="str">
        <f aca="false">IF($G53="","",IFERROR(INDEX(배관집계!$AD$7:$AD$32,MATCH($AC53,배관집계!$AJ$7:$AJ$32,0))&amp;"",""))</f>
        <v>○</v>
      </c>
      <c r="Y53" s="6" t="str">
        <f aca="false">IF($G53="","",IFERROR(INDEX(배관집계!$AE$7:$AE$32,MATCH($AC53,배관집계!$AJ$7:$AJ$32,0))&amp;"",""))</f>
        <v>×</v>
      </c>
      <c r="Z53" s="6" t="str">
        <f aca="false">IF($G53="","",IFERROR(INDEX(배관집계!$AF$7:$AF$32,MATCH($AC53,배관집계!$AJ$7:$AJ$32,0))&amp;"",""))</f>
        <v>○</v>
      </c>
      <c r="AA53" s="6" t="str">
        <f aca="false">IF($G53="","",IFERROR(INDEX(배관집계!$AG$7:$AG$32,MATCH($AC53,배관집계!$AJ$7:$AJ$32,0))&amp;"",""))</f>
        <v>×</v>
      </c>
      <c r="AB53" s="6" t="str">
        <f aca="false">IF($G53="","",IFERROR(INDEX(배관집계!$AH$7:$AH$32,MATCH($AC53,배관집계!$AJ$7:$AJ$32,0))&amp;"",""))</f>
        <v>C/C</v>
      </c>
      <c r="AC53" s="75" t="str">
        <f aca="false">IF($G53="","",$B53&amp;"|"&amp;$C53&amp;"|"&amp;$E53&amp;"|"&amp;$U53&amp;"|"&amp;$I53)</f>
        <v>설치|옥외|5kg/cm2이상|STPG370S|80</v>
      </c>
      <c r="AD53" s="76" t="str">
        <f aca="false">IF($G53="","",IF($B53&lt;&gt;"설치","",IF($G53="PIPE","PIPE",IF($G53="VALVE",IF(ISNUMBER(SEARCH("GLOBE",$H53)),"GLOBE",IF(ISNUMBER(SEARCH("GATE",$H53)),"GATE",IF(ISNUMBER(SEARCH("BUTTER",$H53)),"BFLY","VALVE기타"))),IF($G53="FITTING",IF(LEFT($H53,5)="ELBOW",IF($AE53=90,"90EL",IF($AE53=45,"45EL","비규격EL")),IF(LEFT($H53,6)="FLANGE","FLANGE",IF(ISNUMBER(SEARCH("TEE",$H53)),"TEE",""))),"")))))</f>
        <v/>
      </c>
      <c r="AE53" s="76" t="str">
        <f aca="false">IF(AND($G53="FITTING",LEFT($H53,5)="ELBOW"),IFERROR(VALUE(LEFT(MID($H53,7,12),MIN(IFERROR(FIND("L",MID($H53,7,12)),99),IFERROR(FIND("S",MID($H53,7,12)),99),IFERROR(FIND(" ",MID($H53,7,12)),99))-1)),""),"")</f>
        <v/>
      </c>
      <c r="AF53" s="77" t="n">
        <f aca="false">IF($AD53="비규격EL",N($L53)*RADIANS(N($AE53))*보온기준!$F$15*N($I53)*보온기준!$F$16/1000,0)</f>
        <v>0</v>
      </c>
      <c r="AG53" s="76" t="str">
        <f aca="false">IF($G53="","",IF(OR($AA53&lt;&gt;"○",LEFT($F53,3)="STS",LEFT($F53,3)="SUS",$C53="매설"),"Y","N"))</f>
        <v>Y</v>
      </c>
    </row>
    <row r="54" customFormat="false" ht="15" hidden="false" customHeight="true" outlineLevel="0" collapsed="false">
      <c r="A54" s="6" t="n">
        <v>48</v>
      </c>
      <c r="B54" s="20" t="s">
        <v>142</v>
      </c>
      <c r="C54" s="20" t="s">
        <v>702</v>
      </c>
      <c r="D54" s="19" t="s">
        <v>703</v>
      </c>
      <c r="E54" s="19" t="s">
        <v>704</v>
      </c>
      <c r="F54" s="19" t="s">
        <v>710</v>
      </c>
      <c r="G54" s="19" t="s">
        <v>708</v>
      </c>
      <c r="H54" s="32" t="s">
        <v>742</v>
      </c>
      <c r="I54" s="19" t="n">
        <v>250</v>
      </c>
      <c r="J54" s="19"/>
      <c r="K54" s="19" t="s">
        <v>85</v>
      </c>
      <c r="L54" s="73" t="n">
        <v>2</v>
      </c>
      <c r="M54" s="37" t="str">
        <f aca="false">IF($G54&lt;&gt;"PIPE","",IFERROR(1/(1/INDEX(배관단중표!$B$7:$W$41,MATCH($I54,배관단중표!$A$7:$A$41,0),MATCH(IF($J54="SPP","SPP",IF(LEFT($F54,3)="STS",IF(ISNUMBER(SEARCH("316",$F54)),"STS316","STS304"),"SPPS")&amp;"|"&amp;$J54),배관단중표!$B$6:$W$6,0))),"DB확인"))</f>
        <v/>
      </c>
      <c r="N54" s="74" t="n">
        <v>8.9</v>
      </c>
      <c r="O54" s="56"/>
      <c r="P54" s="54" t="n">
        <f aca="false">IF($G54="","",IFERROR(IF(O54&lt;&gt;"",O54,L54*IF(G54="PIPE",M54,N54)),0))</f>
        <v>17.8</v>
      </c>
      <c r="Q54" s="6" t="str">
        <f aca="false">IF($G54="","",IF(G54="PIPE","P","F"))</f>
        <v>F</v>
      </c>
      <c r="R54" s="35" t="str">
        <f aca="false">IF($G54&lt;&gt;"PIPE","",IFERROR(IF(O54&lt;&gt;"",O54/M54,IF(K54="M",L54,"")),""))</f>
        <v/>
      </c>
      <c r="S54" s="6" t="str">
        <f aca="false">IF($G54&lt;&gt;"PIPE","",IF(AND($AA54="○",OR($W54&lt;&gt;"○",배관기준!$AG$17="N"),$C54&lt;&gt;"매설",LEFT($F54,3)&lt;&gt;"STS",LEFT($F54,3)&lt;&gt;"SUS"),"Y","N"))</f>
        <v/>
      </c>
      <c r="T54" s="16"/>
      <c r="U54" s="19" t="s">
        <v>705</v>
      </c>
      <c r="V54" s="19"/>
      <c r="W54" s="6" t="str">
        <f aca="false">IF($G54="","",IFERROR(INDEX(배관집계!$AC$7:$AC$32,MATCH($AC54,배관집계!$AJ$7:$AJ$32,0))&amp;"",""))</f>
        <v>○</v>
      </c>
      <c r="X54" s="6" t="str">
        <f aca="false">IF($G54="","",IFERROR(INDEX(배관집계!$AD$7:$AD$32,MATCH($AC54,배관집계!$AJ$7:$AJ$32,0))&amp;"",""))</f>
        <v>○</v>
      </c>
      <c r="Y54" s="6" t="str">
        <f aca="false">IF($G54="","",IFERROR(INDEX(배관집계!$AE$7:$AE$32,MATCH($AC54,배관집계!$AJ$7:$AJ$32,0))&amp;"",""))</f>
        <v>×</v>
      </c>
      <c r="Z54" s="6" t="str">
        <f aca="false">IF($G54="","",IFERROR(INDEX(배관집계!$AF$7:$AF$32,MATCH($AC54,배관집계!$AJ$7:$AJ$32,0))&amp;"",""))</f>
        <v>○</v>
      </c>
      <c r="AA54" s="6" t="str">
        <f aca="false">IF($G54="","",IFERROR(INDEX(배관집계!$AG$7:$AG$32,MATCH($AC54,배관집계!$AJ$7:$AJ$32,0))&amp;"",""))</f>
        <v>×</v>
      </c>
      <c r="AB54" s="6" t="str">
        <f aca="false">IF($G54="","",IFERROR(INDEX(배관집계!$AH$7:$AH$32,MATCH($AC54,배관집계!$AJ$7:$AJ$32,0))&amp;"",""))</f>
        <v>C/C</v>
      </c>
      <c r="AC54" s="75" t="str">
        <f aca="false">IF($G54="","",$B54&amp;"|"&amp;$C54&amp;"|"&amp;$E54&amp;"|"&amp;$U54&amp;"|"&amp;$I54)</f>
        <v>설치|옥외|5kg/cm2이상|STPG370S|250</v>
      </c>
      <c r="AD54" s="76" t="str">
        <f aca="false">IF($G54="","",IF($B54&lt;&gt;"설치","",IF($G54="PIPE","PIPE",IF($G54="VALVE",IF(ISNUMBER(SEARCH("GLOBE",$H54)),"GLOBE",IF(ISNUMBER(SEARCH("GATE",$H54)),"GATE",IF(ISNUMBER(SEARCH("BUTTER",$H54)),"BFLY","VALVE기타"))),IF($G54="FITTING",IF(LEFT($H54,5)="ELBOW",IF($AE54=90,"90EL",IF($AE54=45,"45EL","비규격EL")),IF(LEFT($H54,6)="FLANGE","FLANGE",IF(ISNUMBER(SEARCH("TEE",$H54)),"TEE",""))),"")))))</f>
        <v/>
      </c>
      <c r="AE54" s="76" t="str">
        <f aca="false">IF(AND($G54="FITTING",LEFT($H54,5)="ELBOW"),IFERROR(VALUE(LEFT(MID($H54,7,12),MIN(IFERROR(FIND("L",MID($H54,7,12)),99),IFERROR(FIND("S",MID($H54,7,12)),99),IFERROR(FIND(" ",MID($H54,7,12)),99))-1)),""),"")</f>
        <v/>
      </c>
      <c r="AF54" s="77" t="n">
        <f aca="false">IF($AD54="비규격EL",N($L54)*RADIANS(N($AE54))*보온기준!$F$15*N($I54)*보온기준!$F$16/1000,0)</f>
        <v>0</v>
      </c>
      <c r="AG54" s="76" t="str">
        <f aca="false">IF($G54="","",IF(OR($AA54&lt;&gt;"○",LEFT($F54,3)="STS",LEFT($F54,3)="SUS",$C54="매설"),"Y","N"))</f>
        <v>Y</v>
      </c>
    </row>
    <row r="55" customFormat="false" ht="15" hidden="false" customHeight="true" outlineLevel="0" collapsed="false">
      <c r="A55" s="6" t="n">
        <v>49</v>
      </c>
      <c r="B55" s="20" t="s">
        <v>142</v>
      </c>
      <c r="C55" s="20" t="s">
        <v>702</v>
      </c>
      <c r="D55" s="19" t="s">
        <v>703</v>
      </c>
      <c r="E55" s="19" t="s">
        <v>704</v>
      </c>
      <c r="F55" s="19" t="s">
        <v>710</v>
      </c>
      <c r="G55" s="19" t="s">
        <v>708</v>
      </c>
      <c r="H55" s="32" t="s">
        <v>743</v>
      </c>
      <c r="I55" s="19" t="n">
        <v>300</v>
      </c>
      <c r="J55" s="19"/>
      <c r="K55" s="19" t="s">
        <v>85</v>
      </c>
      <c r="L55" s="73" t="n">
        <v>1</v>
      </c>
      <c r="M55" s="37" t="str">
        <f aca="false">IF($G55&lt;&gt;"PIPE","",IFERROR(1/(1/INDEX(배관단중표!$B$7:$W$41,MATCH($I55,배관단중표!$A$7:$A$41,0),MATCH(IF($J55="SPP","SPP",IF(LEFT($F55,3)="STS",IF(ISNUMBER(SEARCH("316",$F55)),"STS316","STS304"),"SPPS")&amp;"|"&amp;$J55),배관단중표!$B$6:$W$6,0))),"DB확인"))</f>
        <v/>
      </c>
      <c r="N55" s="74" t="n">
        <v>12</v>
      </c>
      <c r="O55" s="56"/>
      <c r="P55" s="54" t="n">
        <f aca="false">IF($G55="","",IFERROR(IF(O55&lt;&gt;"",O55,L55*IF(G55="PIPE",M55,N55)),0))</f>
        <v>12</v>
      </c>
      <c r="Q55" s="6" t="str">
        <f aca="false">IF($G55="","",IF(G55="PIPE","P","F"))</f>
        <v>F</v>
      </c>
      <c r="R55" s="35" t="str">
        <f aca="false">IF($G55&lt;&gt;"PIPE","",IFERROR(IF(O55&lt;&gt;"",O55/M55,IF(K55="M",L55,"")),""))</f>
        <v/>
      </c>
      <c r="S55" s="6" t="str">
        <f aca="false">IF($G55&lt;&gt;"PIPE","",IF(AND($AA55="○",OR($W55&lt;&gt;"○",배관기준!$AG$17="N"),$C55&lt;&gt;"매설",LEFT($F55,3)&lt;&gt;"STS",LEFT($F55,3)&lt;&gt;"SUS"),"Y","N"))</f>
        <v/>
      </c>
      <c r="T55" s="16"/>
      <c r="U55" s="19" t="s">
        <v>705</v>
      </c>
      <c r="V55" s="19"/>
      <c r="W55" s="6" t="str">
        <f aca="false">IF($G55="","",IFERROR(INDEX(배관집계!$AC$7:$AC$32,MATCH($AC55,배관집계!$AJ$7:$AJ$32,0))&amp;"",""))</f>
        <v>×</v>
      </c>
      <c r="X55" s="6" t="str">
        <f aca="false">IF($G55="","",IFERROR(INDEX(배관집계!$AD$7:$AD$32,MATCH($AC55,배관집계!$AJ$7:$AJ$32,0))&amp;"",""))</f>
        <v>○</v>
      </c>
      <c r="Y55" s="6" t="str">
        <f aca="false">IF($G55="","",IFERROR(INDEX(배관집계!$AE$7:$AE$32,MATCH($AC55,배관집계!$AJ$7:$AJ$32,0))&amp;"",""))</f>
        <v>×</v>
      </c>
      <c r="Z55" s="6" t="str">
        <f aca="false">IF($G55="","",IFERROR(INDEX(배관집계!$AF$7:$AF$32,MATCH($AC55,배관집계!$AJ$7:$AJ$32,0))&amp;"",""))</f>
        <v>○</v>
      </c>
      <c r="AA55" s="6" t="str">
        <f aca="false">IF($G55="","",IFERROR(INDEX(배관집계!$AG$7:$AG$32,MATCH($AC55,배관집계!$AJ$7:$AJ$32,0))&amp;"",""))</f>
        <v>○</v>
      </c>
      <c r="AB55" s="6" t="str">
        <f aca="false">IF($G55="","",IFERROR(INDEX(배관집계!$AH$7:$AH$32,MATCH($AC55,배관집계!$AJ$7:$AJ$32,0))&amp;"",""))</f>
        <v>C/C</v>
      </c>
      <c r="AC55" s="75" t="str">
        <f aca="false">IF($G55="","",$B55&amp;"|"&amp;$C55&amp;"|"&amp;$E55&amp;"|"&amp;$U55&amp;"|"&amp;$I55)</f>
        <v>설치|옥외|5kg/cm2이상|STPG370S|300</v>
      </c>
      <c r="AD55" s="76" t="str">
        <f aca="false">IF($G55="","",IF($B55&lt;&gt;"설치","",IF($G55="PIPE","PIPE",IF($G55="VALVE",IF(ISNUMBER(SEARCH("GLOBE",$H55)),"GLOBE",IF(ISNUMBER(SEARCH("GATE",$H55)),"GATE",IF(ISNUMBER(SEARCH("BUTTER",$H55)),"BFLY","VALVE기타"))),IF($G55="FITTING",IF(LEFT($H55,5)="ELBOW",IF($AE55=90,"90EL",IF($AE55=45,"45EL","비규격EL")),IF(LEFT($H55,6)="FLANGE","FLANGE",IF(ISNUMBER(SEARCH("TEE",$H55)),"TEE",""))),"")))))</f>
        <v/>
      </c>
      <c r="AE55" s="76" t="str">
        <f aca="false">IF(AND($G55="FITTING",LEFT($H55,5)="ELBOW"),IFERROR(VALUE(LEFT(MID($H55,7,12),MIN(IFERROR(FIND("L",MID($H55,7,12)),99),IFERROR(FIND("S",MID($H55,7,12)),99),IFERROR(FIND(" ",MID($H55,7,12)),99))-1)),""),"")</f>
        <v/>
      </c>
      <c r="AF55" s="77" t="n">
        <f aca="false">IF($AD55="비규격EL",N($L55)*RADIANS(N($AE55))*보온기준!$F$15*N($I55)*보온기준!$F$16/1000,0)</f>
        <v>0</v>
      </c>
      <c r="AG55" s="76" t="str">
        <f aca="false">IF($G55="","",IF(OR($AA55&lt;&gt;"○",LEFT($F55,3)="STS",LEFT($F55,3)="SUS",$C55="매설"),"Y","N"))</f>
        <v>N</v>
      </c>
    </row>
    <row r="56" customFormat="false" ht="15" hidden="false" customHeight="true" outlineLevel="0" collapsed="false">
      <c r="A56" s="6" t="n">
        <v>50</v>
      </c>
      <c r="B56" s="20" t="s">
        <v>142</v>
      </c>
      <c r="C56" s="20" t="s">
        <v>702</v>
      </c>
      <c r="D56" s="19" t="s">
        <v>703</v>
      </c>
      <c r="E56" s="19" t="s">
        <v>704</v>
      </c>
      <c r="F56" s="19" t="s">
        <v>744</v>
      </c>
      <c r="G56" s="19" t="s">
        <v>708</v>
      </c>
      <c r="H56" s="32" t="s">
        <v>745</v>
      </c>
      <c r="I56" s="19" t="n">
        <v>150</v>
      </c>
      <c r="J56" s="19"/>
      <c r="K56" s="19" t="s">
        <v>85</v>
      </c>
      <c r="L56" s="73" t="n">
        <v>1</v>
      </c>
      <c r="M56" s="37" t="str">
        <f aca="false">IF($G56&lt;&gt;"PIPE","",IFERROR(1/(1/INDEX(배관단중표!$B$7:$W$41,MATCH($I56,배관단중표!$A$7:$A$41,0),MATCH(IF($J56="SPP","SPP",IF(LEFT($F56,3)="STS",IF(ISNUMBER(SEARCH("316",$F56)),"STS316","STS304"),"SPPS")&amp;"|"&amp;$J56),배관단중표!$B$6:$W$6,0))),"DB확인"))</f>
        <v/>
      </c>
      <c r="N56" s="74"/>
      <c r="O56" s="56"/>
      <c r="P56" s="54" t="n">
        <f aca="false">IF($G56="","",IFERROR(IF(O56&lt;&gt;"",O56,L56*IF(G56="PIPE",M56,N56)),0))</f>
        <v>0</v>
      </c>
      <c r="Q56" s="6" t="str">
        <f aca="false">IF($G56="","",IF(G56="PIPE","P","F"))</f>
        <v>F</v>
      </c>
      <c r="R56" s="35" t="str">
        <f aca="false">IF($G56&lt;&gt;"PIPE","",IFERROR(IF(O56&lt;&gt;"",O56/M56,IF(K56="M",L56,"")),""))</f>
        <v/>
      </c>
      <c r="S56" s="6" t="str">
        <f aca="false">IF($G56&lt;&gt;"PIPE","",IF(AND($AA56="○",OR($W56&lt;&gt;"○",배관기준!$AG$17="N"),$C56&lt;&gt;"매설",LEFT($F56,3)&lt;&gt;"STS",LEFT($F56,3)&lt;&gt;"SUS"),"Y","N"))</f>
        <v/>
      </c>
      <c r="T56" s="16"/>
      <c r="U56" s="19" t="s">
        <v>705</v>
      </c>
      <c r="V56" s="19"/>
      <c r="W56" s="6" t="str">
        <f aca="false">IF($G56="","",IFERROR(INDEX(배관집계!$AC$7:$AC$32,MATCH($AC56,배관집계!$AJ$7:$AJ$32,0))&amp;"",""))</f>
        <v>○</v>
      </c>
      <c r="X56" s="6" t="str">
        <f aca="false">IF($G56="","",IFERROR(INDEX(배관집계!$AD$7:$AD$32,MATCH($AC56,배관집계!$AJ$7:$AJ$32,0))&amp;"",""))</f>
        <v>○</v>
      </c>
      <c r="Y56" s="6" t="str">
        <f aca="false">IF($G56="","",IFERROR(INDEX(배관집계!$AE$7:$AE$32,MATCH($AC56,배관집계!$AJ$7:$AJ$32,0))&amp;"",""))</f>
        <v>×</v>
      </c>
      <c r="Z56" s="6" t="str">
        <f aca="false">IF($G56="","",IFERROR(INDEX(배관집계!$AF$7:$AF$32,MATCH($AC56,배관집계!$AJ$7:$AJ$32,0))&amp;"",""))</f>
        <v>○</v>
      </c>
      <c r="AA56" s="6" t="str">
        <f aca="false">IF($G56="","",IFERROR(INDEX(배관집계!$AG$7:$AG$32,MATCH($AC56,배관집계!$AJ$7:$AJ$32,0))&amp;"",""))</f>
        <v>×</v>
      </c>
      <c r="AB56" s="6" t="str">
        <f aca="false">IF($G56="","",IFERROR(INDEX(배관집계!$AH$7:$AH$32,MATCH($AC56,배관집계!$AJ$7:$AJ$32,0))&amp;"",""))</f>
        <v>C/C</v>
      </c>
      <c r="AC56" s="75" t="str">
        <f aca="false">IF($G56="","",$B56&amp;"|"&amp;$C56&amp;"|"&amp;$E56&amp;"|"&amp;$U56&amp;"|"&amp;$I56)</f>
        <v>설치|옥외|5kg/cm2이상|STPG370S|150</v>
      </c>
      <c r="AD56" s="76" t="str">
        <f aca="false">IF($G56="","",IF($B56&lt;&gt;"설치","",IF($G56="PIPE","PIPE",IF($G56="VALVE",IF(ISNUMBER(SEARCH("GLOBE",$H56)),"GLOBE",IF(ISNUMBER(SEARCH("GATE",$H56)),"GATE",IF(ISNUMBER(SEARCH("BUTTER",$H56)),"BFLY","VALVE기타"))),IF($G56="FITTING",IF(LEFT($H56,5)="ELBOW",IF($AE56=90,"90EL",IF($AE56=45,"45EL","비규격EL")),IF(LEFT($H56,6)="FLANGE","FLANGE",IF(ISNUMBER(SEARCH("TEE",$H56)),"TEE",""))),"")))))</f>
        <v/>
      </c>
      <c r="AE56" s="76" t="str">
        <f aca="false">IF(AND($G56="FITTING",LEFT($H56,5)="ELBOW"),IFERROR(VALUE(LEFT(MID($H56,7,12),MIN(IFERROR(FIND("L",MID($H56,7,12)),99),IFERROR(FIND("S",MID($H56,7,12)),99),IFERROR(FIND(" ",MID($H56,7,12)),99))-1)),""),"")</f>
        <v/>
      </c>
      <c r="AF56" s="77" t="n">
        <f aca="false">IF($AD56="비규격EL",N($L56)*RADIANS(N($AE56))*보온기준!$F$15*N($I56)*보온기준!$F$16/1000,0)</f>
        <v>0</v>
      </c>
      <c r="AG56" s="76" t="str">
        <f aca="false">IF($G56="","",IF(OR($AA56&lt;&gt;"○",LEFT($F56,3)="STS",LEFT($F56,3)="SUS",$C56="매설"),"Y","N"))</f>
        <v>Y</v>
      </c>
    </row>
    <row r="57" customFormat="false" ht="15" hidden="false" customHeight="true" outlineLevel="0" collapsed="false">
      <c r="A57" s="6" t="n">
        <v>51</v>
      </c>
      <c r="B57" s="20" t="s">
        <v>142</v>
      </c>
      <c r="C57" s="20" t="s">
        <v>702</v>
      </c>
      <c r="D57" s="19" t="s">
        <v>703</v>
      </c>
      <c r="E57" s="19" t="s">
        <v>704</v>
      </c>
      <c r="F57" s="19" t="s">
        <v>744</v>
      </c>
      <c r="G57" s="19" t="s">
        <v>708</v>
      </c>
      <c r="H57" s="32" t="s">
        <v>745</v>
      </c>
      <c r="I57" s="19" t="n">
        <v>80</v>
      </c>
      <c r="J57" s="19"/>
      <c r="K57" s="19" t="s">
        <v>85</v>
      </c>
      <c r="L57" s="73" t="n">
        <v>1</v>
      </c>
      <c r="M57" s="37" t="str">
        <f aca="false">IF($G57&lt;&gt;"PIPE","",IFERROR(1/(1/INDEX(배관단중표!$B$7:$W$41,MATCH($I57,배관단중표!$A$7:$A$41,0),MATCH(IF($J57="SPP","SPP",IF(LEFT($F57,3)="STS",IF(ISNUMBER(SEARCH("316",$F57)),"STS316","STS304"),"SPPS")&amp;"|"&amp;$J57),배관단중표!$B$6:$W$6,0))),"DB확인"))</f>
        <v/>
      </c>
      <c r="N57" s="74"/>
      <c r="O57" s="56"/>
      <c r="P57" s="54" t="n">
        <f aca="false">IF($G57="","",IFERROR(IF(O57&lt;&gt;"",O57,L57*IF(G57="PIPE",M57,N57)),0))</f>
        <v>0</v>
      </c>
      <c r="Q57" s="6" t="str">
        <f aca="false">IF($G57="","",IF(G57="PIPE","P","F"))</f>
        <v>F</v>
      </c>
      <c r="R57" s="35" t="str">
        <f aca="false">IF($G57&lt;&gt;"PIPE","",IFERROR(IF(O57&lt;&gt;"",O57/M57,IF(K57="M",L57,"")),""))</f>
        <v/>
      </c>
      <c r="S57" s="6" t="str">
        <f aca="false">IF($G57&lt;&gt;"PIPE","",IF(AND($AA57="○",OR($W57&lt;&gt;"○",배관기준!$AG$17="N"),$C57&lt;&gt;"매설",LEFT($F57,3)&lt;&gt;"STS",LEFT($F57,3)&lt;&gt;"SUS"),"Y","N"))</f>
        <v/>
      </c>
      <c r="T57" s="16"/>
      <c r="U57" s="19" t="s">
        <v>705</v>
      </c>
      <c r="V57" s="19"/>
      <c r="W57" s="6" t="str">
        <f aca="false">IF($G57="","",IFERROR(INDEX(배관집계!$AC$7:$AC$32,MATCH($AC57,배관집계!$AJ$7:$AJ$32,0))&amp;"",""))</f>
        <v>○</v>
      </c>
      <c r="X57" s="6" t="str">
        <f aca="false">IF($G57="","",IFERROR(INDEX(배관집계!$AD$7:$AD$32,MATCH($AC57,배관집계!$AJ$7:$AJ$32,0))&amp;"",""))</f>
        <v>○</v>
      </c>
      <c r="Y57" s="6" t="str">
        <f aca="false">IF($G57="","",IFERROR(INDEX(배관집계!$AE$7:$AE$32,MATCH($AC57,배관집계!$AJ$7:$AJ$32,0))&amp;"",""))</f>
        <v>×</v>
      </c>
      <c r="Z57" s="6" t="str">
        <f aca="false">IF($G57="","",IFERROR(INDEX(배관집계!$AF$7:$AF$32,MATCH($AC57,배관집계!$AJ$7:$AJ$32,0))&amp;"",""))</f>
        <v>○</v>
      </c>
      <c r="AA57" s="6" t="str">
        <f aca="false">IF($G57="","",IFERROR(INDEX(배관집계!$AG$7:$AG$32,MATCH($AC57,배관집계!$AJ$7:$AJ$32,0))&amp;"",""))</f>
        <v>×</v>
      </c>
      <c r="AB57" s="6" t="str">
        <f aca="false">IF($G57="","",IFERROR(INDEX(배관집계!$AH$7:$AH$32,MATCH($AC57,배관집계!$AJ$7:$AJ$32,0))&amp;"",""))</f>
        <v>C/C</v>
      </c>
      <c r="AC57" s="75" t="str">
        <f aca="false">IF($G57="","",$B57&amp;"|"&amp;$C57&amp;"|"&amp;$E57&amp;"|"&amp;$U57&amp;"|"&amp;$I57)</f>
        <v>설치|옥외|5kg/cm2이상|STPG370S|80</v>
      </c>
      <c r="AD57" s="76" t="str">
        <f aca="false">IF($G57="","",IF($B57&lt;&gt;"설치","",IF($G57="PIPE","PIPE",IF($G57="VALVE",IF(ISNUMBER(SEARCH("GLOBE",$H57)),"GLOBE",IF(ISNUMBER(SEARCH("GATE",$H57)),"GATE",IF(ISNUMBER(SEARCH("BUTTER",$H57)),"BFLY","VALVE기타"))),IF($G57="FITTING",IF(LEFT($H57,5)="ELBOW",IF($AE57=90,"90EL",IF($AE57=45,"45EL","비규격EL")),IF(LEFT($H57,6)="FLANGE","FLANGE",IF(ISNUMBER(SEARCH("TEE",$H57)),"TEE",""))),"")))))</f>
        <v/>
      </c>
      <c r="AE57" s="76" t="str">
        <f aca="false">IF(AND($G57="FITTING",LEFT($H57,5)="ELBOW"),IFERROR(VALUE(LEFT(MID($H57,7,12),MIN(IFERROR(FIND("L",MID($H57,7,12)),99),IFERROR(FIND("S",MID($H57,7,12)),99),IFERROR(FIND(" ",MID($H57,7,12)),99))-1)),""),"")</f>
        <v/>
      </c>
      <c r="AF57" s="77" t="n">
        <f aca="false">IF($AD57="비규격EL",N($L57)*RADIANS(N($AE57))*보온기준!$F$15*N($I57)*보온기준!$F$16/1000,0)</f>
        <v>0</v>
      </c>
      <c r="AG57" s="76" t="str">
        <f aca="false">IF($G57="","",IF(OR($AA57&lt;&gt;"○",LEFT($F57,3)="STS",LEFT($F57,3)="SUS",$C57="매설"),"Y","N"))</f>
        <v>Y</v>
      </c>
    </row>
    <row r="58" customFormat="false" ht="15" hidden="false" customHeight="true" outlineLevel="0" collapsed="false">
      <c r="A58" s="6" t="n">
        <v>52</v>
      </c>
      <c r="B58" s="20" t="s">
        <v>142</v>
      </c>
      <c r="C58" s="20" t="s">
        <v>702</v>
      </c>
      <c r="D58" s="19" t="s">
        <v>703</v>
      </c>
      <c r="E58" s="19" t="s">
        <v>704</v>
      </c>
      <c r="F58" s="19" t="s">
        <v>744</v>
      </c>
      <c r="G58" s="19" t="s">
        <v>708</v>
      </c>
      <c r="H58" s="32" t="s">
        <v>745</v>
      </c>
      <c r="I58" s="19" t="n">
        <v>50</v>
      </c>
      <c r="J58" s="19"/>
      <c r="K58" s="19" t="s">
        <v>85</v>
      </c>
      <c r="L58" s="73" t="n">
        <v>1</v>
      </c>
      <c r="M58" s="37" t="str">
        <f aca="false">IF($G58&lt;&gt;"PIPE","",IFERROR(1/(1/INDEX(배관단중표!$B$7:$W$41,MATCH($I58,배관단중표!$A$7:$A$41,0),MATCH(IF($J58="SPP","SPP",IF(LEFT($F58,3)="STS",IF(ISNUMBER(SEARCH("316",$F58)),"STS316","STS304"),"SPPS")&amp;"|"&amp;$J58),배관단중표!$B$6:$W$6,0))),"DB확인"))</f>
        <v/>
      </c>
      <c r="N58" s="74"/>
      <c r="O58" s="56"/>
      <c r="P58" s="54" t="n">
        <f aca="false">IF($G58="","",IFERROR(IF(O58&lt;&gt;"",O58,L58*IF(G58="PIPE",M58,N58)),0))</f>
        <v>0</v>
      </c>
      <c r="Q58" s="6" t="str">
        <f aca="false">IF($G58="","",IF(G58="PIPE","P","F"))</f>
        <v>F</v>
      </c>
      <c r="R58" s="35" t="str">
        <f aca="false">IF($G58&lt;&gt;"PIPE","",IFERROR(IF(O58&lt;&gt;"",O58/M58,IF(K58="M",L58,"")),""))</f>
        <v/>
      </c>
      <c r="S58" s="6" t="str">
        <f aca="false">IF($G58&lt;&gt;"PIPE","",IF(AND($AA58="○",OR($W58&lt;&gt;"○",배관기준!$AG$17="N"),$C58&lt;&gt;"매설",LEFT($F58,3)&lt;&gt;"STS",LEFT($F58,3)&lt;&gt;"SUS"),"Y","N"))</f>
        <v/>
      </c>
      <c r="T58" s="16"/>
      <c r="U58" s="19" t="s">
        <v>705</v>
      </c>
      <c r="V58" s="19"/>
      <c r="W58" s="6" t="str">
        <f aca="false">IF($G58="","",IFERROR(INDEX(배관집계!$AC$7:$AC$32,MATCH($AC58,배관집계!$AJ$7:$AJ$32,0))&amp;"",""))</f>
        <v>○</v>
      </c>
      <c r="X58" s="6" t="str">
        <f aca="false">IF($G58="","",IFERROR(INDEX(배관집계!$AD$7:$AD$32,MATCH($AC58,배관집계!$AJ$7:$AJ$32,0))&amp;"",""))</f>
        <v>○</v>
      </c>
      <c r="Y58" s="6" t="str">
        <f aca="false">IF($G58="","",IFERROR(INDEX(배관집계!$AE$7:$AE$32,MATCH($AC58,배관집계!$AJ$7:$AJ$32,0))&amp;"",""))</f>
        <v>×</v>
      </c>
      <c r="Z58" s="6" t="str">
        <f aca="false">IF($G58="","",IFERROR(INDEX(배관집계!$AF$7:$AF$32,MATCH($AC58,배관집계!$AJ$7:$AJ$32,0))&amp;"",""))</f>
        <v>○</v>
      </c>
      <c r="AA58" s="6" t="str">
        <f aca="false">IF($G58="","",IFERROR(INDEX(배관집계!$AG$7:$AG$32,MATCH($AC58,배관집계!$AJ$7:$AJ$32,0))&amp;"",""))</f>
        <v>×</v>
      </c>
      <c r="AB58" s="6" t="str">
        <f aca="false">IF($G58="","",IFERROR(INDEX(배관집계!$AH$7:$AH$32,MATCH($AC58,배관집계!$AJ$7:$AJ$32,0))&amp;"",""))</f>
        <v>C/C</v>
      </c>
      <c r="AC58" s="75" t="str">
        <f aca="false">IF($G58="","",$B58&amp;"|"&amp;$C58&amp;"|"&amp;$E58&amp;"|"&amp;$U58&amp;"|"&amp;$I58)</f>
        <v>설치|옥외|5kg/cm2이상|STPG370S|50</v>
      </c>
      <c r="AD58" s="76" t="str">
        <f aca="false">IF($G58="","",IF($B58&lt;&gt;"설치","",IF($G58="PIPE","PIPE",IF($G58="VALVE",IF(ISNUMBER(SEARCH("GLOBE",$H58)),"GLOBE",IF(ISNUMBER(SEARCH("GATE",$H58)),"GATE",IF(ISNUMBER(SEARCH("BUTTER",$H58)),"BFLY","VALVE기타"))),IF($G58="FITTING",IF(LEFT($H58,5)="ELBOW",IF($AE58=90,"90EL",IF($AE58=45,"45EL","비규격EL")),IF(LEFT($H58,6)="FLANGE","FLANGE",IF(ISNUMBER(SEARCH("TEE",$H58)),"TEE",""))),"")))))</f>
        <v/>
      </c>
      <c r="AE58" s="76" t="str">
        <f aca="false">IF(AND($G58="FITTING",LEFT($H58,5)="ELBOW"),IFERROR(VALUE(LEFT(MID($H58,7,12),MIN(IFERROR(FIND("L",MID($H58,7,12)),99),IFERROR(FIND("S",MID($H58,7,12)),99),IFERROR(FIND(" ",MID($H58,7,12)),99))-1)),""),"")</f>
        <v/>
      </c>
      <c r="AF58" s="77" t="n">
        <f aca="false">IF($AD58="비규격EL",N($L58)*RADIANS(N($AE58))*보온기준!$F$15*N($I58)*보온기준!$F$16/1000,0)</f>
        <v>0</v>
      </c>
      <c r="AG58" s="76" t="str">
        <f aca="false">IF($G58="","",IF(OR($AA58&lt;&gt;"○",LEFT($F58,3)="STS",LEFT($F58,3)="SUS",$C58="매설"),"Y","N"))</f>
        <v>Y</v>
      </c>
    </row>
    <row r="59" customFormat="false" ht="15" hidden="false" customHeight="true" outlineLevel="0" collapsed="false">
      <c r="A59" s="6" t="n">
        <v>53</v>
      </c>
      <c r="B59" s="20" t="s">
        <v>142</v>
      </c>
      <c r="C59" s="20" t="s">
        <v>702</v>
      </c>
      <c r="D59" s="19" t="s">
        <v>703</v>
      </c>
      <c r="E59" s="19" t="s">
        <v>704</v>
      </c>
      <c r="F59" s="19" t="s">
        <v>710</v>
      </c>
      <c r="G59" s="19" t="s">
        <v>708</v>
      </c>
      <c r="H59" s="32" t="s">
        <v>746</v>
      </c>
      <c r="I59" s="19" t="n">
        <v>300</v>
      </c>
      <c r="J59" s="19"/>
      <c r="K59" s="19" t="s">
        <v>85</v>
      </c>
      <c r="L59" s="73" t="n">
        <v>1</v>
      </c>
      <c r="M59" s="37" t="str">
        <f aca="false">IF($G59&lt;&gt;"PIPE","",IFERROR(1/(1/INDEX(배관단중표!$B$7:$W$41,MATCH($I59,배관단중표!$A$7:$A$41,0),MATCH(IF($J59="SPP","SPP",IF(LEFT($F59,3)="STS",IF(ISNUMBER(SEARCH("316",$F59)),"STS316","STS304"),"SPPS")&amp;"|"&amp;$J59),배관단중표!$B$6:$W$6,0))),"DB확인"))</f>
        <v/>
      </c>
      <c r="N59" s="74" t="n">
        <v>2.1</v>
      </c>
      <c r="O59" s="56"/>
      <c r="P59" s="54" t="n">
        <f aca="false">IF($G59="","",IFERROR(IF(O59&lt;&gt;"",O59,L59*IF(G59="PIPE",M59,N59)),0))</f>
        <v>2.1</v>
      </c>
      <c r="Q59" s="6" t="str">
        <f aca="false">IF($G59="","",IF(G59="PIPE","P","F"))</f>
        <v>F</v>
      </c>
      <c r="R59" s="35" t="str">
        <f aca="false">IF($G59&lt;&gt;"PIPE","",IFERROR(IF(O59&lt;&gt;"",O59/M59,IF(K59="M",L59,"")),""))</f>
        <v/>
      </c>
      <c r="S59" s="6" t="str">
        <f aca="false">IF($G59&lt;&gt;"PIPE","",IF(AND($AA59="○",OR($W59&lt;&gt;"○",배관기준!$AG$17="N"),$C59&lt;&gt;"매설",LEFT($F59,3)&lt;&gt;"STS",LEFT($F59,3)&lt;&gt;"SUS"),"Y","N"))</f>
        <v/>
      </c>
      <c r="T59" s="16"/>
      <c r="U59" s="19" t="s">
        <v>705</v>
      </c>
      <c r="V59" s="19"/>
      <c r="W59" s="6" t="str">
        <f aca="false">IF($G59="","",IFERROR(INDEX(배관집계!$AC$7:$AC$32,MATCH($AC59,배관집계!$AJ$7:$AJ$32,0))&amp;"",""))</f>
        <v>×</v>
      </c>
      <c r="X59" s="6" t="str">
        <f aca="false">IF($G59="","",IFERROR(INDEX(배관집계!$AD$7:$AD$32,MATCH($AC59,배관집계!$AJ$7:$AJ$32,0))&amp;"",""))</f>
        <v>○</v>
      </c>
      <c r="Y59" s="6" t="str">
        <f aca="false">IF($G59="","",IFERROR(INDEX(배관집계!$AE$7:$AE$32,MATCH($AC59,배관집계!$AJ$7:$AJ$32,0))&amp;"",""))</f>
        <v>×</v>
      </c>
      <c r="Z59" s="6" t="str">
        <f aca="false">IF($G59="","",IFERROR(INDEX(배관집계!$AF$7:$AF$32,MATCH($AC59,배관집계!$AJ$7:$AJ$32,0))&amp;"",""))</f>
        <v>○</v>
      </c>
      <c r="AA59" s="6" t="str">
        <f aca="false">IF($G59="","",IFERROR(INDEX(배관집계!$AG$7:$AG$32,MATCH($AC59,배관집계!$AJ$7:$AJ$32,0))&amp;"",""))</f>
        <v>○</v>
      </c>
      <c r="AB59" s="6" t="str">
        <f aca="false">IF($G59="","",IFERROR(INDEX(배관집계!$AH$7:$AH$32,MATCH($AC59,배관집계!$AJ$7:$AJ$32,0))&amp;"",""))</f>
        <v>C/C</v>
      </c>
      <c r="AC59" s="75" t="str">
        <f aca="false">IF($G59="","",$B59&amp;"|"&amp;$C59&amp;"|"&amp;$E59&amp;"|"&amp;$U59&amp;"|"&amp;$I59)</f>
        <v>설치|옥외|5kg/cm2이상|STPG370S|300</v>
      </c>
      <c r="AD59" s="76" t="str">
        <f aca="false">IF($G59="","",IF($B59&lt;&gt;"설치","",IF($G59="PIPE","PIPE",IF($G59="VALVE",IF(ISNUMBER(SEARCH("GLOBE",$H59)),"GLOBE",IF(ISNUMBER(SEARCH("GATE",$H59)),"GATE",IF(ISNUMBER(SEARCH("BUTTER",$H59)),"BFLY","VALVE기타"))),IF($G59="FITTING",IF(LEFT($H59,5)="ELBOW",IF($AE59=90,"90EL",IF($AE59=45,"45EL","비규격EL")),IF(LEFT($H59,6)="FLANGE","FLANGE",IF(ISNUMBER(SEARCH("TEE",$H59)),"TEE",""))),"")))))</f>
        <v>TEE</v>
      </c>
      <c r="AE59" s="76" t="str">
        <f aca="false">IF(AND($G59="FITTING",LEFT($H59,5)="ELBOW"),IFERROR(VALUE(LEFT(MID($H59,7,12),MIN(IFERROR(FIND("L",MID($H59,7,12)),99),IFERROR(FIND("S",MID($H59,7,12)),99),IFERROR(FIND(" ",MID($H59,7,12)),99))-1)),""),"")</f>
        <v/>
      </c>
      <c r="AF59" s="77" t="n">
        <f aca="false">IF($AD59="비규격EL",N($L59)*RADIANS(N($AE59))*보온기준!$F$15*N($I59)*보온기준!$F$16/1000,0)</f>
        <v>0</v>
      </c>
      <c r="AG59" s="76" t="str">
        <f aca="false">IF($G59="","",IF(OR($AA59&lt;&gt;"○",LEFT($F59,3)="STS",LEFT($F59,3)="SUS",$C59="매설"),"Y","N"))</f>
        <v>N</v>
      </c>
    </row>
    <row r="60" customFormat="false" ht="15" hidden="false" customHeight="true" outlineLevel="0" collapsed="false">
      <c r="A60" s="6" t="n">
        <v>54</v>
      </c>
      <c r="B60" s="20" t="s">
        <v>142</v>
      </c>
      <c r="C60" s="20" t="s">
        <v>702</v>
      </c>
      <c r="D60" s="19" t="s">
        <v>703</v>
      </c>
      <c r="E60" s="19" t="s">
        <v>704</v>
      </c>
      <c r="F60" s="19" t="s">
        <v>710</v>
      </c>
      <c r="G60" s="19" t="s">
        <v>708</v>
      </c>
      <c r="H60" s="32" t="s">
        <v>747</v>
      </c>
      <c r="I60" s="19" t="n">
        <v>80</v>
      </c>
      <c r="J60" s="19"/>
      <c r="K60" s="19" t="s">
        <v>85</v>
      </c>
      <c r="L60" s="73" t="n">
        <v>1</v>
      </c>
      <c r="M60" s="37" t="str">
        <f aca="false">IF($G60&lt;&gt;"PIPE","",IFERROR(1/(1/INDEX(배관단중표!$B$7:$W$41,MATCH($I60,배관단중표!$A$7:$A$41,0),MATCH(IF($J60="SPP","SPP",IF(LEFT($F60,3)="STS",IF(ISNUMBER(SEARCH("316",$F60)),"STS316","STS304"),"SPPS")&amp;"|"&amp;$J60),배관단중표!$B$6:$W$6,0))),"DB확인"))</f>
        <v/>
      </c>
      <c r="N60" s="74" t="n">
        <v>40.7</v>
      </c>
      <c r="O60" s="56"/>
      <c r="P60" s="54" t="n">
        <f aca="false">IF($G60="","",IFERROR(IF(O60&lt;&gt;"",O60,L60*IF(G60="PIPE",M60,N60)),0))</f>
        <v>40.7</v>
      </c>
      <c r="Q60" s="6" t="str">
        <f aca="false">IF($G60="","",IF(G60="PIPE","P","F"))</f>
        <v>F</v>
      </c>
      <c r="R60" s="35" t="str">
        <f aca="false">IF($G60&lt;&gt;"PIPE","",IFERROR(IF(O60&lt;&gt;"",O60/M60,IF(K60="M",L60,"")),""))</f>
        <v/>
      </c>
      <c r="S60" s="6" t="str">
        <f aca="false">IF($G60&lt;&gt;"PIPE","",IF(AND($AA60="○",OR($W60&lt;&gt;"○",배관기준!$AG$17="N"),$C60&lt;&gt;"매설",LEFT($F60,3)&lt;&gt;"STS",LEFT($F60,3)&lt;&gt;"SUS"),"Y","N"))</f>
        <v/>
      </c>
      <c r="T60" s="16"/>
      <c r="U60" s="19" t="s">
        <v>705</v>
      </c>
      <c r="V60" s="19"/>
      <c r="W60" s="6" t="str">
        <f aca="false">IF($G60="","",IFERROR(INDEX(배관집계!$AC$7:$AC$32,MATCH($AC60,배관집계!$AJ$7:$AJ$32,0))&amp;"",""))</f>
        <v>○</v>
      </c>
      <c r="X60" s="6" t="str">
        <f aca="false">IF($G60="","",IFERROR(INDEX(배관집계!$AD$7:$AD$32,MATCH($AC60,배관집계!$AJ$7:$AJ$32,0))&amp;"",""))</f>
        <v>○</v>
      </c>
      <c r="Y60" s="6" t="str">
        <f aca="false">IF($G60="","",IFERROR(INDEX(배관집계!$AE$7:$AE$32,MATCH($AC60,배관집계!$AJ$7:$AJ$32,0))&amp;"",""))</f>
        <v>×</v>
      </c>
      <c r="Z60" s="6" t="str">
        <f aca="false">IF($G60="","",IFERROR(INDEX(배관집계!$AF$7:$AF$32,MATCH($AC60,배관집계!$AJ$7:$AJ$32,0))&amp;"",""))</f>
        <v>○</v>
      </c>
      <c r="AA60" s="6" t="str">
        <f aca="false">IF($G60="","",IFERROR(INDEX(배관집계!$AG$7:$AG$32,MATCH($AC60,배관집계!$AJ$7:$AJ$32,0))&amp;"",""))</f>
        <v>×</v>
      </c>
      <c r="AB60" s="6" t="str">
        <f aca="false">IF($G60="","",IFERROR(INDEX(배관집계!$AH$7:$AH$32,MATCH($AC60,배관집계!$AJ$7:$AJ$32,0))&amp;"",""))</f>
        <v>C/C</v>
      </c>
      <c r="AC60" s="75" t="str">
        <f aca="false">IF($G60="","",$B60&amp;"|"&amp;$C60&amp;"|"&amp;$E60&amp;"|"&amp;$U60&amp;"|"&amp;$I60)</f>
        <v>설치|옥외|5kg/cm2이상|STPG370S|80</v>
      </c>
      <c r="AD60" s="76" t="str">
        <f aca="false">IF($G60="","",IF($B60&lt;&gt;"설치","",IF($G60="PIPE","PIPE",IF($G60="VALVE",IF(ISNUMBER(SEARCH("GLOBE",$H60)),"GLOBE",IF(ISNUMBER(SEARCH("GATE",$H60)),"GATE",IF(ISNUMBER(SEARCH("BUTTER",$H60)),"BFLY","VALVE기타"))),IF($G60="FITTING",IF(LEFT($H60,5)="ELBOW",IF($AE60=90,"90EL",IF($AE60=45,"45EL","비규격EL")),IF(LEFT($H60,6)="FLANGE","FLANGE",IF(ISNUMBER(SEARCH("TEE",$H60)),"TEE",""))),"")))))</f>
        <v>TEE</v>
      </c>
      <c r="AE60" s="76" t="str">
        <f aca="false">IF(AND($G60="FITTING",LEFT($H60,5)="ELBOW"),IFERROR(VALUE(LEFT(MID($H60,7,12),MIN(IFERROR(FIND("L",MID($H60,7,12)),99),IFERROR(FIND("S",MID($H60,7,12)),99),IFERROR(FIND(" ",MID($H60,7,12)),99))-1)),""),"")</f>
        <v/>
      </c>
      <c r="AF60" s="77" t="n">
        <f aca="false">IF($AD60="비규격EL",N($L60)*RADIANS(N($AE60))*보온기준!$F$15*N($I60)*보온기준!$F$16/1000,0)</f>
        <v>0</v>
      </c>
      <c r="AG60" s="76" t="str">
        <f aca="false">IF($G60="","",IF(OR($AA60&lt;&gt;"○",LEFT($F60,3)="STS",LEFT($F60,3)="SUS",$C60="매설"),"Y","N"))</f>
        <v>Y</v>
      </c>
    </row>
    <row r="61" customFormat="false" ht="15" hidden="false" customHeight="true" outlineLevel="0" collapsed="false">
      <c r="A61" s="6" t="n">
        <v>55</v>
      </c>
      <c r="B61" s="20" t="s">
        <v>142</v>
      </c>
      <c r="C61" s="20" t="s">
        <v>702</v>
      </c>
      <c r="D61" s="19" t="s">
        <v>703</v>
      </c>
      <c r="E61" s="19" t="s">
        <v>704</v>
      </c>
      <c r="F61" s="19" t="s">
        <v>748</v>
      </c>
      <c r="G61" s="19" t="s">
        <v>708</v>
      </c>
      <c r="H61" s="32" t="s">
        <v>749</v>
      </c>
      <c r="I61" s="19" t="n">
        <v>150</v>
      </c>
      <c r="J61" s="19"/>
      <c r="K61" s="19" t="s">
        <v>85</v>
      </c>
      <c r="L61" s="73" t="n">
        <v>1</v>
      </c>
      <c r="M61" s="37" t="str">
        <f aca="false">IF($G61&lt;&gt;"PIPE","",IFERROR(1/(1/INDEX(배관단중표!$B$7:$W$41,MATCH($I61,배관단중표!$A$7:$A$41,0),MATCH(IF($J61="SPP","SPP",IF(LEFT($F61,3)="STS",IF(ISNUMBER(SEARCH("316",$F61)),"STS316","STS304"),"SPPS")&amp;"|"&amp;$J61),배관단중표!$B$6:$W$6,0))),"DB확인"))</f>
        <v/>
      </c>
      <c r="N61" s="74"/>
      <c r="O61" s="56"/>
      <c r="P61" s="54" t="n">
        <f aca="false">IF($G61="","",IFERROR(IF(O61&lt;&gt;"",O61,L61*IF(G61="PIPE",M61,N61)),0))</f>
        <v>0</v>
      </c>
      <c r="Q61" s="6" t="str">
        <f aca="false">IF($G61="","",IF(G61="PIPE","P","F"))</f>
        <v>F</v>
      </c>
      <c r="R61" s="35" t="str">
        <f aca="false">IF($G61&lt;&gt;"PIPE","",IFERROR(IF(O61&lt;&gt;"",O61/M61,IF(K61="M",L61,"")),""))</f>
        <v/>
      </c>
      <c r="S61" s="6" t="str">
        <f aca="false">IF($G61&lt;&gt;"PIPE","",IF(AND($AA61="○",OR($W61&lt;&gt;"○",배관기준!$AG$17="N"),$C61&lt;&gt;"매설",LEFT($F61,3)&lt;&gt;"STS",LEFT($F61,3)&lt;&gt;"SUS"),"Y","N"))</f>
        <v/>
      </c>
      <c r="T61" s="16"/>
      <c r="U61" s="19" t="s">
        <v>705</v>
      </c>
      <c r="V61" s="19"/>
      <c r="W61" s="6" t="str">
        <f aca="false">IF($G61="","",IFERROR(INDEX(배관집계!$AC$7:$AC$32,MATCH($AC61,배관집계!$AJ$7:$AJ$32,0))&amp;"",""))</f>
        <v>○</v>
      </c>
      <c r="X61" s="6" t="str">
        <f aca="false">IF($G61="","",IFERROR(INDEX(배관집계!$AD$7:$AD$32,MATCH($AC61,배관집계!$AJ$7:$AJ$32,0))&amp;"",""))</f>
        <v>○</v>
      </c>
      <c r="Y61" s="6" t="str">
        <f aca="false">IF($G61="","",IFERROR(INDEX(배관집계!$AE$7:$AE$32,MATCH($AC61,배관집계!$AJ$7:$AJ$32,0))&amp;"",""))</f>
        <v>×</v>
      </c>
      <c r="Z61" s="6" t="str">
        <f aca="false">IF($G61="","",IFERROR(INDEX(배관집계!$AF$7:$AF$32,MATCH($AC61,배관집계!$AJ$7:$AJ$32,0))&amp;"",""))</f>
        <v>○</v>
      </c>
      <c r="AA61" s="6" t="str">
        <f aca="false">IF($G61="","",IFERROR(INDEX(배관집계!$AG$7:$AG$32,MATCH($AC61,배관집계!$AJ$7:$AJ$32,0))&amp;"",""))</f>
        <v>×</v>
      </c>
      <c r="AB61" s="6" t="str">
        <f aca="false">IF($G61="","",IFERROR(INDEX(배관집계!$AH$7:$AH$32,MATCH($AC61,배관집계!$AJ$7:$AJ$32,0))&amp;"",""))</f>
        <v>C/C</v>
      </c>
      <c r="AC61" s="75" t="str">
        <f aca="false">IF($G61="","",$B61&amp;"|"&amp;$C61&amp;"|"&amp;$E61&amp;"|"&amp;$U61&amp;"|"&amp;$I61)</f>
        <v>설치|옥외|5kg/cm2이상|STPG370S|150</v>
      </c>
      <c r="AD61" s="76" t="str">
        <f aca="false">IF($G61="","",IF($B61&lt;&gt;"설치","",IF($G61="PIPE","PIPE",IF($G61="VALVE",IF(ISNUMBER(SEARCH("GLOBE",$H61)),"GLOBE",IF(ISNUMBER(SEARCH("GATE",$H61)),"GATE",IF(ISNUMBER(SEARCH("BUTTER",$H61)),"BFLY","VALVE기타"))),IF($G61="FITTING",IF(LEFT($H61,5)="ELBOW",IF($AE61=90,"90EL",IF($AE61=45,"45EL","비규격EL")),IF(LEFT($H61,6)="FLANGE","FLANGE",IF(ISNUMBER(SEARCH("TEE",$H61)),"TEE",""))),"")))))</f>
        <v/>
      </c>
      <c r="AE61" s="76" t="str">
        <f aca="false">IF(AND($G61="FITTING",LEFT($H61,5)="ELBOW"),IFERROR(VALUE(LEFT(MID($H61,7,12),MIN(IFERROR(FIND("L",MID($H61,7,12)),99),IFERROR(FIND("S",MID($H61,7,12)),99),IFERROR(FIND(" ",MID($H61,7,12)),99))-1)),""),"")</f>
        <v/>
      </c>
      <c r="AF61" s="77" t="n">
        <f aca="false">IF($AD61="비규격EL",N($L61)*RADIANS(N($AE61))*보온기준!$F$15*N($I61)*보온기준!$F$16/1000,0)</f>
        <v>0</v>
      </c>
      <c r="AG61" s="76" t="str">
        <f aca="false">IF($G61="","",IF(OR($AA61&lt;&gt;"○",LEFT($F61,3)="STS",LEFT($F61,3)="SUS",$C61="매설"),"Y","N"))</f>
        <v>Y</v>
      </c>
    </row>
    <row r="62" customFormat="false" ht="15" hidden="false" customHeight="true" outlineLevel="0" collapsed="false">
      <c r="A62" s="6" t="n">
        <v>56</v>
      </c>
      <c r="B62" s="20" t="s">
        <v>142</v>
      </c>
      <c r="C62" s="20" t="s">
        <v>702</v>
      </c>
      <c r="D62" s="19" t="s">
        <v>703</v>
      </c>
      <c r="E62" s="19" t="s">
        <v>704</v>
      </c>
      <c r="F62" s="19" t="s">
        <v>748</v>
      </c>
      <c r="G62" s="19" t="s">
        <v>708</v>
      </c>
      <c r="H62" s="32" t="s">
        <v>749</v>
      </c>
      <c r="I62" s="19" t="n">
        <v>200</v>
      </c>
      <c r="J62" s="19"/>
      <c r="K62" s="19" t="s">
        <v>85</v>
      </c>
      <c r="L62" s="73" t="n">
        <v>2</v>
      </c>
      <c r="M62" s="37" t="str">
        <f aca="false">IF($G62&lt;&gt;"PIPE","",IFERROR(1/(1/INDEX(배관단중표!$B$7:$W$41,MATCH($I62,배관단중표!$A$7:$A$41,0),MATCH(IF($J62="SPP","SPP",IF(LEFT($F62,3)="STS",IF(ISNUMBER(SEARCH("316",$F62)),"STS316","STS304"),"SPPS")&amp;"|"&amp;$J62),배관단중표!$B$6:$W$6,0))),"DB확인"))</f>
        <v/>
      </c>
      <c r="N62" s="74"/>
      <c r="O62" s="56"/>
      <c r="P62" s="54" t="n">
        <f aca="false">IF($G62="","",IFERROR(IF(O62&lt;&gt;"",O62,L62*IF(G62="PIPE",M62,N62)),0))</f>
        <v>0</v>
      </c>
      <c r="Q62" s="6" t="str">
        <f aca="false">IF($G62="","",IF(G62="PIPE","P","F"))</f>
        <v>F</v>
      </c>
      <c r="R62" s="35" t="str">
        <f aca="false">IF($G62&lt;&gt;"PIPE","",IFERROR(IF(O62&lt;&gt;"",O62/M62,IF(K62="M",L62,"")),""))</f>
        <v/>
      </c>
      <c r="S62" s="6" t="str">
        <f aca="false">IF($G62&lt;&gt;"PIPE","",IF(AND($AA62="○",OR($W62&lt;&gt;"○",배관기준!$AG$17="N"),$C62&lt;&gt;"매설",LEFT($F62,3)&lt;&gt;"STS",LEFT($F62,3)&lt;&gt;"SUS"),"Y","N"))</f>
        <v/>
      </c>
      <c r="T62" s="16"/>
      <c r="U62" s="19" t="s">
        <v>705</v>
      </c>
      <c r="V62" s="19"/>
      <c r="W62" s="6" t="str">
        <f aca="false">IF($G62="","",IFERROR(INDEX(배관집계!$AC$7:$AC$32,MATCH($AC62,배관집계!$AJ$7:$AJ$32,0))&amp;"",""))</f>
        <v>○</v>
      </c>
      <c r="X62" s="6" t="str">
        <f aca="false">IF($G62="","",IFERROR(INDEX(배관집계!$AD$7:$AD$32,MATCH($AC62,배관집계!$AJ$7:$AJ$32,0))&amp;"",""))</f>
        <v>○</v>
      </c>
      <c r="Y62" s="6" t="str">
        <f aca="false">IF($G62="","",IFERROR(INDEX(배관집계!$AE$7:$AE$32,MATCH($AC62,배관집계!$AJ$7:$AJ$32,0))&amp;"",""))</f>
        <v>×</v>
      </c>
      <c r="Z62" s="6" t="str">
        <f aca="false">IF($G62="","",IFERROR(INDEX(배관집계!$AF$7:$AF$32,MATCH($AC62,배관집계!$AJ$7:$AJ$32,0))&amp;"",""))</f>
        <v>○</v>
      </c>
      <c r="AA62" s="6" t="str">
        <f aca="false">IF($G62="","",IFERROR(INDEX(배관집계!$AG$7:$AG$32,MATCH($AC62,배관집계!$AJ$7:$AJ$32,0))&amp;"",""))</f>
        <v>×</v>
      </c>
      <c r="AB62" s="6" t="str">
        <f aca="false">IF($G62="","",IFERROR(INDEX(배관집계!$AH$7:$AH$32,MATCH($AC62,배관집계!$AJ$7:$AJ$32,0))&amp;"",""))</f>
        <v>C/C</v>
      </c>
      <c r="AC62" s="75" t="str">
        <f aca="false">IF($G62="","",$B62&amp;"|"&amp;$C62&amp;"|"&amp;$E62&amp;"|"&amp;$U62&amp;"|"&amp;$I62)</f>
        <v>설치|옥외|5kg/cm2이상|STPG370S|200</v>
      </c>
      <c r="AD62" s="76" t="str">
        <f aca="false">IF($G62="","",IF($B62&lt;&gt;"설치","",IF($G62="PIPE","PIPE",IF($G62="VALVE",IF(ISNUMBER(SEARCH("GLOBE",$H62)),"GLOBE",IF(ISNUMBER(SEARCH("GATE",$H62)),"GATE",IF(ISNUMBER(SEARCH("BUTTER",$H62)),"BFLY","VALVE기타"))),IF($G62="FITTING",IF(LEFT($H62,5)="ELBOW",IF($AE62=90,"90EL",IF($AE62=45,"45EL","비규격EL")),IF(LEFT($H62,6)="FLANGE","FLANGE",IF(ISNUMBER(SEARCH("TEE",$H62)),"TEE",""))),"")))))</f>
        <v/>
      </c>
      <c r="AE62" s="76" t="str">
        <f aca="false">IF(AND($G62="FITTING",LEFT($H62,5)="ELBOW"),IFERROR(VALUE(LEFT(MID($H62,7,12),MIN(IFERROR(FIND("L",MID($H62,7,12)),99),IFERROR(FIND("S",MID($H62,7,12)),99),IFERROR(FIND(" ",MID($H62,7,12)),99))-1)),""),"")</f>
        <v/>
      </c>
      <c r="AF62" s="77" t="n">
        <f aca="false">IF($AD62="비규격EL",N($L62)*RADIANS(N($AE62))*보온기준!$F$15*N($I62)*보온기준!$F$16/1000,0)</f>
        <v>0</v>
      </c>
      <c r="AG62" s="76" t="str">
        <f aca="false">IF($G62="","",IF(OR($AA62&lt;&gt;"○",LEFT($F62,3)="STS",LEFT($F62,3)="SUS",$C62="매설"),"Y","N"))</f>
        <v>Y</v>
      </c>
    </row>
    <row r="63" customFormat="false" ht="23.25" hidden="false" customHeight="true" outlineLevel="0" collapsed="false">
      <c r="A63" s="6" t="n">
        <v>57</v>
      </c>
      <c r="B63" s="20" t="s">
        <v>142</v>
      </c>
      <c r="C63" s="20" t="s">
        <v>702</v>
      </c>
      <c r="D63" s="19" t="s">
        <v>703</v>
      </c>
      <c r="E63" s="19" t="s">
        <v>704</v>
      </c>
      <c r="F63" s="19" t="s">
        <v>750</v>
      </c>
      <c r="G63" s="19" t="s">
        <v>708</v>
      </c>
      <c r="H63" s="32" t="s">
        <v>751</v>
      </c>
      <c r="I63" s="19" t="n">
        <v>15</v>
      </c>
      <c r="J63" s="19"/>
      <c r="K63" s="19" t="s">
        <v>85</v>
      </c>
      <c r="L63" s="73" t="n">
        <v>6</v>
      </c>
      <c r="M63" s="37" t="str">
        <f aca="false">IF($G63&lt;&gt;"PIPE","",IFERROR(1/(1/INDEX(배관단중표!$B$7:$W$41,MATCH($I63,배관단중표!$A$7:$A$41,0),MATCH(IF($J63="SPP","SPP",IF(LEFT($F63,3)="STS",IF(ISNUMBER(SEARCH("316",$F63)),"STS316","STS304"),"SPPS")&amp;"|"&amp;$J63),배관단중표!$B$6:$W$6,0))),"DB확인"))</f>
        <v/>
      </c>
      <c r="N63" s="74"/>
      <c r="O63" s="56"/>
      <c r="P63" s="54" t="n">
        <f aca="false">IF($G63="","",IFERROR(IF(O63&lt;&gt;"",O63,L63*IF(G63="PIPE",M63,N63)),0))</f>
        <v>0</v>
      </c>
      <c r="Q63" s="6" t="str">
        <f aca="false">IF($G63="","",IF(G63="PIPE","P","F"))</f>
        <v>F</v>
      </c>
      <c r="R63" s="35" t="str">
        <f aca="false">IF($G63&lt;&gt;"PIPE","",IFERROR(IF(O63&lt;&gt;"",O63/M63,IF(K63="M",L63,"")),""))</f>
        <v/>
      </c>
      <c r="S63" s="6" t="str">
        <f aca="false">IF($G63&lt;&gt;"PIPE","",IF(AND($AA63="○",OR($W63&lt;&gt;"○",배관기준!$AG$17="N"),$C63&lt;&gt;"매설",LEFT($F63,3)&lt;&gt;"STS",LEFT($F63,3)&lt;&gt;"SUS"),"Y","N"))</f>
        <v/>
      </c>
      <c r="T63" s="16"/>
      <c r="U63" s="19" t="s">
        <v>705</v>
      </c>
      <c r="V63" s="19"/>
      <c r="W63" s="6" t="str">
        <f aca="false">IF($G63="","",IFERROR(INDEX(배관집계!$AC$7:$AC$32,MATCH($AC63,배관집계!$AJ$7:$AJ$32,0))&amp;"",""))</f>
        <v>○</v>
      </c>
      <c r="X63" s="6" t="str">
        <f aca="false">IF($G63="","",IFERROR(INDEX(배관집계!$AD$7:$AD$32,MATCH($AC63,배관집계!$AJ$7:$AJ$32,0))&amp;"",""))</f>
        <v>○</v>
      </c>
      <c r="Y63" s="6" t="str">
        <f aca="false">IF($G63="","",IFERROR(INDEX(배관집계!$AE$7:$AE$32,MATCH($AC63,배관집계!$AJ$7:$AJ$32,0))&amp;"",""))</f>
        <v>×</v>
      </c>
      <c r="Z63" s="6" t="str">
        <f aca="false">IF($G63="","",IFERROR(INDEX(배관집계!$AF$7:$AF$32,MATCH($AC63,배관집계!$AJ$7:$AJ$32,0))&amp;"",""))</f>
        <v>○</v>
      </c>
      <c r="AA63" s="6" t="str">
        <f aca="false">IF($G63="","",IFERROR(INDEX(배관집계!$AG$7:$AG$32,MATCH($AC63,배관집계!$AJ$7:$AJ$32,0))&amp;"",""))</f>
        <v>×</v>
      </c>
      <c r="AB63" s="6" t="str">
        <f aca="false">IF($G63="","",IFERROR(INDEX(배관집계!$AH$7:$AH$32,MATCH($AC63,배관집계!$AJ$7:$AJ$32,0))&amp;"",""))</f>
        <v>C/C</v>
      </c>
      <c r="AC63" s="75" t="str">
        <f aca="false">IF($G63="","",$B63&amp;"|"&amp;$C63&amp;"|"&amp;$E63&amp;"|"&amp;$U63&amp;"|"&amp;$I63)</f>
        <v>설치|옥외|5kg/cm2이상|STPG370S|15</v>
      </c>
      <c r="AD63" s="76" t="str">
        <f aca="false">IF($G63="","",IF($B63&lt;&gt;"설치","",IF($G63="PIPE","PIPE",IF($G63="VALVE",IF(ISNUMBER(SEARCH("GLOBE",$H63)),"GLOBE",IF(ISNUMBER(SEARCH("GATE",$H63)),"GATE",IF(ISNUMBER(SEARCH("BUTTER",$H63)),"BFLY","VALVE기타"))),IF($G63="FITTING",IF(LEFT($H63,5)="ELBOW",IF($AE63=90,"90EL",IF($AE63=45,"45EL","비규격EL")),IF(LEFT($H63,6)="FLANGE","FLANGE",IF(ISNUMBER(SEARCH("TEE",$H63)),"TEE",""))),"")))))</f>
        <v/>
      </c>
      <c r="AE63" s="76" t="str">
        <f aca="false">IF(AND($G63="FITTING",LEFT($H63,5)="ELBOW"),IFERROR(VALUE(LEFT(MID($H63,7,12),MIN(IFERROR(FIND("L",MID($H63,7,12)),99),IFERROR(FIND("S",MID($H63,7,12)),99),IFERROR(FIND(" ",MID($H63,7,12)),99))-1)),""),"")</f>
        <v/>
      </c>
      <c r="AF63" s="77" t="n">
        <f aca="false">IF($AD63="비규격EL",N($L63)*RADIANS(N($AE63))*보온기준!$F$15*N($I63)*보온기준!$F$16/1000,0)</f>
        <v>0</v>
      </c>
      <c r="AG63" s="76" t="str">
        <f aca="false">IF($G63="","",IF(OR($AA63&lt;&gt;"○",LEFT($F63,3)="STS",LEFT($F63,3)="SUS",$C63="매설"),"Y","N"))</f>
        <v>Y</v>
      </c>
    </row>
    <row r="64" customFormat="false" ht="23.25" hidden="false" customHeight="true" outlineLevel="0" collapsed="false">
      <c r="A64" s="6" t="n">
        <v>58</v>
      </c>
      <c r="B64" s="20" t="s">
        <v>142</v>
      </c>
      <c r="C64" s="20" t="s">
        <v>702</v>
      </c>
      <c r="D64" s="19" t="s">
        <v>703</v>
      </c>
      <c r="E64" s="19" t="s">
        <v>704</v>
      </c>
      <c r="F64" s="19" t="s">
        <v>750</v>
      </c>
      <c r="G64" s="19" t="s">
        <v>708</v>
      </c>
      <c r="H64" s="32" t="s">
        <v>751</v>
      </c>
      <c r="I64" s="19" t="n">
        <v>50</v>
      </c>
      <c r="J64" s="19"/>
      <c r="K64" s="19" t="s">
        <v>85</v>
      </c>
      <c r="L64" s="73" t="n">
        <v>6</v>
      </c>
      <c r="M64" s="37" t="str">
        <f aca="false">IF($G64&lt;&gt;"PIPE","",IFERROR(1/(1/INDEX(배관단중표!$B$7:$W$41,MATCH($I64,배관단중표!$A$7:$A$41,0),MATCH(IF($J64="SPP","SPP",IF(LEFT($F64,3)="STS",IF(ISNUMBER(SEARCH("316",$F64)),"STS316","STS304"),"SPPS")&amp;"|"&amp;$J64),배관단중표!$B$6:$W$6,0))),"DB확인"))</f>
        <v/>
      </c>
      <c r="N64" s="74"/>
      <c r="O64" s="56"/>
      <c r="P64" s="54" t="n">
        <f aca="false">IF($G64="","",IFERROR(IF(O64&lt;&gt;"",O64,L64*IF(G64="PIPE",M64,N64)),0))</f>
        <v>0</v>
      </c>
      <c r="Q64" s="6" t="str">
        <f aca="false">IF($G64="","",IF(G64="PIPE","P","F"))</f>
        <v>F</v>
      </c>
      <c r="R64" s="35" t="str">
        <f aca="false">IF($G64&lt;&gt;"PIPE","",IFERROR(IF(O64&lt;&gt;"",O64/M64,IF(K64="M",L64,"")),""))</f>
        <v/>
      </c>
      <c r="S64" s="6" t="str">
        <f aca="false">IF($G64&lt;&gt;"PIPE","",IF(AND($AA64="○",OR($W64&lt;&gt;"○",배관기준!$AG$17="N"),$C64&lt;&gt;"매설",LEFT($F64,3)&lt;&gt;"STS",LEFT($F64,3)&lt;&gt;"SUS"),"Y","N"))</f>
        <v/>
      </c>
      <c r="T64" s="16"/>
      <c r="U64" s="19" t="s">
        <v>705</v>
      </c>
      <c r="V64" s="19"/>
      <c r="W64" s="6" t="str">
        <f aca="false">IF($G64="","",IFERROR(INDEX(배관집계!$AC$7:$AC$32,MATCH($AC64,배관집계!$AJ$7:$AJ$32,0))&amp;"",""))</f>
        <v>○</v>
      </c>
      <c r="X64" s="6" t="str">
        <f aca="false">IF($G64="","",IFERROR(INDEX(배관집계!$AD$7:$AD$32,MATCH($AC64,배관집계!$AJ$7:$AJ$32,0))&amp;"",""))</f>
        <v>○</v>
      </c>
      <c r="Y64" s="6" t="str">
        <f aca="false">IF($G64="","",IFERROR(INDEX(배관집계!$AE$7:$AE$32,MATCH($AC64,배관집계!$AJ$7:$AJ$32,0))&amp;"",""))</f>
        <v>×</v>
      </c>
      <c r="Z64" s="6" t="str">
        <f aca="false">IF($G64="","",IFERROR(INDEX(배관집계!$AF$7:$AF$32,MATCH($AC64,배관집계!$AJ$7:$AJ$32,0))&amp;"",""))</f>
        <v>○</v>
      </c>
      <c r="AA64" s="6" t="str">
        <f aca="false">IF($G64="","",IFERROR(INDEX(배관집계!$AG$7:$AG$32,MATCH($AC64,배관집계!$AJ$7:$AJ$32,0))&amp;"",""))</f>
        <v>×</v>
      </c>
      <c r="AB64" s="6" t="str">
        <f aca="false">IF($G64="","",IFERROR(INDEX(배관집계!$AH$7:$AH$32,MATCH($AC64,배관집계!$AJ$7:$AJ$32,0))&amp;"",""))</f>
        <v>C/C</v>
      </c>
      <c r="AC64" s="75" t="str">
        <f aca="false">IF($G64="","",$B64&amp;"|"&amp;$C64&amp;"|"&amp;$E64&amp;"|"&amp;$U64&amp;"|"&amp;$I64)</f>
        <v>설치|옥외|5kg/cm2이상|STPG370S|50</v>
      </c>
      <c r="AD64" s="76" t="str">
        <f aca="false">IF($G64="","",IF($B64&lt;&gt;"설치","",IF($G64="PIPE","PIPE",IF($G64="VALVE",IF(ISNUMBER(SEARCH("GLOBE",$H64)),"GLOBE",IF(ISNUMBER(SEARCH("GATE",$H64)),"GATE",IF(ISNUMBER(SEARCH("BUTTER",$H64)),"BFLY","VALVE기타"))),IF($G64="FITTING",IF(LEFT($H64,5)="ELBOW",IF($AE64=90,"90EL",IF($AE64=45,"45EL","비규격EL")),IF(LEFT($H64,6)="FLANGE","FLANGE",IF(ISNUMBER(SEARCH("TEE",$H64)),"TEE",""))),"")))))</f>
        <v/>
      </c>
      <c r="AE64" s="76" t="str">
        <f aca="false">IF(AND($G64="FITTING",LEFT($H64,5)="ELBOW"),IFERROR(VALUE(LEFT(MID($H64,7,12),MIN(IFERROR(FIND("L",MID($H64,7,12)),99),IFERROR(FIND("S",MID($H64,7,12)),99),IFERROR(FIND(" ",MID($H64,7,12)),99))-1)),""),"")</f>
        <v/>
      </c>
      <c r="AF64" s="77" t="n">
        <f aca="false">IF($AD64="비규격EL",N($L64)*RADIANS(N($AE64))*보온기준!$F$15*N($I64)*보온기준!$F$16/1000,0)</f>
        <v>0</v>
      </c>
      <c r="AG64" s="76" t="str">
        <f aca="false">IF($G64="","",IF(OR($AA64&lt;&gt;"○",LEFT($F64,3)="STS",LEFT($F64,3)="SUS",$C64="매설"),"Y","N"))</f>
        <v>Y</v>
      </c>
    </row>
    <row r="65" customFormat="false" ht="23.25" hidden="false" customHeight="true" outlineLevel="0" collapsed="false">
      <c r="A65" s="6" t="n">
        <v>59</v>
      </c>
      <c r="B65" s="20" t="s">
        <v>142</v>
      </c>
      <c r="C65" s="20" t="s">
        <v>702</v>
      </c>
      <c r="D65" s="19" t="s">
        <v>703</v>
      </c>
      <c r="E65" s="19" t="s">
        <v>704</v>
      </c>
      <c r="F65" s="19" t="s">
        <v>750</v>
      </c>
      <c r="G65" s="19" t="s">
        <v>708</v>
      </c>
      <c r="H65" s="32" t="s">
        <v>751</v>
      </c>
      <c r="I65" s="19" t="n">
        <v>80</v>
      </c>
      <c r="J65" s="19"/>
      <c r="K65" s="19" t="s">
        <v>85</v>
      </c>
      <c r="L65" s="73" t="n">
        <v>1</v>
      </c>
      <c r="M65" s="37" t="str">
        <f aca="false">IF($G65&lt;&gt;"PIPE","",IFERROR(1/(1/INDEX(배관단중표!$B$7:$W$41,MATCH($I65,배관단중표!$A$7:$A$41,0),MATCH(IF($J65="SPP","SPP",IF(LEFT($F65,3)="STS",IF(ISNUMBER(SEARCH("316",$F65)),"STS316","STS304"),"SPPS")&amp;"|"&amp;$J65),배관단중표!$B$6:$W$6,0))),"DB확인"))</f>
        <v/>
      </c>
      <c r="N65" s="74"/>
      <c r="O65" s="56"/>
      <c r="P65" s="54" t="n">
        <f aca="false">IF($G65="","",IFERROR(IF(O65&lt;&gt;"",O65,L65*IF(G65="PIPE",M65,N65)),0))</f>
        <v>0</v>
      </c>
      <c r="Q65" s="6" t="str">
        <f aca="false">IF($G65="","",IF(G65="PIPE","P","F"))</f>
        <v>F</v>
      </c>
      <c r="R65" s="35" t="str">
        <f aca="false">IF($G65&lt;&gt;"PIPE","",IFERROR(IF(O65&lt;&gt;"",O65/M65,IF(K65="M",L65,"")),""))</f>
        <v/>
      </c>
      <c r="S65" s="6" t="str">
        <f aca="false">IF($G65&lt;&gt;"PIPE","",IF(AND($AA65="○",OR($W65&lt;&gt;"○",배관기준!$AG$17="N"),$C65&lt;&gt;"매설",LEFT($F65,3)&lt;&gt;"STS",LEFT($F65,3)&lt;&gt;"SUS"),"Y","N"))</f>
        <v/>
      </c>
      <c r="T65" s="16"/>
      <c r="U65" s="19" t="s">
        <v>705</v>
      </c>
      <c r="V65" s="19"/>
      <c r="W65" s="6" t="str">
        <f aca="false">IF($G65="","",IFERROR(INDEX(배관집계!$AC$7:$AC$32,MATCH($AC65,배관집계!$AJ$7:$AJ$32,0))&amp;"",""))</f>
        <v>○</v>
      </c>
      <c r="X65" s="6" t="str">
        <f aca="false">IF($G65="","",IFERROR(INDEX(배관집계!$AD$7:$AD$32,MATCH($AC65,배관집계!$AJ$7:$AJ$32,0))&amp;"",""))</f>
        <v>○</v>
      </c>
      <c r="Y65" s="6" t="str">
        <f aca="false">IF($G65="","",IFERROR(INDEX(배관집계!$AE$7:$AE$32,MATCH($AC65,배관집계!$AJ$7:$AJ$32,0))&amp;"",""))</f>
        <v>×</v>
      </c>
      <c r="Z65" s="6" t="str">
        <f aca="false">IF($G65="","",IFERROR(INDEX(배관집계!$AF$7:$AF$32,MATCH($AC65,배관집계!$AJ$7:$AJ$32,0))&amp;"",""))</f>
        <v>○</v>
      </c>
      <c r="AA65" s="6" t="str">
        <f aca="false">IF($G65="","",IFERROR(INDEX(배관집계!$AG$7:$AG$32,MATCH($AC65,배관집계!$AJ$7:$AJ$32,0))&amp;"",""))</f>
        <v>×</v>
      </c>
      <c r="AB65" s="6" t="str">
        <f aca="false">IF($G65="","",IFERROR(INDEX(배관집계!$AH$7:$AH$32,MATCH($AC65,배관집계!$AJ$7:$AJ$32,0))&amp;"",""))</f>
        <v>C/C</v>
      </c>
      <c r="AC65" s="75" t="str">
        <f aca="false">IF($G65="","",$B65&amp;"|"&amp;$C65&amp;"|"&amp;$E65&amp;"|"&amp;$U65&amp;"|"&amp;$I65)</f>
        <v>설치|옥외|5kg/cm2이상|STPG370S|80</v>
      </c>
      <c r="AD65" s="76" t="str">
        <f aca="false">IF($G65="","",IF($B65&lt;&gt;"설치","",IF($G65="PIPE","PIPE",IF($G65="VALVE",IF(ISNUMBER(SEARCH("GLOBE",$H65)),"GLOBE",IF(ISNUMBER(SEARCH("GATE",$H65)),"GATE",IF(ISNUMBER(SEARCH("BUTTER",$H65)),"BFLY","VALVE기타"))),IF($G65="FITTING",IF(LEFT($H65,5)="ELBOW",IF($AE65=90,"90EL",IF($AE65=45,"45EL","비규격EL")),IF(LEFT($H65,6)="FLANGE","FLANGE",IF(ISNUMBER(SEARCH("TEE",$H65)),"TEE",""))),"")))))</f>
        <v/>
      </c>
      <c r="AE65" s="76" t="str">
        <f aca="false">IF(AND($G65="FITTING",LEFT($H65,5)="ELBOW"),IFERROR(VALUE(LEFT(MID($H65,7,12),MIN(IFERROR(FIND("L",MID($H65,7,12)),99),IFERROR(FIND("S",MID($H65,7,12)),99),IFERROR(FIND(" ",MID($H65,7,12)),99))-1)),""),"")</f>
        <v/>
      </c>
      <c r="AF65" s="77" t="n">
        <f aca="false">IF($AD65="비규격EL",N($L65)*RADIANS(N($AE65))*보온기준!$F$15*N($I65)*보온기준!$F$16/1000,0)</f>
        <v>0</v>
      </c>
      <c r="AG65" s="76" t="str">
        <f aca="false">IF($G65="","",IF(OR($AA65&lt;&gt;"○",LEFT($F65,3)="STS",LEFT($F65,3)="SUS",$C65="매설"),"Y","N"))</f>
        <v>Y</v>
      </c>
    </row>
    <row r="66" customFormat="false" ht="23.25" hidden="false" customHeight="true" outlineLevel="0" collapsed="false">
      <c r="A66" s="6" t="n">
        <v>60</v>
      </c>
      <c r="B66" s="20" t="s">
        <v>142</v>
      </c>
      <c r="C66" s="20" t="s">
        <v>702</v>
      </c>
      <c r="D66" s="19" t="s">
        <v>703</v>
      </c>
      <c r="E66" s="19" t="s">
        <v>704</v>
      </c>
      <c r="F66" s="19" t="s">
        <v>750</v>
      </c>
      <c r="G66" s="19" t="s">
        <v>708</v>
      </c>
      <c r="H66" s="32" t="s">
        <v>751</v>
      </c>
      <c r="I66" s="19" t="n">
        <v>150</v>
      </c>
      <c r="J66" s="19"/>
      <c r="K66" s="19" t="s">
        <v>85</v>
      </c>
      <c r="L66" s="73" t="n">
        <v>6</v>
      </c>
      <c r="M66" s="37" t="str">
        <f aca="false">IF($G66&lt;&gt;"PIPE","",IFERROR(1/(1/INDEX(배관단중표!$B$7:$W$41,MATCH($I66,배관단중표!$A$7:$A$41,0),MATCH(IF($J66="SPP","SPP",IF(LEFT($F66,3)="STS",IF(ISNUMBER(SEARCH("316",$F66)),"STS316","STS304"),"SPPS")&amp;"|"&amp;$J66),배관단중표!$B$6:$W$6,0))),"DB확인"))</f>
        <v/>
      </c>
      <c r="N66" s="74"/>
      <c r="O66" s="56"/>
      <c r="P66" s="54" t="n">
        <f aca="false">IF($G66="","",IFERROR(IF(O66&lt;&gt;"",O66,L66*IF(G66="PIPE",M66,N66)),0))</f>
        <v>0</v>
      </c>
      <c r="Q66" s="6" t="str">
        <f aca="false">IF($G66="","",IF(G66="PIPE","P","F"))</f>
        <v>F</v>
      </c>
      <c r="R66" s="35" t="str">
        <f aca="false">IF($G66&lt;&gt;"PIPE","",IFERROR(IF(O66&lt;&gt;"",O66/M66,IF(K66="M",L66,"")),""))</f>
        <v/>
      </c>
      <c r="S66" s="6" t="str">
        <f aca="false">IF($G66&lt;&gt;"PIPE","",IF(AND($AA66="○",OR($W66&lt;&gt;"○",배관기준!$AG$17="N"),$C66&lt;&gt;"매설",LEFT($F66,3)&lt;&gt;"STS",LEFT($F66,3)&lt;&gt;"SUS"),"Y","N"))</f>
        <v/>
      </c>
      <c r="T66" s="16"/>
      <c r="U66" s="19" t="s">
        <v>705</v>
      </c>
      <c r="V66" s="19"/>
      <c r="W66" s="6" t="str">
        <f aca="false">IF($G66="","",IFERROR(INDEX(배관집계!$AC$7:$AC$32,MATCH($AC66,배관집계!$AJ$7:$AJ$32,0))&amp;"",""))</f>
        <v>○</v>
      </c>
      <c r="X66" s="6" t="str">
        <f aca="false">IF($G66="","",IFERROR(INDEX(배관집계!$AD$7:$AD$32,MATCH($AC66,배관집계!$AJ$7:$AJ$32,0))&amp;"",""))</f>
        <v>○</v>
      </c>
      <c r="Y66" s="6" t="str">
        <f aca="false">IF($G66="","",IFERROR(INDEX(배관집계!$AE$7:$AE$32,MATCH($AC66,배관집계!$AJ$7:$AJ$32,0))&amp;"",""))</f>
        <v>×</v>
      </c>
      <c r="Z66" s="6" t="str">
        <f aca="false">IF($G66="","",IFERROR(INDEX(배관집계!$AF$7:$AF$32,MATCH($AC66,배관집계!$AJ$7:$AJ$32,0))&amp;"",""))</f>
        <v>○</v>
      </c>
      <c r="AA66" s="6" t="str">
        <f aca="false">IF($G66="","",IFERROR(INDEX(배관집계!$AG$7:$AG$32,MATCH($AC66,배관집계!$AJ$7:$AJ$32,0))&amp;"",""))</f>
        <v>×</v>
      </c>
      <c r="AB66" s="6" t="str">
        <f aca="false">IF($G66="","",IFERROR(INDEX(배관집계!$AH$7:$AH$32,MATCH($AC66,배관집계!$AJ$7:$AJ$32,0))&amp;"",""))</f>
        <v>C/C</v>
      </c>
      <c r="AC66" s="75" t="str">
        <f aca="false">IF($G66="","",$B66&amp;"|"&amp;$C66&amp;"|"&amp;$E66&amp;"|"&amp;$U66&amp;"|"&amp;$I66)</f>
        <v>설치|옥외|5kg/cm2이상|STPG370S|150</v>
      </c>
      <c r="AD66" s="76" t="str">
        <f aca="false">IF($G66="","",IF($B66&lt;&gt;"설치","",IF($G66="PIPE","PIPE",IF($G66="VALVE",IF(ISNUMBER(SEARCH("GLOBE",$H66)),"GLOBE",IF(ISNUMBER(SEARCH("GATE",$H66)),"GATE",IF(ISNUMBER(SEARCH("BUTTER",$H66)),"BFLY","VALVE기타"))),IF($G66="FITTING",IF(LEFT($H66,5)="ELBOW",IF($AE66=90,"90EL",IF($AE66=45,"45EL","비규격EL")),IF(LEFT($H66,6)="FLANGE","FLANGE",IF(ISNUMBER(SEARCH("TEE",$H66)),"TEE",""))),"")))))</f>
        <v/>
      </c>
      <c r="AE66" s="76" t="str">
        <f aca="false">IF(AND($G66="FITTING",LEFT($H66,5)="ELBOW"),IFERROR(VALUE(LEFT(MID($H66,7,12),MIN(IFERROR(FIND("L",MID($H66,7,12)),99),IFERROR(FIND("S",MID($H66,7,12)),99),IFERROR(FIND(" ",MID($H66,7,12)),99))-1)),""),"")</f>
        <v/>
      </c>
      <c r="AF66" s="77" t="n">
        <f aca="false">IF($AD66="비규격EL",N($L66)*RADIANS(N($AE66))*보온기준!$F$15*N($I66)*보온기준!$F$16/1000,0)</f>
        <v>0</v>
      </c>
      <c r="AG66" s="76" t="str">
        <f aca="false">IF($G66="","",IF(OR($AA66&lt;&gt;"○",LEFT($F66,3)="STS",LEFT($F66,3)="SUS",$C66="매설"),"Y","N"))</f>
        <v>Y</v>
      </c>
    </row>
    <row r="67" customFormat="false" ht="23.25" hidden="false" customHeight="true" outlineLevel="0" collapsed="false">
      <c r="A67" s="6" t="n">
        <v>61</v>
      </c>
      <c r="B67" s="20" t="s">
        <v>142</v>
      </c>
      <c r="C67" s="20" t="s">
        <v>702</v>
      </c>
      <c r="D67" s="19" t="s">
        <v>703</v>
      </c>
      <c r="E67" s="19" t="s">
        <v>704</v>
      </c>
      <c r="F67" s="19" t="s">
        <v>752</v>
      </c>
      <c r="G67" s="19" t="s">
        <v>708</v>
      </c>
      <c r="H67" s="32" t="s">
        <v>751</v>
      </c>
      <c r="I67" s="19" t="n">
        <v>150</v>
      </c>
      <c r="J67" s="19"/>
      <c r="K67" s="19" t="s">
        <v>85</v>
      </c>
      <c r="L67" s="73" t="n">
        <v>4</v>
      </c>
      <c r="M67" s="37" t="str">
        <f aca="false">IF($G67&lt;&gt;"PIPE","",IFERROR(1/(1/INDEX(배관단중표!$B$7:$W$41,MATCH($I67,배관단중표!$A$7:$A$41,0),MATCH(IF($J67="SPP","SPP",IF(LEFT($F67,3)="STS",IF(ISNUMBER(SEARCH("316",$F67)),"STS316","STS304"),"SPPS")&amp;"|"&amp;$J67),배관단중표!$B$6:$W$6,0))),"DB확인"))</f>
        <v/>
      </c>
      <c r="N67" s="74"/>
      <c r="O67" s="56"/>
      <c r="P67" s="54" t="n">
        <f aca="false">IF($G67="","",IFERROR(IF(O67&lt;&gt;"",O67,L67*IF(G67="PIPE",M67,N67)),0))</f>
        <v>0</v>
      </c>
      <c r="Q67" s="6" t="str">
        <f aca="false">IF($G67="","",IF(G67="PIPE","P","F"))</f>
        <v>F</v>
      </c>
      <c r="R67" s="35" t="str">
        <f aca="false">IF($G67&lt;&gt;"PIPE","",IFERROR(IF(O67&lt;&gt;"",O67/M67,IF(K67="M",L67,"")),""))</f>
        <v/>
      </c>
      <c r="S67" s="6" t="str">
        <f aca="false">IF($G67&lt;&gt;"PIPE","",IF(AND($AA67="○",OR($W67&lt;&gt;"○",배관기준!$AG$17="N"),$C67&lt;&gt;"매설",LEFT($F67,3)&lt;&gt;"STS",LEFT($F67,3)&lt;&gt;"SUS"),"Y","N"))</f>
        <v/>
      </c>
      <c r="T67" s="16"/>
      <c r="U67" s="19" t="s">
        <v>705</v>
      </c>
      <c r="V67" s="19"/>
      <c r="W67" s="6" t="str">
        <f aca="false">IF($G67="","",IFERROR(INDEX(배관집계!$AC$7:$AC$32,MATCH($AC67,배관집계!$AJ$7:$AJ$32,0))&amp;"",""))</f>
        <v>○</v>
      </c>
      <c r="X67" s="6" t="str">
        <f aca="false">IF($G67="","",IFERROR(INDEX(배관집계!$AD$7:$AD$32,MATCH($AC67,배관집계!$AJ$7:$AJ$32,0))&amp;"",""))</f>
        <v>○</v>
      </c>
      <c r="Y67" s="6" t="str">
        <f aca="false">IF($G67="","",IFERROR(INDEX(배관집계!$AE$7:$AE$32,MATCH($AC67,배관집계!$AJ$7:$AJ$32,0))&amp;"",""))</f>
        <v>×</v>
      </c>
      <c r="Z67" s="6" t="str">
        <f aca="false">IF($G67="","",IFERROR(INDEX(배관집계!$AF$7:$AF$32,MATCH($AC67,배관집계!$AJ$7:$AJ$32,0))&amp;"",""))</f>
        <v>○</v>
      </c>
      <c r="AA67" s="6" t="str">
        <f aca="false">IF($G67="","",IFERROR(INDEX(배관집계!$AG$7:$AG$32,MATCH($AC67,배관집계!$AJ$7:$AJ$32,0))&amp;"",""))</f>
        <v>×</v>
      </c>
      <c r="AB67" s="6" t="str">
        <f aca="false">IF($G67="","",IFERROR(INDEX(배관집계!$AH$7:$AH$32,MATCH($AC67,배관집계!$AJ$7:$AJ$32,0))&amp;"",""))</f>
        <v>C/C</v>
      </c>
      <c r="AC67" s="75" t="str">
        <f aca="false">IF($G67="","",$B67&amp;"|"&amp;$C67&amp;"|"&amp;$E67&amp;"|"&amp;$U67&amp;"|"&amp;$I67)</f>
        <v>설치|옥외|5kg/cm2이상|STPG370S|150</v>
      </c>
      <c r="AD67" s="76" t="str">
        <f aca="false">IF($G67="","",IF($B67&lt;&gt;"설치","",IF($G67="PIPE","PIPE",IF($G67="VALVE",IF(ISNUMBER(SEARCH("GLOBE",$H67)),"GLOBE",IF(ISNUMBER(SEARCH("GATE",$H67)),"GATE",IF(ISNUMBER(SEARCH("BUTTER",$H67)),"BFLY","VALVE기타"))),IF($G67="FITTING",IF(LEFT($H67,5)="ELBOW",IF($AE67=90,"90EL",IF($AE67=45,"45EL","비규격EL")),IF(LEFT($H67,6)="FLANGE","FLANGE",IF(ISNUMBER(SEARCH("TEE",$H67)),"TEE",""))),"")))))</f>
        <v/>
      </c>
      <c r="AE67" s="76" t="str">
        <f aca="false">IF(AND($G67="FITTING",LEFT($H67,5)="ELBOW"),IFERROR(VALUE(LEFT(MID($H67,7,12),MIN(IFERROR(FIND("L",MID($H67,7,12)),99),IFERROR(FIND("S",MID($H67,7,12)),99),IFERROR(FIND(" ",MID($H67,7,12)),99))-1)),""),"")</f>
        <v/>
      </c>
      <c r="AF67" s="77" t="n">
        <f aca="false">IF($AD67="비규격EL",N($L67)*RADIANS(N($AE67))*보온기준!$F$15*N($I67)*보온기준!$F$16/1000,0)</f>
        <v>0</v>
      </c>
      <c r="AG67" s="76" t="str">
        <f aca="false">IF($G67="","",IF(OR($AA67&lt;&gt;"○",LEFT($F67,3)="STS",LEFT($F67,3)="SUS",$C67="매설"),"Y","N"))</f>
        <v>Y</v>
      </c>
    </row>
    <row r="68" customFormat="false" ht="23.25" hidden="false" customHeight="true" outlineLevel="0" collapsed="false">
      <c r="A68" s="6" t="n">
        <v>62</v>
      </c>
      <c r="B68" s="20" t="s">
        <v>142</v>
      </c>
      <c r="C68" s="20" t="s">
        <v>702</v>
      </c>
      <c r="D68" s="19" t="s">
        <v>703</v>
      </c>
      <c r="E68" s="19" t="s">
        <v>704</v>
      </c>
      <c r="F68" s="19" t="s">
        <v>752</v>
      </c>
      <c r="G68" s="19" t="s">
        <v>708</v>
      </c>
      <c r="H68" s="32" t="s">
        <v>751</v>
      </c>
      <c r="I68" s="19" t="n">
        <v>200</v>
      </c>
      <c r="J68" s="19"/>
      <c r="K68" s="19" t="s">
        <v>85</v>
      </c>
      <c r="L68" s="73" t="n">
        <v>4</v>
      </c>
      <c r="M68" s="37" t="str">
        <f aca="false">IF($G68&lt;&gt;"PIPE","",IFERROR(1/(1/INDEX(배관단중표!$B$7:$W$41,MATCH($I68,배관단중표!$A$7:$A$41,0),MATCH(IF($J68="SPP","SPP",IF(LEFT($F68,3)="STS",IF(ISNUMBER(SEARCH("316",$F68)),"STS316","STS304"),"SPPS")&amp;"|"&amp;$J68),배관단중표!$B$6:$W$6,0))),"DB확인"))</f>
        <v/>
      </c>
      <c r="N68" s="74"/>
      <c r="O68" s="56"/>
      <c r="P68" s="54" t="n">
        <f aca="false">IF($G68="","",IFERROR(IF(O68&lt;&gt;"",O68,L68*IF(G68="PIPE",M68,N68)),0))</f>
        <v>0</v>
      </c>
      <c r="Q68" s="6" t="str">
        <f aca="false">IF($G68="","",IF(G68="PIPE","P","F"))</f>
        <v>F</v>
      </c>
      <c r="R68" s="35" t="str">
        <f aca="false">IF($G68&lt;&gt;"PIPE","",IFERROR(IF(O68&lt;&gt;"",O68/M68,IF(K68="M",L68,"")),""))</f>
        <v/>
      </c>
      <c r="S68" s="6" t="str">
        <f aca="false">IF($G68&lt;&gt;"PIPE","",IF(AND($AA68="○",OR($W68&lt;&gt;"○",배관기준!$AG$17="N"),$C68&lt;&gt;"매설",LEFT($F68,3)&lt;&gt;"STS",LEFT($F68,3)&lt;&gt;"SUS"),"Y","N"))</f>
        <v/>
      </c>
      <c r="T68" s="16"/>
      <c r="U68" s="19" t="s">
        <v>705</v>
      </c>
      <c r="V68" s="19"/>
      <c r="W68" s="6" t="str">
        <f aca="false">IF($G68="","",IFERROR(INDEX(배관집계!$AC$7:$AC$32,MATCH($AC68,배관집계!$AJ$7:$AJ$32,0))&amp;"",""))</f>
        <v>○</v>
      </c>
      <c r="X68" s="6" t="str">
        <f aca="false">IF($G68="","",IFERROR(INDEX(배관집계!$AD$7:$AD$32,MATCH($AC68,배관집계!$AJ$7:$AJ$32,0))&amp;"",""))</f>
        <v>○</v>
      </c>
      <c r="Y68" s="6" t="str">
        <f aca="false">IF($G68="","",IFERROR(INDEX(배관집계!$AE$7:$AE$32,MATCH($AC68,배관집계!$AJ$7:$AJ$32,0))&amp;"",""))</f>
        <v>×</v>
      </c>
      <c r="Z68" s="6" t="str">
        <f aca="false">IF($G68="","",IFERROR(INDEX(배관집계!$AF$7:$AF$32,MATCH($AC68,배관집계!$AJ$7:$AJ$32,0))&amp;"",""))</f>
        <v>○</v>
      </c>
      <c r="AA68" s="6" t="str">
        <f aca="false">IF($G68="","",IFERROR(INDEX(배관집계!$AG$7:$AG$32,MATCH($AC68,배관집계!$AJ$7:$AJ$32,0))&amp;"",""))</f>
        <v>×</v>
      </c>
      <c r="AB68" s="6" t="str">
        <f aca="false">IF($G68="","",IFERROR(INDEX(배관집계!$AH$7:$AH$32,MATCH($AC68,배관집계!$AJ$7:$AJ$32,0))&amp;"",""))</f>
        <v>C/C</v>
      </c>
      <c r="AC68" s="75" t="str">
        <f aca="false">IF($G68="","",$B68&amp;"|"&amp;$C68&amp;"|"&amp;$E68&amp;"|"&amp;$U68&amp;"|"&amp;$I68)</f>
        <v>설치|옥외|5kg/cm2이상|STPG370S|200</v>
      </c>
      <c r="AD68" s="76" t="str">
        <f aca="false">IF($G68="","",IF($B68&lt;&gt;"설치","",IF($G68="PIPE","PIPE",IF($G68="VALVE",IF(ISNUMBER(SEARCH("GLOBE",$H68)),"GLOBE",IF(ISNUMBER(SEARCH("GATE",$H68)),"GATE",IF(ISNUMBER(SEARCH("BUTTER",$H68)),"BFLY","VALVE기타"))),IF($G68="FITTING",IF(LEFT($H68,5)="ELBOW",IF($AE68=90,"90EL",IF($AE68=45,"45EL","비규격EL")),IF(LEFT($H68,6)="FLANGE","FLANGE",IF(ISNUMBER(SEARCH("TEE",$H68)),"TEE",""))),"")))))</f>
        <v/>
      </c>
      <c r="AE68" s="76" t="str">
        <f aca="false">IF(AND($G68="FITTING",LEFT($H68,5)="ELBOW"),IFERROR(VALUE(LEFT(MID($H68,7,12),MIN(IFERROR(FIND("L",MID($H68,7,12)),99),IFERROR(FIND("S",MID($H68,7,12)),99),IFERROR(FIND(" ",MID($H68,7,12)),99))-1)),""),"")</f>
        <v/>
      </c>
      <c r="AF68" s="77" t="n">
        <f aca="false">IF($AD68="비규격EL",N($L68)*RADIANS(N($AE68))*보온기준!$F$15*N($I68)*보온기준!$F$16/1000,0)</f>
        <v>0</v>
      </c>
      <c r="AG68" s="76" t="str">
        <f aca="false">IF($G68="","",IF(OR($AA68&lt;&gt;"○",LEFT($F68,3)="STS",LEFT($F68,3)="SUS",$C68="매설"),"Y","N"))</f>
        <v>Y</v>
      </c>
    </row>
    <row r="69" customFormat="false" ht="23.25" hidden="false" customHeight="true" outlineLevel="0" collapsed="false">
      <c r="A69" s="6" t="n">
        <v>63</v>
      </c>
      <c r="B69" s="20" t="s">
        <v>142</v>
      </c>
      <c r="C69" s="20" t="s">
        <v>702</v>
      </c>
      <c r="D69" s="19" t="s">
        <v>703</v>
      </c>
      <c r="E69" s="19" t="s">
        <v>704</v>
      </c>
      <c r="F69" s="19" t="s">
        <v>752</v>
      </c>
      <c r="G69" s="19" t="s">
        <v>708</v>
      </c>
      <c r="H69" s="32" t="s">
        <v>751</v>
      </c>
      <c r="I69" s="19" t="n">
        <v>250</v>
      </c>
      <c r="J69" s="19"/>
      <c r="K69" s="19" t="s">
        <v>85</v>
      </c>
      <c r="L69" s="73" t="n">
        <v>2</v>
      </c>
      <c r="M69" s="37" t="str">
        <f aca="false">IF($G69&lt;&gt;"PIPE","",IFERROR(1/(1/INDEX(배관단중표!$B$7:$W$41,MATCH($I69,배관단중표!$A$7:$A$41,0),MATCH(IF($J69="SPP","SPP",IF(LEFT($F69,3)="STS",IF(ISNUMBER(SEARCH("316",$F69)),"STS316","STS304"),"SPPS")&amp;"|"&amp;$J69),배관단중표!$B$6:$W$6,0))),"DB확인"))</f>
        <v/>
      </c>
      <c r="N69" s="74"/>
      <c r="O69" s="56"/>
      <c r="P69" s="54" t="n">
        <f aca="false">IF($G69="","",IFERROR(IF(O69&lt;&gt;"",O69,L69*IF(G69="PIPE",M69,N69)),0))</f>
        <v>0</v>
      </c>
      <c r="Q69" s="6" t="str">
        <f aca="false">IF($G69="","",IF(G69="PIPE","P","F"))</f>
        <v>F</v>
      </c>
      <c r="R69" s="35" t="str">
        <f aca="false">IF($G69&lt;&gt;"PIPE","",IFERROR(IF(O69&lt;&gt;"",O69/M69,IF(K69="M",L69,"")),""))</f>
        <v/>
      </c>
      <c r="S69" s="6" t="str">
        <f aca="false">IF($G69&lt;&gt;"PIPE","",IF(AND($AA69="○",OR($W69&lt;&gt;"○",배관기준!$AG$17="N"),$C69&lt;&gt;"매설",LEFT($F69,3)&lt;&gt;"STS",LEFT($F69,3)&lt;&gt;"SUS"),"Y","N"))</f>
        <v/>
      </c>
      <c r="T69" s="16"/>
      <c r="U69" s="19" t="s">
        <v>705</v>
      </c>
      <c r="V69" s="19"/>
      <c r="W69" s="6" t="str">
        <f aca="false">IF($G69="","",IFERROR(INDEX(배관집계!$AC$7:$AC$32,MATCH($AC69,배관집계!$AJ$7:$AJ$32,0))&amp;"",""))</f>
        <v>○</v>
      </c>
      <c r="X69" s="6" t="str">
        <f aca="false">IF($G69="","",IFERROR(INDEX(배관집계!$AD$7:$AD$32,MATCH($AC69,배관집계!$AJ$7:$AJ$32,0))&amp;"",""))</f>
        <v>○</v>
      </c>
      <c r="Y69" s="6" t="str">
        <f aca="false">IF($G69="","",IFERROR(INDEX(배관집계!$AE$7:$AE$32,MATCH($AC69,배관집계!$AJ$7:$AJ$32,0))&amp;"",""))</f>
        <v>×</v>
      </c>
      <c r="Z69" s="6" t="str">
        <f aca="false">IF($G69="","",IFERROR(INDEX(배관집계!$AF$7:$AF$32,MATCH($AC69,배관집계!$AJ$7:$AJ$32,0))&amp;"",""))</f>
        <v>○</v>
      </c>
      <c r="AA69" s="6" t="str">
        <f aca="false">IF($G69="","",IFERROR(INDEX(배관집계!$AG$7:$AG$32,MATCH($AC69,배관집계!$AJ$7:$AJ$32,0))&amp;"",""))</f>
        <v>×</v>
      </c>
      <c r="AB69" s="6" t="str">
        <f aca="false">IF($G69="","",IFERROR(INDEX(배관집계!$AH$7:$AH$32,MATCH($AC69,배관집계!$AJ$7:$AJ$32,0))&amp;"",""))</f>
        <v>C/C</v>
      </c>
      <c r="AC69" s="75" t="str">
        <f aca="false">IF($G69="","",$B69&amp;"|"&amp;$C69&amp;"|"&amp;$E69&amp;"|"&amp;$U69&amp;"|"&amp;$I69)</f>
        <v>설치|옥외|5kg/cm2이상|STPG370S|250</v>
      </c>
      <c r="AD69" s="76" t="str">
        <f aca="false">IF($G69="","",IF($B69&lt;&gt;"설치","",IF($G69="PIPE","PIPE",IF($G69="VALVE",IF(ISNUMBER(SEARCH("GLOBE",$H69)),"GLOBE",IF(ISNUMBER(SEARCH("GATE",$H69)),"GATE",IF(ISNUMBER(SEARCH("BUTTER",$H69)),"BFLY","VALVE기타"))),IF($G69="FITTING",IF(LEFT($H69,5)="ELBOW",IF($AE69=90,"90EL",IF($AE69=45,"45EL","비규격EL")),IF(LEFT($H69,6)="FLANGE","FLANGE",IF(ISNUMBER(SEARCH("TEE",$H69)),"TEE",""))),"")))))</f>
        <v/>
      </c>
      <c r="AE69" s="76" t="str">
        <f aca="false">IF(AND($G69="FITTING",LEFT($H69,5)="ELBOW"),IFERROR(VALUE(LEFT(MID($H69,7,12),MIN(IFERROR(FIND("L",MID($H69,7,12)),99),IFERROR(FIND("S",MID($H69,7,12)),99),IFERROR(FIND(" ",MID($H69,7,12)),99))-1)),""),"")</f>
        <v/>
      </c>
      <c r="AF69" s="77" t="n">
        <f aca="false">IF($AD69="비규격EL",N($L69)*RADIANS(N($AE69))*보온기준!$F$15*N($I69)*보온기준!$F$16/1000,0)</f>
        <v>0</v>
      </c>
      <c r="AG69" s="76" t="str">
        <f aca="false">IF($G69="","",IF(OR($AA69&lt;&gt;"○",LEFT($F69,3)="STS",LEFT($F69,3)="SUS",$C69="매설"),"Y","N"))</f>
        <v>Y</v>
      </c>
    </row>
    <row r="70" customFormat="false" ht="23.25" hidden="false" customHeight="true" outlineLevel="0" collapsed="false">
      <c r="A70" s="6" t="n">
        <v>64</v>
      </c>
      <c r="B70" s="20" t="s">
        <v>142</v>
      </c>
      <c r="C70" s="20" t="s">
        <v>702</v>
      </c>
      <c r="D70" s="19" t="s">
        <v>703</v>
      </c>
      <c r="E70" s="19" t="s">
        <v>704</v>
      </c>
      <c r="F70" s="19" t="s">
        <v>752</v>
      </c>
      <c r="G70" s="19" t="s">
        <v>708</v>
      </c>
      <c r="H70" s="32" t="s">
        <v>751</v>
      </c>
      <c r="I70" s="19" t="n">
        <v>300</v>
      </c>
      <c r="J70" s="19"/>
      <c r="K70" s="19" t="s">
        <v>85</v>
      </c>
      <c r="L70" s="73" t="n">
        <v>1</v>
      </c>
      <c r="M70" s="37" t="str">
        <f aca="false">IF($G70&lt;&gt;"PIPE","",IFERROR(1/(1/INDEX(배관단중표!$B$7:$W$41,MATCH($I70,배관단중표!$A$7:$A$41,0),MATCH(IF($J70="SPP","SPP",IF(LEFT($F70,3)="STS",IF(ISNUMBER(SEARCH("316",$F70)),"STS316","STS304"),"SPPS")&amp;"|"&amp;$J70),배관단중표!$B$6:$W$6,0))),"DB확인"))</f>
        <v/>
      </c>
      <c r="N70" s="74"/>
      <c r="O70" s="56"/>
      <c r="P70" s="54" t="n">
        <f aca="false">IF($G70="","",IFERROR(IF(O70&lt;&gt;"",O70,L70*IF(G70="PIPE",M70,N70)),0))</f>
        <v>0</v>
      </c>
      <c r="Q70" s="6" t="str">
        <f aca="false">IF($G70="","",IF(G70="PIPE","P","F"))</f>
        <v>F</v>
      </c>
      <c r="R70" s="35" t="str">
        <f aca="false">IF($G70&lt;&gt;"PIPE","",IFERROR(IF(O70&lt;&gt;"",O70/M70,IF(K70="M",L70,"")),""))</f>
        <v/>
      </c>
      <c r="S70" s="6" t="str">
        <f aca="false">IF($G70&lt;&gt;"PIPE","",IF(AND($AA70="○",OR($W70&lt;&gt;"○",배관기준!$AG$17="N"),$C70&lt;&gt;"매설",LEFT($F70,3)&lt;&gt;"STS",LEFT($F70,3)&lt;&gt;"SUS"),"Y","N"))</f>
        <v/>
      </c>
      <c r="T70" s="16"/>
      <c r="U70" s="19" t="s">
        <v>705</v>
      </c>
      <c r="V70" s="19"/>
      <c r="W70" s="6" t="str">
        <f aca="false">IF($G70="","",IFERROR(INDEX(배관집계!$AC$7:$AC$32,MATCH($AC70,배관집계!$AJ$7:$AJ$32,0))&amp;"",""))</f>
        <v>×</v>
      </c>
      <c r="X70" s="6" t="str">
        <f aca="false">IF($G70="","",IFERROR(INDEX(배관집계!$AD$7:$AD$32,MATCH($AC70,배관집계!$AJ$7:$AJ$32,0))&amp;"",""))</f>
        <v>○</v>
      </c>
      <c r="Y70" s="6" t="str">
        <f aca="false">IF($G70="","",IFERROR(INDEX(배관집계!$AE$7:$AE$32,MATCH($AC70,배관집계!$AJ$7:$AJ$32,0))&amp;"",""))</f>
        <v>×</v>
      </c>
      <c r="Z70" s="6" t="str">
        <f aca="false">IF($G70="","",IFERROR(INDEX(배관집계!$AF$7:$AF$32,MATCH($AC70,배관집계!$AJ$7:$AJ$32,0))&amp;"",""))</f>
        <v>○</v>
      </c>
      <c r="AA70" s="6" t="str">
        <f aca="false">IF($G70="","",IFERROR(INDEX(배관집계!$AG$7:$AG$32,MATCH($AC70,배관집계!$AJ$7:$AJ$32,0))&amp;"",""))</f>
        <v>○</v>
      </c>
      <c r="AB70" s="6" t="str">
        <f aca="false">IF($G70="","",IFERROR(INDEX(배관집계!$AH$7:$AH$32,MATCH($AC70,배관집계!$AJ$7:$AJ$32,0))&amp;"",""))</f>
        <v>C/C</v>
      </c>
      <c r="AC70" s="75" t="str">
        <f aca="false">IF($G70="","",$B70&amp;"|"&amp;$C70&amp;"|"&amp;$E70&amp;"|"&amp;$U70&amp;"|"&amp;$I70)</f>
        <v>설치|옥외|5kg/cm2이상|STPG370S|300</v>
      </c>
      <c r="AD70" s="76" t="str">
        <f aca="false">IF($G70="","",IF($B70&lt;&gt;"설치","",IF($G70="PIPE","PIPE",IF($G70="VALVE",IF(ISNUMBER(SEARCH("GLOBE",$H70)),"GLOBE",IF(ISNUMBER(SEARCH("GATE",$H70)),"GATE",IF(ISNUMBER(SEARCH("BUTTER",$H70)),"BFLY","VALVE기타"))),IF($G70="FITTING",IF(LEFT($H70,5)="ELBOW",IF($AE70=90,"90EL",IF($AE70=45,"45EL","비규격EL")),IF(LEFT($H70,6)="FLANGE","FLANGE",IF(ISNUMBER(SEARCH("TEE",$H70)),"TEE",""))),"")))))</f>
        <v/>
      </c>
      <c r="AE70" s="76" t="str">
        <f aca="false">IF(AND($G70="FITTING",LEFT($H70,5)="ELBOW"),IFERROR(VALUE(LEFT(MID($H70,7,12),MIN(IFERROR(FIND("L",MID($H70,7,12)),99),IFERROR(FIND("S",MID($H70,7,12)),99),IFERROR(FIND(" ",MID($H70,7,12)),99))-1)),""),"")</f>
        <v/>
      </c>
      <c r="AF70" s="77" t="n">
        <f aca="false">IF($AD70="비규격EL",N($L70)*RADIANS(N($AE70))*보온기준!$F$15*N($I70)*보온기준!$F$16/1000,0)</f>
        <v>0</v>
      </c>
      <c r="AG70" s="76" t="str">
        <f aca="false">IF($G70="","",IF(OR($AA70&lt;&gt;"○",LEFT($F70,3)="STS",LEFT($F70,3)="SUS",$C70="매설"),"Y","N"))</f>
        <v>Y</v>
      </c>
    </row>
    <row r="71" customFormat="false" ht="15" hidden="false" customHeight="true" outlineLevel="0" collapsed="false">
      <c r="A71" s="6" t="n">
        <v>65</v>
      </c>
      <c r="B71" s="20" t="s">
        <v>142</v>
      </c>
      <c r="C71" s="20" t="s">
        <v>702</v>
      </c>
      <c r="D71" s="19" t="s">
        <v>703</v>
      </c>
      <c r="E71" s="19" t="s">
        <v>704</v>
      </c>
      <c r="F71" s="19" t="s">
        <v>720</v>
      </c>
      <c r="G71" s="19" t="s">
        <v>753</v>
      </c>
      <c r="H71" s="32" t="s">
        <v>754</v>
      </c>
      <c r="I71" s="19"/>
      <c r="J71" s="19"/>
      <c r="K71" s="19" t="s">
        <v>89</v>
      </c>
      <c r="L71" s="73" t="n">
        <v>24</v>
      </c>
      <c r="M71" s="37" t="str">
        <f aca="false">IF($G71&lt;&gt;"PIPE","",IFERROR(1/(1/INDEX(배관단중표!$B$7:$W$41,MATCH($I71,배관단중표!$A$7:$A$41,0),MATCH(IF($J71="SPP","SPP",IF(LEFT($F71,3)="STS",IF(ISNUMBER(SEARCH("316",$F71)),"STS316","STS304"),"SPPS")&amp;"|"&amp;$J71),배관단중표!$B$6:$W$6,0))),"DB확인"))</f>
        <v/>
      </c>
      <c r="N71" s="74" t="n">
        <v>0.1</v>
      </c>
      <c r="O71" s="56"/>
      <c r="P71" s="54" t="n">
        <f aca="false">IF($G71="","",IFERROR(IF(O71&lt;&gt;"",O71,L71*IF(G71="PIPE",M71,N71)),0))</f>
        <v>2.4</v>
      </c>
      <c r="Q71" s="6" t="str">
        <f aca="false">IF($G71="","",IF(G71="PIPE","P","F"))</f>
        <v>F</v>
      </c>
      <c r="R71" s="35" t="str">
        <f aca="false">IF($G71&lt;&gt;"PIPE","",IFERROR(IF(O71&lt;&gt;"",O71/M71,IF(K71="M",L71,"")),""))</f>
        <v/>
      </c>
      <c r="S71" s="6" t="str">
        <f aca="false">IF($G71&lt;&gt;"PIPE","",IF(AND($AA71="○",OR($W71&lt;&gt;"○",배관기준!$AG$17="N"),$C71&lt;&gt;"매설",LEFT($F71,3)&lt;&gt;"STS",LEFT($F71,3)&lt;&gt;"SUS"),"Y","N"))</f>
        <v/>
      </c>
      <c r="T71" s="16"/>
      <c r="U71" s="19" t="s">
        <v>705</v>
      </c>
      <c r="V71" s="20" t="s">
        <v>272</v>
      </c>
      <c r="W71" s="6" t="str">
        <f aca="false">IF($G71="","",IFERROR(INDEX(배관집계!$AC$7:$AC$32,MATCH($AC71,배관집계!$AJ$7:$AJ$32,0))&amp;"",""))</f>
        <v/>
      </c>
      <c r="X71" s="6" t="str">
        <f aca="false">IF($G71="","",IFERROR(INDEX(배관집계!$AD$7:$AD$32,MATCH($AC71,배관집계!$AJ$7:$AJ$32,0))&amp;"",""))</f>
        <v/>
      </c>
      <c r="Y71" s="6" t="str">
        <f aca="false">IF($G71="","",IFERROR(INDEX(배관집계!$AE$7:$AE$32,MATCH($AC71,배관집계!$AJ$7:$AJ$32,0))&amp;"",""))</f>
        <v/>
      </c>
      <c r="Z71" s="6" t="str">
        <f aca="false">IF($G71="","",IFERROR(INDEX(배관집계!$AF$7:$AF$32,MATCH($AC71,배관집계!$AJ$7:$AJ$32,0))&amp;"",""))</f>
        <v/>
      </c>
      <c r="AA71" s="6" t="str">
        <f aca="false">IF($G71="","",IFERROR(INDEX(배관집계!$AG$7:$AG$32,MATCH($AC71,배관집계!$AJ$7:$AJ$32,0))&amp;"",""))</f>
        <v/>
      </c>
      <c r="AB71" s="6" t="str">
        <f aca="false">IF($G71="","",IFERROR(INDEX(배관집계!$AH$7:$AH$32,MATCH($AC71,배관집계!$AJ$7:$AJ$32,0))&amp;"",""))</f>
        <v/>
      </c>
      <c r="AC71" s="75" t="str">
        <f aca="false">IF($G71="","",$B71&amp;"|"&amp;$C71&amp;"|"&amp;$E71&amp;"|"&amp;$U71&amp;"|"&amp;$I71)</f>
        <v>설치|옥외|5kg/cm2이상|STPG370S|</v>
      </c>
      <c r="AD71" s="76" t="str">
        <f aca="false">IF($G71="","",IF($B71&lt;&gt;"설치","",IF($G71="PIPE","PIPE",IF($G71="VALVE",IF(ISNUMBER(SEARCH("GLOBE",$H71)),"GLOBE",IF(ISNUMBER(SEARCH("GATE",$H71)),"GATE",IF(ISNUMBER(SEARCH("BUTTER",$H71)),"BFLY","VALVE기타"))),IF($G71="FITTING",IF(LEFT($H71,5)="ELBOW",IF($AE71=90,"90EL",IF($AE71=45,"45EL","비규격EL")),IF(LEFT($H71,6)="FLANGE","FLANGE",IF(ISNUMBER(SEARCH("TEE",$H71)),"TEE",""))),"")))))</f>
        <v/>
      </c>
      <c r="AE71" s="76" t="str">
        <f aca="false">IF(AND($G71="FITTING",LEFT($H71,5)="ELBOW"),IFERROR(VALUE(LEFT(MID($H71,7,12),MIN(IFERROR(FIND("L",MID($H71,7,12)),99),IFERROR(FIND("S",MID($H71,7,12)),99),IFERROR(FIND(" ",MID($H71,7,12)),99))-1)),""),"")</f>
        <v/>
      </c>
      <c r="AF71" s="77" t="n">
        <f aca="false">IF($AD71="비규격EL",N($L71)*RADIANS(N($AE71))*보온기준!$F$15*N($I71)*보온기준!$F$16/1000,0)</f>
        <v>0</v>
      </c>
      <c r="AG71" s="76" t="str">
        <f aca="false">IF($G71="","",IF(OR($AA71&lt;&gt;"○",LEFT($F71,3)="STS",LEFT($F71,3)="SUS",$C71="매설"),"Y","N"))</f>
        <v>Y</v>
      </c>
    </row>
    <row r="72" customFormat="false" ht="15" hidden="false" customHeight="true" outlineLevel="0" collapsed="false">
      <c r="A72" s="6" t="n">
        <v>66</v>
      </c>
      <c r="B72" s="20" t="s">
        <v>142</v>
      </c>
      <c r="C72" s="20" t="s">
        <v>702</v>
      </c>
      <c r="D72" s="19" t="s">
        <v>703</v>
      </c>
      <c r="E72" s="19" t="s">
        <v>704</v>
      </c>
      <c r="F72" s="19" t="s">
        <v>720</v>
      </c>
      <c r="G72" s="19" t="s">
        <v>753</v>
      </c>
      <c r="H72" s="32" t="s">
        <v>755</v>
      </c>
      <c r="I72" s="19"/>
      <c r="J72" s="19"/>
      <c r="K72" s="19" t="s">
        <v>89</v>
      </c>
      <c r="L72" s="73" t="n">
        <v>24</v>
      </c>
      <c r="M72" s="37" t="str">
        <f aca="false">IF($G72&lt;&gt;"PIPE","",IFERROR(1/(1/INDEX(배관단중표!$B$7:$W$41,MATCH($I72,배관단중표!$A$7:$A$41,0),MATCH(IF($J72="SPP","SPP",IF(LEFT($F72,3)="STS",IF(ISNUMBER(SEARCH("316",$F72)),"STS316","STS304"),"SPPS")&amp;"|"&amp;$J72),배관단중표!$B$6:$W$6,0))),"DB확인"))</f>
        <v/>
      </c>
      <c r="N72" s="74" t="n">
        <v>0.2</v>
      </c>
      <c r="O72" s="56"/>
      <c r="P72" s="54" t="n">
        <f aca="false">IF($G72="","",IFERROR(IF(O72&lt;&gt;"",O72,L72*IF(G72="PIPE",M72,N72)),0))</f>
        <v>4.8</v>
      </c>
      <c r="Q72" s="6" t="str">
        <f aca="false">IF($G72="","",IF(G72="PIPE","P","F"))</f>
        <v>F</v>
      </c>
      <c r="R72" s="35" t="str">
        <f aca="false">IF($G72&lt;&gt;"PIPE","",IFERROR(IF(O72&lt;&gt;"",O72/M72,IF(K72="M",L72,"")),""))</f>
        <v/>
      </c>
      <c r="S72" s="6" t="str">
        <f aca="false">IF($G72&lt;&gt;"PIPE","",IF(AND($AA72="○",OR($W72&lt;&gt;"○",배관기준!$AG$17="N"),$C72&lt;&gt;"매설",LEFT($F72,3)&lt;&gt;"STS",LEFT($F72,3)&lt;&gt;"SUS"),"Y","N"))</f>
        <v/>
      </c>
      <c r="T72" s="16"/>
      <c r="U72" s="19" t="s">
        <v>705</v>
      </c>
      <c r="V72" s="20" t="s">
        <v>272</v>
      </c>
      <c r="W72" s="6" t="str">
        <f aca="false">IF($G72="","",IFERROR(INDEX(배관집계!$AC$7:$AC$32,MATCH($AC72,배관집계!$AJ$7:$AJ$32,0))&amp;"",""))</f>
        <v/>
      </c>
      <c r="X72" s="6" t="str">
        <f aca="false">IF($G72="","",IFERROR(INDEX(배관집계!$AD$7:$AD$32,MATCH($AC72,배관집계!$AJ$7:$AJ$32,0))&amp;"",""))</f>
        <v/>
      </c>
      <c r="Y72" s="6" t="str">
        <f aca="false">IF($G72="","",IFERROR(INDEX(배관집계!$AE$7:$AE$32,MATCH($AC72,배관집계!$AJ$7:$AJ$32,0))&amp;"",""))</f>
        <v/>
      </c>
      <c r="Z72" s="6" t="str">
        <f aca="false">IF($G72="","",IFERROR(INDEX(배관집계!$AF$7:$AF$32,MATCH($AC72,배관집계!$AJ$7:$AJ$32,0))&amp;"",""))</f>
        <v/>
      </c>
      <c r="AA72" s="6" t="str">
        <f aca="false">IF($G72="","",IFERROR(INDEX(배관집계!$AG$7:$AG$32,MATCH($AC72,배관집계!$AJ$7:$AJ$32,0))&amp;"",""))</f>
        <v/>
      </c>
      <c r="AB72" s="6" t="str">
        <f aca="false">IF($G72="","",IFERROR(INDEX(배관집계!$AH$7:$AH$32,MATCH($AC72,배관집계!$AJ$7:$AJ$32,0))&amp;"",""))</f>
        <v/>
      </c>
      <c r="AC72" s="75" t="str">
        <f aca="false">IF($G72="","",$B72&amp;"|"&amp;$C72&amp;"|"&amp;$E72&amp;"|"&amp;$U72&amp;"|"&amp;$I72)</f>
        <v>설치|옥외|5kg/cm2이상|STPG370S|</v>
      </c>
      <c r="AD72" s="76" t="str">
        <f aca="false">IF($G72="","",IF($B72&lt;&gt;"설치","",IF($G72="PIPE","PIPE",IF($G72="VALVE",IF(ISNUMBER(SEARCH("GLOBE",$H72)),"GLOBE",IF(ISNUMBER(SEARCH("GATE",$H72)),"GATE",IF(ISNUMBER(SEARCH("BUTTER",$H72)),"BFLY","VALVE기타"))),IF($G72="FITTING",IF(LEFT($H72,5)="ELBOW",IF($AE72=90,"90EL",IF($AE72=45,"45EL","비규격EL")),IF(LEFT($H72,6)="FLANGE","FLANGE",IF(ISNUMBER(SEARCH("TEE",$H72)),"TEE",""))),"")))))</f>
        <v/>
      </c>
      <c r="AE72" s="76" t="str">
        <f aca="false">IF(AND($G72="FITTING",LEFT($H72,5)="ELBOW"),IFERROR(VALUE(LEFT(MID($H72,7,12),MIN(IFERROR(FIND("L",MID($H72,7,12)),99),IFERROR(FIND("S",MID($H72,7,12)),99),IFERROR(FIND(" ",MID($H72,7,12)),99))-1)),""),"")</f>
        <v/>
      </c>
      <c r="AF72" s="77" t="n">
        <f aca="false">IF($AD72="비규격EL",N($L72)*RADIANS(N($AE72))*보온기준!$F$15*N($I72)*보온기준!$F$16/1000,0)</f>
        <v>0</v>
      </c>
      <c r="AG72" s="76" t="str">
        <f aca="false">IF($G72="","",IF(OR($AA72&lt;&gt;"○",LEFT($F72,3)="STS",LEFT($F72,3)="SUS",$C72="매설"),"Y","N"))</f>
        <v>Y</v>
      </c>
    </row>
    <row r="73" customFormat="false" ht="15" hidden="false" customHeight="true" outlineLevel="0" collapsed="false">
      <c r="A73" s="6" t="n">
        <v>67</v>
      </c>
      <c r="B73" s="20" t="s">
        <v>142</v>
      </c>
      <c r="C73" s="20" t="s">
        <v>702</v>
      </c>
      <c r="D73" s="19" t="s">
        <v>703</v>
      </c>
      <c r="E73" s="19" t="s">
        <v>704</v>
      </c>
      <c r="F73" s="19" t="s">
        <v>720</v>
      </c>
      <c r="G73" s="19" t="s">
        <v>753</v>
      </c>
      <c r="H73" s="32" t="s">
        <v>756</v>
      </c>
      <c r="I73" s="19"/>
      <c r="J73" s="19"/>
      <c r="K73" s="19" t="s">
        <v>89</v>
      </c>
      <c r="L73" s="73" t="n">
        <v>8</v>
      </c>
      <c r="M73" s="37" t="str">
        <f aca="false">IF($G73&lt;&gt;"PIPE","",IFERROR(1/(1/INDEX(배관단중표!$B$7:$W$41,MATCH($I73,배관단중표!$A$7:$A$41,0),MATCH(IF($J73="SPP","SPP",IF(LEFT($F73,3)="STS",IF(ISNUMBER(SEARCH("316",$F73)),"STS316","STS304"),"SPPS")&amp;"|"&amp;$J73),배관단중표!$B$6:$W$6,0))),"DB확인"))</f>
        <v/>
      </c>
      <c r="N73" s="74" t="n">
        <v>0.2</v>
      </c>
      <c r="O73" s="56"/>
      <c r="P73" s="54" t="n">
        <f aca="false">IF($G73="","",IFERROR(IF(O73&lt;&gt;"",O73,L73*IF(G73="PIPE",M73,N73)),0))</f>
        <v>1.6</v>
      </c>
      <c r="Q73" s="6" t="str">
        <f aca="false">IF($G73="","",IF(G73="PIPE","P","F"))</f>
        <v>F</v>
      </c>
      <c r="R73" s="35" t="str">
        <f aca="false">IF($G73&lt;&gt;"PIPE","",IFERROR(IF(O73&lt;&gt;"",O73/M73,IF(K73="M",L73,"")),""))</f>
        <v/>
      </c>
      <c r="S73" s="6" t="str">
        <f aca="false">IF($G73&lt;&gt;"PIPE","",IF(AND($AA73="○",OR($W73&lt;&gt;"○",배관기준!$AG$17="N"),$C73&lt;&gt;"매설",LEFT($F73,3)&lt;&gt;"STS",LEFT($F73,3)&lt;&gt;"SUS"),"Y","N"))</f>
        <v/>
      </c>
      <c r="T73" s="16"/>
      <c r="U73" s="19" t="s">
        <v>705</v>
      </c>
      <c r="V73" s="20" t="s">
        <v>272</v>
      </c>
      <c r="W73" s="6" t="str">
        <f aca="false">IF($G73="","",IFERROR(INDEX(배관집계!$AC$7:$AC$32,MATCH($AC73,배관집계!$AJ$7:$AJ$32,0))&amp;"",""))</f>
        <v/>
      </c>
      <c r="X73" s="6" t="str">
        <f aca="false">IF($G73="","",IFERROR(INDEX(배관집계!$AD$7:$AD$32,MATCH($AC73,배관집계!$AJ$7:$AJ$32,0))&amp;"",""))</f>
        <v/>
      </c>
      <c r="Y73" s="6" t="str">
        <f aca="false">IF($G73="","",IFERROR(INDEX(배관집계!$AE$7:$AE$32,MATCH($AC73,배관집계!$AJ$7:$AJ$32,0))&amp;"",""))</f>
        <v/>
      </c>
      <c r="Z73" s="6" t="str">
        <f aca="false">IF($G73="","",IFERROR(INDEX(배관집계!$AF$7:$AF$32,MATCH($AC73,배관집계!$AJ$7:$AJ$32,0))&amp;"",""))</f>
        <v/>
      </c>
      <c r="AA73" s="6" t="str">
        <f aca="false">IF($G73="","",IFERROR(INDEX(배관집계!$AG$7:$AG$32,MATCH($AC73,배관집계!$AJ$7:$AJ$32,0))&amp;"",""))</f>
        <v/>
      </c>
      <c r="AB73" s="6" t="str">
        <f aca="false">IF($G73="","",IFERROR(INDEX(배관집계!$AH$7:$AH$32,MATCH($AC73,배관집계!$AJ$7:$AJ$32,0))&amp;"",""))</f>
        <v/>
      </c>
      <c r="AC73" s="75" t="str">
        <f aca="false">IF($G73="","",$B73&amp;"|"&amp;$C73&amp;"|"&amp;$E73&amp;"|"&amp;$U73&amp;"|"&amp;$I73)</f>
        <v>설치|옥외|5kg/cm2이상|STPG370S|</v>
      </c>
      <c r="AD73" s="76" t="str">
        <f aca="false">IF($G73="","",IF($B73&lt;&gt;"설치","",IF($G73="PIPE","PIPE",IF($G73="VALVE",IF(ISNUMBER(SEARCH("GLOBE",$H73)),"GLOBE",IF(ISNUMBER(SEARCH("GATE",$H73)),"GATE",IF(ISNUMBER(SEARCH("BUTTER",$H73)),"BFLY","VALVE기타"))),IF($G73="FITTING",IF(LEFT($H73,5)="ELBOW",IF($AE73=90,"90EL",IF($AE73=45,"45EL","비규격EL")),IF(LEFT($H73,6)="FLANGE","FLANGE",IF(ISNUMBER(SEARCH("TEE",$H73)),"TEE",""))),"")))))</f>
        <v/>
      </c>
      <c r="AE73" s="76" t="str">
        <f aca="false">IF(AND($G73="FITTING",LEFT($H73,5)="ELBOW"),IFERROR(VALUE(LEFT(MID($H73,7,12),MIN(IFERROR(FIND("L",MID($H73,7,12)),99),IFERROR(FIND("S",MID($H73,7,12)),99),IFERROR(FIND(" ",MID($H73,7,12)),99))-1)),""),"")</f>
        <v/>
      </c>
      <c r="AF73" s="77" t="n">
        <f aca="false">IF($AD73="비규격EL",N($L73)*RADIANS(N($AE73))*보온기준!$F$15*N($I73)*보온기준!$F$16/1000,0)</f>
        <v>0</v>
      </c>
      <c r="AG73" s="76" t="str">
        <f aca="false">IF($G73="","",IF(OR($AA73&lt;&gt;"○",LEFT($F73,3)="STS",LEFT($F73,3)="SUS",$C73="매설"),"Y","N"))</f>
        <v>Y</v>
      </c>
    </row>
    <row r="74" customFormat="false" ht="15" hidden="false" customHeight="true" outlineLevel="0" collapsed="false">
      <c r="A74" s="6" t="n">
        <v>68</v>
      </c>
      <c r="B74" s="20" t="s">
        <v>142</v>
      </c>
      <c r="C74" s="20" t="s">
        <v>702</v>
      </c>
      <c r="D74" s="19" t="s">
        <v>703</v>
      </c>
      <c r="E74" s="19" t="s">
        <v>704</v>
      </c>
      <c r="F74" s="19" t="s">
        <v>720</v>
      </c>
      <c r="G74" s="19" t="s">
        <v>753</v>
      </c>
      <c r="H74" s="32" t="s">
        <v>757</v>
      </c>
      <c r="I74" s="19"/>
      <c r="J74" s="19"/>
      <c r="K74" s="19" t="s">
        <v>89</v>
      </c>
      <c r="L74" s="73" t="n">
        <v>80</v>
      </c>
      <c r="M74" s="37" t="str">
        <f aca="false">IF($G74&lt;&gt;"PIPE","",IFERROR(1/(1/INDEX(배관단중표!$B$7:$W$41,MATCH($I74,배관단중표!$A$7:$A$41,0),MATCH(IF($J74="SPP","SPP",IF(LEFT($F74,3)="STS",IF(ISNUMBER(SEARCH("316",$F74)),"STS316","STS304"),"SPPS")&amp;"|"&amp;$J74),배관단중표!$B$6:$W$6,0))),"DB확인"))</f>
        <v/>
      </c>
      <c r="N74" s="74" t="n">
        <v>0.3</v>
      </c>
      <c r="O74" s="56"/>
      <c r="P74" s="54" t="n">
        <f aca="false">IF($G74="","",IFERROR(IF(O74&lt;&gt;"",O74,L74*IF(G74="PIPE",M74,N74)),0))</f>
        <v>24</v>
      </c>
      <c r="Q74" s="6" t="str">
        <f aca="false">IF($G74="","",IF(G74="PIPE","P","F"))</f>
        <v>F</v>
      </c>
      <c r="R74" s="35" t="str">
        <f aca="false">IF($G74&lt;&gt;"PIPE","",IFERROR(IF(O74&lt;&gt;"",O74/M74,IF(K74="M",L74,"")),""))</f>
        <v/>
      </c>
      <c r="S74" s="6" t="str">
        <f aca="false">IF($G74&lt;&gt;"PIPE","",IF(AND($AA74="○",OR($W74&lt;&gt;"○",배관기준!$AG$17="N"),$C74&lt;&gt;"매설",LEFT($F74,3)&lt;&gt;"STS",LEFT($F74,3)&lt;&gt;"SUS"),"Y","N"))</f>
        <v/>
      </c>
      <c r="T74" s="16"/>
      <c r="U74" s="19" t="s">
        <v>705</v>
      </c>
      <c r="V74" s="20" t="s">
        <v>272</v>
      </c>
      <c r="W74" s="6" t="str">
        <f aca="false">IF($G74="","",IFERROR(INDEX(배관집계!$AC$7:$AC$32,MATCH($AC74,배관집계!$AJ$7:$AJ$32,0))&amp;"",""))</f>
        <v/>
      </c>
      <c r="X74" s="6" t="str">
        <f aca="false">IF($G74="","",IFERROR(INDEX(배관집계!$AD$7:$AD$32,MATCH($AC74,배관집계!$AJ$7:$AJ$32,0))&amp;"",""))</f>
        <v/>
      </c>
      <c r="Y74" s="6" t="str">
        <f aca="false">IF($G74="","",IFERROR(INDEX(배관집계!$AE$7:$AE$32,MATCH($AC74,배관집계!$AJ$7:$AJ$32,0))&amp;"",""))</f>
        <v/>
      </c>
      <c r="Z74" s="6" t="str">
        <f aca="false">IF($G74="","",IFERROR(INDEX(배관집계!$AF$7:$AF$32,MATCH($AC74,배관집계!$AJ$7:$AJ$32,0))&amp;"",""))</f>
        <v/>
      </c>
      <c r="AA74" s="6" t="str">
        <f aca="false">IF($G74="","",IFERROR(INDEX(배관집계!$AG$7:$AG$32,MATCH($AC74,배관집계!$AJ$7:$AJ$32,0))&amp;"",""))</f>
        <v/>
      </c>
      <c r="AB74" s="6" t="str">
        <f aca="false">IF($G74="","",IFERROR(INDEX(배관집계!$AH$7:$AH$32,MATCH($AC74,배관집계!$AJ$7:$AJ$32,0))&amp;"",""))</f>
        <v/>
      </c>
      <c r="AC74" s="75" t="str">
        <f aca="false">IF($G74="","",$B74&amp;"|"&amp;$C74&amp;"|"&amp;$E74&amp;"|"&amp;$U74&amp;"|"&amp;$I74)</f>
        <v>설치|옥외|5kg/cm2이상|STPG370S|</v>
      </c>
      <c r="AD74" s="76" t="str">
        <f aca="false">IF($G74="","",IF($B74&lt;&gt;"설치","",IF($G74="PIPE","PIPE",IF($G74="VALVE",IF(ISNUMBER(SEARCH("GLOBE",$H74)),"GLOBE",IF(ISNUMBER(SEARCH("GATE",$H74)),"GATE",IF(ISNUMBER(SEARCH("BUTTER",$H74)),"BFLY","VALVE기타"))),IF($G74="FITTING",IF(LEFT($H74,5)="ELBOW",IF($AE74=90,"90EL",IF($AE74=45,"45EL","비규격EL")),IF(LEFT($H74,6)="FLANGE","FLANGE",IF(ISNUMBER(SEARCH("TEE",$H74)),"TEE",""))),"")))))</f>
        <v/>
      </c>
      <c r="AE74" s="76" t="str">
        <f aca="false">IF(AND($G74="FITTING",LEFT($H74,5)="ELBOW"),IFERROR(VALUE(LEFT(MID($H74,7,12),MIN(IFERROR(FIND("L",MID($H74,7,12)),99),IFERROR(FIND("S",MID($H74,7,12)),99),IFERROR(FIND(" ",MID($H74,7,12)),99))-1)),""),"")</f>
        <v/>
      </c>
      <c r="AF74" s="77" t="n">
        <f aca="false">IF($AD74="비규격EL",N($L74)*RADIANS(N($AE74))*보온기준!$F$15*N($I74)*보온기준!$F$16/1000,0)</f>
        <v>0</v>
      </c>
      <c r="AG74" s="76" t="str">
        <f aca="false">IF($G74="","",IF(OR($AA74&lt;&gt;"○",LEFT($F74,3)="STS",LEFT($F74,3)="SUS",$C74="매설"),"Y","N"))</f>
        <v>Y</v>
      </c>
    </row>
    <row r="75" customFormat="false" ht="15" hidden="false" customHeight="true" outlineLevel="0" collapsed="false">
      <c r="A75" s="6" t="n">
        <v>69</v>
      </c>
      <c r="B75" s="20" t="s">
        <v>142</v>
      </c>
      <c r="C75" s="20" t="s">
        <v>702</v>
      </c>
      <c r="D75" s="19" t="s">
        <v>703</v>
      </c>
      <c r="E75" s="19" t="s">
        <v>704</v>
      </c>
      <c r="F75" s="19" t="s">
        <v>758</v>
      </c>
      <c r="G75" s="19" t="s">
        <v>753</v>
      </c>
      <c r="H75" s="32" t="s">
        <v>759</v>
      </c>
      <c r="I75" s="19"/>
      <c r="J75" s="19"/>
      <c r="K75" s="19" t="s">
        <v>89</v>
      </c>
      <c r="L75" s="73" t="n">
        <v>48</v>
      </c>
      <c r="M75" s="37" t="str">
        <f aca="false">IF($G75&lt;&gt;"PIPE","",IFERROR(1/(1/INDEX(배관단중표!$B$7:$W$41,MATCH($I75,배관단중표!$A$7:$A$41,0),MATCH(IF($J75="SPP","SPP",IF(LEFT($F75,3)="STS",IF(ISNUMBER(SEARCH("316",$F75)),"STS316","STS304"),"SPPS")&amp;"|"&amp;$J75),배관단중표!$B$6:$W$6,0))),"DB확인"))</f>
        <v/>
      </c>
      <c r="N75" s="74" t="n">
        <v>1.5</v>
      </c>
      <c r="O75" s="56"/>
      <c r="P75" s="54" t="n">
        <f aca="false">IF($G75="","",IFERROR(IF(O75&lt;&gt;"",O75,L75*IF(G75="PIPE",M75,N75)),0))</f>
        <v>72</v>
      </c>
      <c r="Q75" s="6" t="str">
        <f aca="false">IF($G75="","",IF(G75="PIPE","P","F"))</f>
        <v>F</v>
      </c>
      <c r="R75" s="35" t="str">
        <f aca="false">IF($G75&lt;&gt;"PIPE","",IFERROR(IF(O75&lt;&gt;"",O75/M75,IF(K75="M",L75,"")),""))</f>
        <v/>
      </c>
      <c r="S75" s="6" t="str">
        <f aca="false">IF($G75&lt;&gt;"PIPE","",IF(AND($AA75="○",OR($W75&lt;&gt;"○",배관기준!$AG$17="N"),$C75&lt;&gt;"매설",LEFT($F75,3)&lt;&gt;"STS",LEFT($F75,3)&lt;&gt;"SUS"),"Y","N"))</f>
        <v/>
      </c>
      <c r="T75" s="16"/>
      <c r="U75" s="19" t="s">
        <v>705</v>
      </c>
      <c r="V75" s="20" t="s">
        <v>276</v>
      </c>
      <c r="W75" s="6" t="str">
        <f aca="false">IF($G75="","",IFERROR(INDEX(배관집계!$AC$7:$AC$32,MATCH($AC75,배관집계!$AJ$7:$AJ$32,0))&amp;"",""))</f>
        <v/>
      </c>
      <c r="X75" s="6" t="str">
        <f aca="false">IF($G75="","",IFERROR(INDEX(배관집계!$AD$7:$AD$32,MATCH($AC75,배관집계!$AJ$7:$AJ$32,0))&amp;"",""))</f>
        <v/>
      </c>
      <c r="Y75" s="6" t="str">
        <f aca="false">IF($G75="","",IFERROR(INDEX(배관집계!$AE$7:$AE$32,MATCH($AC75,배관집계!$AJ$7:$AJ$32,0))&amp;"",""))</f>
        <v/>
      </c>
      <c r="Z75" s="6" t="str">
        <f aca="false">IF($G75="","",IFERROR(INDEX(배관집계!$AF$7:$AF$32,MATCH($AC75,배관집계!$AJ$7:$AJ$32,0))&amp;"",""))</f>
        <v/>
      </c>
      <c r="AA75" s="6" t="str">
        <f aca="false">IF($G75="","",IFERROR(INDEX(배관집계!$AG$7:$AG$32,MATCH($AC75,배관집계!$AJ$7:$AJ$32,0))&amp;"",""))</f>
        <v/>
      </c>
      <c r="AB75" s="6" t="str">
        <f aca="false">IF($G75="","",IFERROR(INDEX(배관집계!$AH$7:$AH$32,MATCH($AC75,배관집계!$AJ$7:$AJ$32,0))&amp;"",""))</f>
        <v/>
      </c>
      <c r="AC75" s="75" t="str">
        <f aca="false">IF($G75="","",$B75&amp;"|"&amp;$C75&amp;"|"&amp;$E75&amp;"|"&amp;$U75&amp;"|"&amp;$I75)</f>
        <v>설치|옥외|5kg/cm2이상|STPG370S|</v>
      </c>
      <c r="AD75" s="76" t="str">
        <f aca="false">IF($G75="","",IF($B75&lt;&gt;"설치","",IF($G75="PIPE","PIPE",IF($G75="VALVE",IF(ISNUMBER(SEARCH("GLOBE",$H75)),"GLOBE",IF(ISNUMBER(SEARCH("GATE",$H75)),"GATE",IF(ISNUMBER(SEARCH("BUTTER",$H75)),"BFLY","VALVE기타"))),IF($G75="FITTING",IF(LEFT($H75,5)="ELBOW",IF($AE75=90,"90EL",IF($AE75=45,"45EL","비규격EL")),IF(LEFT($H75,6)="FLANGE","FLANGE",IF(ISNUMBER(SEARCH("TEE",$H75)),"TEE",""))),"")))))</f>
        <v/>
      </c>
      <c r="AE75" s="76" t="str">
        <f aca="false">IF(AND($G75="FITTING",LEFT($H75,5)="ELBOW"),IFERROR(VALUE(LEFT(MID($H75,7,12),MIN(IFERROR(FIND("L",MID($H75,7,12)),99),IFERROR(FIND("S",MID($H75,7,12)),99),IFERROR(FIND(" ",MID($H75,7,12)),99))-1)),""),"")</f>
        <v/>
      </c>
      <c r="AF75" s="77" t="n">
        <f aca="false">IF($AD75="비규격EL",N($L75)*RADIANS(N($AE75))*보온기준!$F$15*N($I75)*보온기준!$F$16/1000,0)</f>
        <v>0</v>
      </c>
      <c r="AG75" s="76" t="str">
        <f aca="false">IF($G75="","",IF(OR($AA75&lt;&gt;"○",LEFT($F75,3)="STS",LEFT($F75,3)="SUS",$C75="매설"),"Y","N"))</f>
        <v>Y</v>
      </c>
    </row>
    <row r="76" customFormat="false" ht="15" hidden="false" customHeight="true" outlineLevel="0" collapsed="false">
      <c r="A76" s="6" t="n">
        <v>70</v>
      </c>
      <c r="B76" s="20" t="s">
        <v>142</v>
      </c>
      <c r="C76" s="20" t="s">
        <v>702</v>
      </c>
      <c r="D76" s="19" t="s">
        <v>703</v>
      </c>
      <c r="E76" s="19" t="s">
        <v>704</v>
      </c>
      <c r="F76" s="19" t="s">
        <v>758</v>
      </c>
      <c r="G76" s="19" t="s">
        <v>753</v>
      </c>
      <c r="H76" s="32" t="s">
        <v>760</v>
      </c>
      <c r="I76" s="19"/>
      <c r="J76" s="19"/>
      <c r="K76" s="19" t="s">
        <v>89</v>
      </c>
      <c r="L76" s="73" t="n">
        <v>22</v>
      </c>
      <c r="M76" s="37" t="str">
        <f aca="false">IF($G76&lt;&gt;"PIPE","",IFERROR(1/(1/INDEX(배관단중표!$B$7:$W$41,MATCH($I76,배관단중표!$A$7:$A$41,0),MATCH(IF($J76="SPP","SPP",IF(LEFT($F76,3)="STS",IF(ISNUMBER(SEARCH("316",$F76)),"STS316","STS304"),"SPPS")&amp;"|"&amp;$J76),배관단중표!$B$6:$W$6,0))),"DB확인"))</f>
        <v/>
      </c>
      <c r="N76" s="74" t="n">
        <v>1.5</v>
      </c>
      <c r="O76" s="56"/>
      <c r="P76" s="54" t="n">
        <f aca="false">IF($G76="","",IFERROR(IF(O76&lt;&gt;"",O76,L76*IF(G76="PIPE",M76,N76)),0))</f>
        <v>33</v>
      </c>
      <c r="Q76" s="6" t="str">
        <f aca="false">IF($G76="","",IF(G76="PIPE","P","F"))</f>
        <v>F</v>
      </c>
      <c r="R76" s="35" t="str">
        <f aca="false">IF($G76&lt;&gt;"PIPE","",IFERROR(IF(O76&lt;&gt;"",O76/M76,IF(K76="M",L76,"")),""))</f>
        <v/>
      </c>
      <c r="S76" s="6" t="str">
        <f aca="false">IF($G76&lt;&gt;"PIPE","",IF(AND($AA76="○",OR($W76&lt;&gt;"○",배관기준!$AG$17="N"),$C76&lt;&gt;"매설",LEFT($F76,3)&lt;&gt;"STS",LEFT($F76,3)&lt;&gt;"SUS"),"Y","N"))</f>
        <v/>
      </c>
      <c r="T76" s="16"/>
      <c r="U76" s="19" t="s">
        <v>705</v>
      </c>
      <c r="V76" s="20" t="s">
        <v>276</v>
      </c>
      <c r="W76" s="6" t="str">
        <f aca="false">IF($G76="","",IFERROR(INDEX(배관집계!$AC$7:$AC$32,MATCH($AC76,배관집계!$AJ$7:$AJ$32,0))&amp;"",""))</f>
        <v/>
      </c>
      <c r="X76" s="6" t="str">
        <f aca="false">IF($G76="","",IFERROR(INDEX(배관집계!$AD$7:$AD$32,MATCH($AC76,배관집계!$AJ$7:$AJ$32,0))&amp;"",""))</f>
        <v/>
      </c>
      <c r="Y76" s="6" t="str">
        <f aca="false">IF($G76="","",IFERROR(INDEX(배관집계!$AE$7:$AE$32,MATCH($AC76,배관집계!$AJ$7:$AJ$32,0))&amp;"",""))</f>
        <v/>
      </c>
      <c r="Z76" s="6" t="str">
        <f aca="false">IF($G76="","",IFERROR(INDEX(배관집계!$AF$7:$AF$32,MATCH($AC76,배관집계!$AJ$7:$AJ$32,0))&amp;"",""))</f>
        <v/>
      </c>
      <c r="AA76" s="6" t="str">
        <f aca="false">IF($G76="","",IFERROR(INDEX(배관집계!$AG$7:$AG$32,MATCH($AC76,배관집계!$AJ$7:$AJ$32,0))&amp;"",""))</f>
        <v/>
      </c>
      <c r="AB76" s="6" t="str">
        <f aca="false">IF($G76="","",IFERROR(INDEX(배관집계!$AH$7:$AH$32,MATCH($AC76,배관집계!$AJ$7:$AJ$32,0))&amp;"",""))</f>
        <v/>
      </c>
      <c r="AC76" s="75" t="str">
        <f aca="false">IF($G76="","",$B76&amp;"|"&amp;$C76&amp;"|"&amp;$E76&amp;"|"&amp;$U76&amp;"|"&amp;$I76)</f>
        <v>설치|옥외|5kg/cm2이상|STPG370S|</v>
      </c>
      <c r="AD76" s="76" t="str">
        <f aca="false">IF($G76="","",IF($B76&lt;&gt;"설치","",IF($G76="PIPE","PIPE",IF($G76="VALVE",IF(ISNUMBER(SEARCH("GLOBE",$H76)),"GLOBE",IF(ISNUMBER(SEARCH("GATE",$H76)),"GATE",IF(ISNUMBER(SEARCH("BUTTER",$H76)),"BFLY","VALVE기타"))),IF($G76="FITTING",IF(LEFT($H76,5)="ELBOW",IF($AE76=90,"90EL",IF($AE76=45,"45EL","비규격EL")),IF(LEFT($H76,6)="FLANGE","FLANGE",IF(ISNUMBER(SEARCH("TEE",$H76)),"TEE",""))),"")))))</f>
        <v/>
      </c>
      <c r="AE76" s="76" t="str">
        <f aca="false">IF(AND($G76="FITTING",LEFT($H76,5)="ELBOW"),IFERROR(VALUE(LEFT(MID($H76,7,12),MIN(IFERROR(FIND("L",MID($H76,7,12)),99),IFERROR(FIND("S",MID($H76,7,12)),99),IFERROR(FIND(" ",MID($H76,7,12)),99))-1)),""),"")</f>
        <v/>
      </c>
      <c r="AF76" s="77" t="n">
        <f aca="false">IF($AD76="비규격EL",N($L76)*RADIANS(N($AE76))*보온기준!$F$15*N($I76)*보온기준!$F$16/1000,0)</f>
        <v>0</v>
      </c>
      <c r="AG76" s="76" t="str">
        <f aca="false">IF($G76="","",IF(OR($AA76&lt;&gt;"○",LEFT($F76,3)="STS",LEFT($F76,3)="SUS",$C76="매설"),"Y","N"))</f>
        <v>Y</v>
      </c>
    </row>
    <row r="77" customFormat="false" ht="15" hidden="false" customHeight="true" outlineLevel="0" collapsed="false">
      <c r="A77" s="6" t="n">
        <v>71</v>
      </c>
      <c r="B77" s="20" t="s">
        <v>142</v>
      </c>
      <c r="C77" s="20" t="s">
        <v>702</v>
      </c>
      <c r="D77" s="19" t="s">
        <v>703</v>
      </c>
      <c r="E77" s="19" t="s">
        <v>704</v>
      </c>
      <c r="F77" s="19" t="s">
        <v>758</v>
      </c>
      <c r="G77" s="19" t="s">
        <v>753</v>
      </c>
      <c r="H77" s="32" t="s">
        <v>761</v>
      </c>
      <c r="I77" s="19"/>
      <c r="J77" s="19"/>
      <c r="K77" s="19" t="s">
        <v>89</v>
      </c>
      <c r="L77" s="73" t="n">
        <v>12</v>
      </c>
      <c r="M77" s="37" t="str">
        <f aca="false">IF($G77&lt;&gt;"PIPE","",IFERROR(1/(1/INDEX(배관단중표!$B$7:$W$41,MATCH($I77,배관단중표!$A$7:$A$41,0),MATCH(IF($J77="SPP","SPP",IF(LEFT($F77,3)="STS",IF(ISNUMBER(SEARCH("316",$F77)),"STS316","STS304"),"SPPS")&amp;"|"&amp;$J77),배관단중표!$B$6:$W$6,0))),"DB확인"))</f>
        <v/>
      </c>
      <c r="N77" s="74" t="n">
        <v>2</v>
      </c>
      <c r="O77" s="56"/>
      <c r="P77" s="54" t="n">
        <f aca="false">IF($G77="","",IFERROR(IF(O77&lt;&gt;"",O77,L77*IF(G77="PIPE",M77,N77)),0))</f>
        <v>24</v>
      </c>
      <c r="Q77" s="6" t="str">
        <f aca="false">IF($G77="","",IF(G77="PIPE","P","F"))</f>
        <v>F</v>
      </c>
      <c r="R77" s="35" t="str">
        <f aca="false">IF($G77&lt;&gt;"PIPE","",IFERROR(IF(O77&lt;&gt;"",O77/M77,IF(K77="M",L77,"")),""))</f>
        <v/>
      </c>
      <c r="S77" s="6" t="str">
        <f aca="false">IF($G77&lt;&gt;"PIPE","",IF(AND($AA77="○",OR($W77&lt;&gt;"○",배관기준!$AG$17="N"),$C77&lt;&gt;"매설",LEFT($F77,3)&lt;&gt;"STS",LEFT($F77,3)&lt;&gt;"SUS"),"Y","N"))</f>
        <v/>
      </c>
      <c r="T77" s="16"/>
      <c r="U77" s="19" t="s">
        <v>705</v>
      </c>
      <c r="V77" s="20" t="s">
        <v>276</v>
      </c>
      <c r="W77" s="6" t="str">
        <f aca="false">IF($G77="","",IFERROR(INDEX(배관집계!$AC$7:$AC$32,MATCH($AC77,배관집계!$AJ$7:$AJ$32,0))&amp;"",""))</f>
        <v/>
      </c>
      <c r="X77" s="6" t="str">
        <f aca="false">IF($G77="","",IFERROR(INDEX(배관집계!$AD$7:$AD$32,MATCH($AC77,배관집계!$AJ$7:$AJ$32,0))&amp;"",""))</f>
        <v/>
      </c>
      <c r="Y77" s="6" t="str">
        <f aca="false">IF($G77="","",IFERROR(INDEX(배관집계!$AE$7:$AE$32,MATCH($AC77,배관집계!$AJ$7:$AJ$32,0))&amp;"",""))</f>
        <v/>
      </c>
      <c r="Z77" s="6" t="str">
        <f aca="false">IF($G77="","",IFERROR(INDEX(배관집계!$AF$7:$AF$32,MATCH($AC77,배관집계!$AJ$7:$AJ$32,0))&amp;"",""))</f>
        <v/>
      </c>
      <c r="AA77" s="6" t="str">
        <f aca="false">IF($G77="","",IFERROR(INDEX(배관집계!$AG$7:$AG$32,MATCH($AC77,배관집계!$AJ$7:$AJ$32,0))&amp;"",""))</f>
        <v/>
      </c>
      <c r="AB77" s="6" t="str">
        <f aca="false">IF($G77="","",IFERROR(INDEX(배관집계!$AH$7:$AH$32,MATCH($AC77,배관집계!$AJ$7:$AJ$32,0))&amp;"",""))</f>
        <v/>
      </c>
      <c r="AC77" s="75" t="str">
        <f aca="false">IF($G77="","",$B77&amp;"|"&amp;$C77&amp;"|"&amp;$E77&amp;"|"&amp;$U77&amp;"|"&amp;$I77)</f>
        <v>설치|옥외|5kg/cm2이상|STPG370S|</v>
      </c>
      <c r="AD77" s="76" t="str">
        <f aca="false">IF($G77="","",IF($B77&lt;&gt;"설치","",IF($G77="PIPE","PIPE",IF($G77="VALVE",IF(ISNUMBER(SEARCH("GLOBE",$H77)),"GLOBE",IF(ISNUMBER(SEARCH("GATE",$H77)),"GATE",IF(ISNUMBER(SEARCH("BUTTER",$H77)),"BFLY","VALVE기타"))),IF($G77="FITTING",IF(LEFT($H77,5)="ELBOW",IF($AE77=90,"90EL",IF($AE77=45,"45EL","비규격EL")),IF(LEFT($H77,6)="FLANGE","FLANGE",IF(ISNUMBER(SEARCH("TEE",$H77)),"TEE",""))),"")))))</f>
        <v/>
      </c>
      <c r="AE77" s="76" t="str">
        <f aca="false">IF(AND($G77="FITTING",LEFT($H77,5)="ELBOW"),IFERROR(VALUE(LEFT(MID($H77,7,12),MIN(IFERROR(FIND("L",MID($H77,7,12)),99),IFERROR(FIND("S",MID($H77,7,12)),99),IFERROR(FIND(" ",MID($H77,7,12)),99))-1)),""),"")</f>
        <v/>
      </c>
      <c r="AF77" s="77" t="n">
        <f aca="false">IF($AD77="비규격EL",N($L77)*RADIANS(N($AE77))*보온기준!$F$15*N($I77)*보온기준!$F$16/1000,0)</f>
        <v>0</v>
      </c>
      <c r="AG77" s="76" t="str">
        <f aca="false">IF($G77="","",IF(OR($AA77&lt;&gt;"○",LEFT($F77,3)="STS",LEFT($F77,3)="SUS",$C77="매설"),"Y","N"))</f>
        <v>Y</v>
      </c>
    </row>
    <row r="78" customFormat="false" ht="15" hidden="false" customHeight="true" outlineLevel="0" collapsed="false">
      <c r="A78" s="6"/>
      <c r="B78" s="21"/>
      <c r="C78" s="21"/>
      <c r="D78" s="21"/>
      <c r="E78" s="21"/>
      <c r="F78" s="21"/>
      <c r="G78" s="21"/>
      <c r="H78" s="59"/>
      <c r="I78" s="21"/>
      <c r="J78" s="21"/>
      <c r="K78" s="21"/>
      <c r="L78" s="78"/>
      <c r="M78" s="37" t="str">
        <f aca="false">IF($G78&lt;&gt;"PIPE","",IFERROR(1/(1/INDEX(배관단중표!$B$7:$W$41,MATCH($I78,배관단중표!$A$7:$A$41,0),MATCH(IF($J78="SPP","SPP",IF(LEFT($F78,3)="STS",IF(ISNUMBER(SEARCH("316",$F78)),"STS316","STS304"),"SPPS")&amp;"|"&amp;$J78),배관단중표!$B$6:$W$6,0))),"DB확인"))</f>
        <v/>
      </c>
      <c r="N78" s="79"/>
      <c r="O78" s="80"/>
      <c r="P78" s="54" t="str">
        <f aca="false">IF($G78="","",IFERROR(IF(O78&lt;&gt;"",O78,L78*IF(G78="PIPE",M78,N78)),0))</f>
        <v/>
      </c>
      <c r="Q78" s="6" t="str">
        <f aca="false">IF($G78="","",IF(G78="PIPE","P","F"))</f>
        <v/>
      </c>
      <c r="R78" s="35" t="str">
        <f aca="false">IF($G78&lt;&gt;"PIPE","",IFERROR(IF(O78&lt;&gt;"",O78/M78,IF(K78="M",L78,"")),""))</f>
        <v/>
      </c>
      <c r="S78" s="6" t="str">
        <f aca="false">IF($G78&lt;&gt;"PIPE","",IF(AND($AA78="○",OR($W78&lt;&gt;"○",배관기준!$AG$17="N"),$C78&lt;&gt;"매설",LEFT($F78,3)&lt;&gt;"STS",LEFT($F78,3)&lt;&gt;"SUS"),"Y","N"))</f>
        <v/>
      </c>
      <c r="T78" s="16"/>
      <c r="U78" s="21"/>
      <c r="V78" s="21"/>
      <c r="W78" s="6" t="str">
        <f aca="false">IF($G78="","",IFERROR(INDEX(배관집계!$AC$7:$AC$32,MATCH($AC78,배관집계!$AJ$7:$AJ$32,0))&amp;"",""))</f>
        <v/>
      </c>
      <c r="X78" s="6" t="str">
        <f aca="false">IF($G78="","",IFERROR(INDEX(배관집계!$AD$7:$AD$32,MATCH($AC78,배관집계!$AJ$7:$AJ$32,0))&amp;"",""))</f>
        <v/>
      </c>
      <c r="Y78" s="6" t="str">
        <f aca="false">IF($G78="","",IFERROR(INDEX(배관집계!$AE$7:$AE$32,MATCH($AC78,배관집계!$AJ$7:$AJ$32,0))&amp;"",""))</f>
        <v/>
      </c>
      <c r="Z78" s="6" t="str">
        <f aca="false">IF($G78="","",IFERROR(INDEX(배관집계!$AF$7:$AF$32,MATCH($AC78,배관집계!$AJ$7:$AJ$32,0))&amp;"",""))</f>
        <v/>
      </c>
      <c r="AA78" s="6" t="str">
        <f aca="false">IF($G78="","",IFERROR(INDEX(배관집계!$AG$7:$AG$32,MATCH($AC78,배관집계!$AJ$7:$AJ$32,0))&amp;"",""))</f>
        <v/>
      </c>
      <c r="AB78" s="6" t="str">
        <f aca="false">IF($G78="","",IFERROR(INDEX(배관집계!$AH$7:$AH$32,MATCH($AC78,배관집계!$AJ$7:$AJ$32,0))&amp;"",""))</f>
        <v/>
      </c>
      <c r="AC78" s="75" t="str">
        <f aca="false">IF($G78="","",$B78&amp;"|"&amp;$C78&amp;"|"&amp;$E78&amp;"|"&amp;$U78&amp;"|"&amp;$I78)</f>
        <v/>
      </c>
      <c r="AD78" s="76" t="str">
        <f aca="false">IF($G78="","",IF($B78&lt;&gt;"설치","",IF($G78="PIPE","PIPE",IF($G78="VALVE",IF(ISNUMBER(SEARCH("GLOBE",$H78)),"GLOBE",IF(ISNUMBER(SEARCH("GATE",$H78)),"GATE",IF(ISNUMBER(SEARCH("BUTTER",$H78)),"BFLY","VALVE기타"))),IF($G78="FITTING",IF(LEFT($H78,5)="ELBOW",IF($AE78=90,"90EL",IF($AE78=45,"45EL","비규격EL")),IF(LEFT($H78,6)="FLANGE","FLANGE",IF(ISNUMBER(SEARCH("TEE",$H78)),"TEE",""))),"")))))</f>
        <v/>
      </c>
      <c r="AE78" s="76" t="str">
        <f aca="false">IF(AND($G78="FITTING",LEFT($H78,5)="ELBOW"),IFERROR(VALUE(LEFT(MID($H78,7,12),MIN(IFERROR(FIND("L",MID($H78,7,12)),99),IFERROR(FIND("S",MID($H78,7,12)),99),IFERROR(FIND(" ",MID($H78,7,12)),99))-1)),""),"")</f>
        <v/>
      </c>
      <c r="AF78" s="77" t="n">
        <f aca="false">IF($AD78="비규격EL",N($L78)*RADIANS(N($AE78))*보온기준!$F$15*N($I78)*보온기준!$F$16/1000,0)</f>
        <v>0</v>
      </c>
      <c r="AG78" s="76" t="str">
        <f aca="false">IF($G78="","",IF(OR($AA78&lt;&gt;"○",LEFT($F78,3)="STS",LEFT($F78,3)="SUS",$C78="매설"),"Y","N"))</f>
        <v/>
      </c>
    </row>
    <row r="79" customFormat="false" ht="15" hidden="false" customHeight="true" outlineLevel="0" collapsed="false">
      <c r="A79" s="6"/>
      <c r="B79" s="21"/>
      <c r="C79" s="21"/>
      <c r="D79" s="21"/>
      <c r="E79" s="21"/>
      <c r="F79" s="21"/>
      <c r="G79" s="21"/>
      <c r="H79" s="59"/>
      <c r="I79" s="21"/>
      <c r="J79" s="21"/>
      <c r="K79" s="21"/>
      <c r="L79" s="78"/>
      <c r="M79" s="37" t="str">
        <f aca="false">IF($G79&lt;&gt;"PIPE","",IFERROR(1/(1/INDEX(배관단중표!$B$7:$W$41,MATCH($I79,배관단중표!$A$7:$A$41,0),MATCH(IF($J79="SPP","SPP",IF(LEFT($F79,3)="STS",IF(ISNUMBER(SEARCH("316",$F79)),"STS316","STS304"),"SPPS")&amp;"|"&amp;$J79),배관단중표!$B$6:$W$6,0))),"DB확인"))</f>
        <v/>
      </c>
      <c r="N79" s="79"/>
      <c r="O79" s="80"/>
      <c r="P79" s="54" t="str">
        <f aca="false">IF($G79="","",IFERROR(IF(O79&lt;&gt;"",O79,L79*IF(G79="PIPE",M79,N79)),0))</f>
        <v/>
      </c>
      <c r="Q79" s="6" t="str">
        <f aca="false">IF($G79="","",IF(G79="PIPE","P","F"))</f>
        <v/>
      </c>
      <c r="R79" s="35" t="str">
        <f aca="false">IF($G79&lt;&gt;"PIPE","",IFERROR(IF(O79&lt;&gt;"",O79/M79,IF(K79="M",L79,"")),""))</f>
        <v/>
      </c>
      <c r="S79" s="6" t="str">
        <f aca="false">IF($G79&lt;&gt;"PIPE","",IF(AND($AA79="○",OR($W79&lt;&gt;"○",배관기준!$AG$17="N"),$C79&lt;&gt;"매설",LEFT($F79,3)&lt;&gt;"STS",LEFT($F79,3)&lt;&gt;"SUS"),"Y","N"))</f>
        <v/>
      </c>
      <c r="T79" s="16"/>
      <c r="U79" s="21"/>
      <c r="V79" s="21"/>
      <c r="W79" s="6" t="str">
        <f aca="false">IF($G79="","",IFERROR(INDEX(배관집계!$AC$7:$AC$32,MATCH($AC79,배관집계!$AJ$7:$AJ$32,0))&amp;"",""))</f>
        <v/>
      </c>
      <c r="X79" s="6" t="str">
        <f aca="false">IF($G79="","",IFERROR(INDEX(배관집계!$AD$7:$AD$32,MATCH($AC79,배관집계!$AJ$7:$AJ$32,0))&amp;"",""))</f>
        <v/>
      </c>
      <c r="Y79" s="6" t="str">
        <f aca="false">IF($G79="","",IFERROR(INDEX(배관집계!$AE$7:$AE$32,MATCH($AC79,배관집계!$AJ$7:$AJ$32,0))&amp;"",""))</f>
        <v/>
      </c>
      <c r="Z79" s="6" t="str">
        <f aca="false">IF($G79="","",IFERROR(INDEX(배관집계!$AF$7:$AF$32,MATCH($AC79,배관집계!$AJ$7:$AJ$32,0))&amp;"",""))</f>
        <v/>
      </c>
      <c r="AA79" s="6" t="str">
        <f aca="false">IF($G79="","",IFERROR(INDEX(배관집계!$AG$7:$AG$32,MATCH($AC79,배관집계!$AJ$7:$AJ$32,0))&amp;"",""))</f>
        <v/>
      </c>
      <c r="AB79" s="6" t="str">
        <f aca="false">IF($G79="","",IFERROR(INDEX(배관집계!$AH$7:$AH$32,MATCH($AC79,배관집계!$AJ$7:$AJ$32,0))&amp;"",""))</f>
        <v/>
      </c>
      <c r="AC79" s="75" t="str">
        <f aca="false">IF($G79="","",$B79&amp;"|"&amp;$C79&amp;"|"&amp;$E79&amp;"|"&amp;$U79&amp;"|"&amp;$I79)</f>
        <v/>
      </c>
      <c r="AD79" s="76" t="str">
        <f aca="false">IF($G79="","",IF($B79&lt;&gt;"설치","",IF($G79="PIPE","PIPE",IF($G79="VALVE",IF(ISNUMBER(SEARCH("GLOBE",$H79)),"GLOBE",IF(ISNUMBER(SEARCH("GATE",$H79)),"GATE",IF(ISNUMBER(SEARCH("BUTTER",$H79)),"BFLY","VALVE기타"))),IF($G79="FITTING",IF(LEFT($H79,5)="ELBOW",IF($AE79=90,"90EL",IF($AE79=45,"45EL","비규격EL")),IF(LEFT($H79,6)="FLANGE","FLANGE",IF(ISNUMBER(SEARCH("TEE",$H79)),"TEE",""))),"")))))</f>
        <v/>
      </c>
      <c r="AE79" s="76" t="str">
        <f aca="false">IF(AND($G79="FITTING",LEFT($H79,5)="ELBOW"),IFERROR(VALUE(LEFT(MID($H79,7,12),MIN(IFERROR(FIND("L",MID($H79,7,12)),99),IFERROR(FIND("S",MID($H79,7,12)),99),IFERROR(FIND(" ",MID($H79,7,12)),99))-1)),""),"")</f>
        <v/>
      </c>
      <c r="AF79" s="77" t="n">
        <f aca="false">IF($AD79="비규격EL",N($L79)*RADIANS(N($AE79))*보온기준!$F$15*N($I79)*보온기준!$F$16/1000,0)</f>
        <v>0</v>
      </c>
      <c r="AG79" s="76" t="str">
        <f aca="false">IF($G79="","",IF(OR($AA79&lt;&gt;"○",LEFT($F79,3)="STS",LEFT($F79,3)="SUS",$C79="매설"),"Y","N"))</f>
        <v/>
      </c>
    </row>
    <row r="80" customFormat="false" ht="15" hidden="false" customHeight="true" outlineLevel="0" collapsed="false">
      <c r="A80" s="6"/>
      <c r="B80" s="21"/>
      <c r="C80" s="21"/>
      <c r="D80" s="21"/>
      <c r="E80" s="21"/>
      <c r="F80" s="21"/>
      <c r="G80" s="21"/>
      <c r="H80" s="59"/>
      <c r="I80" s="21"/>
      <c r="J80" s="21"/>
      <c r="K80" s="21"/>
      <c r="L80" s="78"/>
      <c r="M80" s="37" t="str">
        <f aca="false">IF($G80&lt;&gt;"PIPE","",IFERROR(1/(1/INDEX(배관단중표!$B$7:$W$41,MATCH($I80,배관단중표!$A$7:$A$41,0),MATCH(IF($J80="SPP","SPP",IF(LEFT($F80,3)="STS",IF(ISNUMBER(SEARCH("316",$F80)),"STS316","STS304"),"SPPS")&amp;"|"&amp;$J80),배관단중표!$B$6:$W$6,0))),"DB확인"))</f>
        <v/>
      </c>
      <c r="N80" s="79"/>
      <c r="O80" s="80"/>
      <c r="P80" s="54" t="str">
        <f aca="false">IF($G80="","",IFERROR(IF(O80&lt;&gt;"",O80,L80*IF(G80="PIPE",M80,N80)),0))</f>
        <v/>
      </c>
      <c r="Q80" s="6" t="str">
        <f aca="false">IF($G80="","",IF(G80="PIPE","P","F"))</f>
        <v/>
      </c>
      <c r="R80" s="35" t="str">
        <f aca="false">IF($G80&lt;&gt;"PIPE","",IFERROR(IF(O80&lt;&gt;"",O80/M80,IF(K80="M",L80,"")),""))</f>
        <v/>
      </c>
      <c r="S80" s="6" t="str">
        <f aca="false">IF($G80&lt;&gt;"PIPE","",IF(AND($AA80="○",OR($W80&lt;&gt;"○",배관기준!$AG$17="N"),$C80&lt;&gt;"매설",LEFT($F80,3)&lt;&gt;"STS",LEFT($F80,3)&lt;&gt;"SUS"),"Y","N"))</f>
        <v/>
      </c>
      <c r="T80" s="16"/>
      <c r="U80" s="21"/>
      <c r="V80" s="21"/>
      <c r="W80" s="6" t="str">
        <f aca="false">IF($G80="","",IFERROR(INDEX(배관집계!$AC$7:$AC$32,MATCH($AC80,배관집계!$AJ$7:$AJ$32,0))&amp;"",""))</f>
        <v/>
      </c>
      <c r="X80" s="6" t="str">
        <f aca="false">IF($G80="","",IFERROR(INDEX(배관집계!$AD$7:$AD$32,MATCH($AC80,배관집계!$AJ$7:$AJ$32,0))&amp;"",""))</f>
        <v/>
      </c>
      <c r="Y80" s="6" t="str">
        <f aca="false">IF($G80="","",IFERROR(INDEX(배관집계!$AE$7:$AE$32,MATCH($AC80,배관집계!$AJ$7:$AJ$32,0))&amp;"",""))</f>
        <v/>
      </c>
      <c r="Z80" s="6" t="str">
        <f aca="false">IF($G80="","",IFERROR(INDEX(배관집계!$AF$7:$AF$32,MATCH($AC80,배관집계!$AJ$7:$AJ$32,0))&amp;"",""))</f>
        <v/>
      </c>
      <c r="AA80" s="6" t="str">
        <f aca="false">IF($G80="","",IFERROR(INDEX(배관집계!$AG$7:$AG$32,MATCH($AC80,배관집계!$AJ$7:$AJ$32,0))&amp;"",""))</f>
        <v/>
      </c>
      <c r="AB80" s="6" t="str">
        <f aca="false">IF($G80="","",IFERROR(INDEX(배관집계!$AH$7:$AH$32,MATCH($AC80,배관집계!$AJ$7:$AJ$32,0))&amp;"",""))</f>
        <v/>
      </c>
      <c r="AC80" s="75" t="str">
        <f aca="false">IF($G80="","",$B80&amp;"|"&amp;$C80&amp;"|"&amp;$E80&amp;"|"&amp;$U80&amp;"|"&amp;$I80)</f>
        <v/>
      </c>
      <c r="AD80" s="76" t="str">
        <f aca="false">IF($G80="","",IF($B80&lt;&gt;"설치","",IF($G80="PIPE","PIPE",IF($G80="VALVE",IF(ISNUMBER(SEARCH("GLOBE",$H80)),"GLOBE",IF(ISNUMBER(SEARCH("GATE",$H80)),"GATE",IF(ISNUMBER(SEARCH("BUTTER",$H80)),"BFLY","VALVE기타"))),IF($G80="FITTING",IF(LEFT($H80,5)="ELBOW",IF($AE80=90,"90EL",IF($AE80=45,"45EL","비규격EL")),IF(LEFT($H80,6)="FLANGE","FLANGE",IF(ISNUMBER(SEARCH("TEE",$H80)),"TEE",""))),"")))))</f>
        <v/>
      </c>
      <c r="AE80" s="76" t="str">
        <f aca="false">IF(AND($G80="FITTING",LEFT($H80,5)="ELBOW"),IFERROR(VALUE(LEFT(MID($H80,7,12),MIN(IFERROR(FIND("L",MID($H80,7,12)),99),IFERROR(FIND("S",MID($H80,7,12)),99),IFERROR(FIND(" ",MID($H80,7,12)),99))-1)),""),"")</f>
        <v/>
      </c>
      <c r="AF80" s="77" t="n">
        <f aca="false">IF($AD80="비규격EL",N($L80)*RADIANS(N($AE80))*보온기준!$F$15*N($I80)*보온기준!$F$16/1000,0)</f>
        <v>0</v>
      </c>
      <c r="AG80" s="76" t="str">
        <f aca="false">IF($G80="","",IF(OR($AA80&lt;&gt;"○",LEFT($F80,3)="STS",LEFT($F80,3)="SUS",$C80="매설"),"Y","N"))</f>
        <v/>
      </c>
    </row>
    <row r="81" customFormat="false" ht="15" hidden="false" customHeight="true" outlineLevel="0" collapsed="false">
      <c r="A81" s="6"/>
      <c r="B81" s="21"/>
      <c r="C81" s="21"/>
      <c r="D81" s="21"/>
      <c r="E81" s="21"/>
      <c r="F81" s="21"/>
      <c r="G81" s="21"/>
      <c r="H81" s="59"/>
      <c r="I81" s="21"/>
      <c r="J81" s="21"/>
      <c r="K81" s="21"/>
      <c r="L81" s="78"/>
      <c r="M81" s="37" t="str">
        <f aca="false">IF($G81&lt;&gt;"PIPE","",IFERROR(1/(1/INDEX(배관단중표!$B$7:$W$41,MATCH($I81,배관단중표!$A$7:$A$41,0),MATCH(IF($J81="SPP","SPP",IF(LEFT($F81,3)="STS",IF(ISNUMBER(SEARCH("316",$F81)),"STS316","STS304"),"SPPS")&amp;"|"&amp;$J81),배관단중표!$B$6:$W$6,0))),"DB확인"))</f>
        <v/>
      </c>
      <c r="N81" s="79"/>
      <c r="O81" s="80"/>
      <c r="P81" s="54" t="str">
        <f aca="false">IF($G81="","",IFERROR(IF(O81&lt;&gt;"",O81,L81*IF(G81="PIPE",M81,N81)),0))</f>
        <v/>
      </c>
      <c r="Q81" s="6" t="str">
        <f aca="false">IF($G81="","",IF(G81="PIPE","P","F"))</f>
        <v/>
      </c>
      <c r="R81" s="35" t="str">
        <f aca="false">IF($G81&lt;&gt;"PIPE","",IFERROR(IF(O81&lt;&gt;"",O81/M81,IF(K81="M",L81,"")),""))</f>
        <v/>
      </c>
      <c r="S81" s="6" t="str">
        <f aca="false">IF($G81&lt;&gt;"PIPE","",IF(AND($AA81="○",OR($W81&lt;&gt;"○",배관기준!$AG$17="N"),$C81&lt;&gt;"매설",LEFT($F81,3)&lt;&gt;"STS",LEFT($F81,3)&lt;&gt;"SUS"),"Y","N"))</f>
        <v/>
      </c>
      <c r="T81" s="16"/>
      <c r="U81" s="21"/>
      <c r="V81" s="21"/>
      <c r="W81" s="6" t="str">
        <f aca="false">IF($G81="","",IFERROR(INDEX(배관집계!$AC$7:$AC$32,MATCH($AC81,배관집계!$AJ$7:$AJ$32,0))&amp;"",""))</f>
        <v/>
      </c>
      <c r="X81" s="6" t="str">
        <f aca="false">IF($G81="","",IFERROR(INDEX(배관집계!$AD$7:$AD$32,MATCH($AC81,배관집계!$AJ$7:$AJ$32,0))&amp;"",""))</f>
        <v/>
      </c>
      <c r="Y81" s="6" t="str">
        <f aca="false">IF($G81="","",IFERROR(INDEX(배관집계!$AE$7:$AE$32,MATCH($AC81,배관집계!$AJ$7:$AJ$32,0))&amp;"",""))</f>
        <v/>
      </c>
      <c r="Z81" s="6" t="str">
        <f aca="false">IF($G81="","",IFERROR(INDEX(배관집계!$AF$7:$AF$32,MATCH($AC81,배관집계!$AJ$7:$AJ$32,0))&amp;"",""))</f>
        <v/>
      </c>
      <c r="AA81" s="6" t="str">
        <f aca="false">IF($G81="","",IFERROR(INDEX(배관집계!$AG$7:$AG$32,MATCH($AC81,배관집계!$AJ$7:$AJ$32,0))&amp;"",""))</f>
        <v/>
      </c>
      <c r="AB81" s="6" t="str">
        <f aca="false">IF($G81="","",IFERROR(INDEX(배관집계!$AH$7:$AH$32,MATCH($AC81,배관집계!$AJ$7:$AJ$32,0))&amp;"",""))</f>
        <v/>
      </c>
      <c r="AC81" s="75" t="str">
        <f aca="false">IF($G81="","",$B81&amp;"|"&amp;$C81&amp;"|"&amp;$E81&amp;"|"&amp;$U81&amp;"|"&amp;$I81)</f>
        <v/>
      </c>
      <c r="AD81" s="76" t="str">
        <f aca="false">IF($G81="","",IF($B81&lt;&gt;"설치","",IF($G81="PIPE","PIPE",IF($G81="VALVE",IF(ISNUMBER(SEARCH("GLOBE",$H81)),"GLOBE",IF(ISNUMBER(SEARCH("GATE",$H81)),"GATE",IF(ISNUMBER(SEARCH("BUTTER",$H81)),"BFLY","VALVE기타"))),IF($G81="FITTING",IF(LEFT($H81,5)="ELBOW",IF($AE81=90,"90EL",IF($AE81=45,"45EL","비규격EL")),IF(LEFT($H81,6)="FLANGE","FLANGE",IF(ISNUMBER(SEARCH("TEE",$H81)),"TEE",""))),"")))))</f>
        <v/>
      </c>
      <c r="AE81" s="76" t="str">
        <f aca="false">IF(AND($G81="FITTING",LEFT($H81,5)="ELBOW"),IFERROR(VALUE(LEFT(MID($H81,7,12),MIN(IFERROR(FIND("L",MID($H81,7,12)),99),IFERROR(FIND("S",MID($H81,7,12)),99),IFERROR(FIND(" ",MID($H81,7,12)),99))-1)),""),"")</f>
        <v/>
      </c>
      <c r="AF81" s="77" t="n">
        <f aca="false">IF($AD81="비규격EL",N($L81)*RADIANS(N($AE81))*보온기준!$F$15*N($I81)*보온기준!$F$16/1000,0)</f>
        <v>0</v>
      </c>
      <c r="AG81" s="76" t="str">
        <f aca="false">IF($G81="","",IF(OR($AA81&lt;&gt;"○",LEFT($F81,3)="STS",LEFT($F81,3)="SUS",$C81="매설"),"Y","N"))</f>
        <v/>
      </c>
    </row>
    <row r="82" customFormat="false" ht="15" hidden="false" customHeight="true" outlineLevel="0" collapsed="false">
      <c r="A82" s="6"/>
      <c r="B82" s="21"/>
      <c r="C82" s="21"/>
      <c r="D82" s="21"/>
      <c r="E82" s="21"/>
      <c r="F82" s="21"/>
      <c r="G82" s="21"/>
      <c r="H82" s="59"/>
      <c r="I82" s="21"/>
      <c r="J82" s="21"/>
      <c r="K82" s="21"/>
      <c r="L82" s="78"/>
      <c r="M82" s="37" t="str">
        <f aca="false">IF($G82&lt;&gt;"PIPE","",IFERROR(1/(1/INDEX(배관단중표!$B$7:$W$41,MATCH($I82,배관단중표!$A$7:$A$41,0),MATCH(IF($J82="SPP","SPP",IF(LEFT($F82,3)="STS",IF(ISNUMBER(SEARCH("316",$F82)),"STS316","STS304"),"SPPS")&amp;"|"&amp;$J82),배관단중표!$B$6:$W$6,0))),"DB확인"))</f>
        <v/>
      </c>
      <c r="N82" s="79"/>
      <c r="O82" s="80"/>
      <c r="P82" s="54" t="str">
        <f aca="false">IF($G82="","",IFERROR(IF(O82&lt;&gt;"",O82,L82*IF(G82="PIPE",M82,N82)),0))</f>
        <v/>
      </c>
      <c r="Q82" s="6" t="str">
        <f aca="false">IF($G82="","",IF(G82="PIPE","P","F"))</f>
        <v/>
      </c>
      <c r="R82" s="35" t="str">
        <f aca="false">IF($G82&lt;&gt;"PIPE","",IFERROR(IF(O82&lt;&gt;"",O82/M82,IF(K82="M",L82,"")),""))</f>
        <v/>
      </c>
      <c r="S82" s="6" t="str">
        <f aca="false">IF($G82&lt;&gt;"PIPE","",IF(AND($AA82="○",OR($W82&lt;&gt;"○",배관기준!$AG$17="N"),$C82&lt;&gt;"매설",LEFT($F82,3)&lt;&gt;"STS",LEFT($F82,3)&lt;&gt;"SUS"),"Y","N"))</f>
        <v/>
      </c>
      <c r="T82" s="16"/>
      <c r="U82" s="21"/>
      <c r="V82" s="21"/>
      <c r="W82" s="6" t="str">
        <f aca="false">IF($G82="","",IFERROR(INDEX(배관집계!$AC$7:$AC$32,MATCH($AC82,배관집계!$AJ$7:$AJ$32,0))&amp;"",""))</f>
        <v/>
      </c>
      <c r="X82" s="6" t="str">
        <f aca="false">IF($G82="","",IFERROR(INDEX(배관집계!$AD$7:$AD$32,MATCH($AC82,배관집계!$AJ$7:$AJ$32,0))&amp;"",""))</f>
        <v/>
      </c>
      <c r="Y82" s="6" t="str">
        <f aca="false">IF($G82="","",IFERROR(INDEX(배관집계!$AE$7:$AE$32,MATCH($AC82,배관집계!$AJ$7:$AJ$32,0))&amp;"",""))</f>
        <v/>
      </c>
      <c r="Z82" s="6" t="str">
        <f aca="false">IF($G82="","",IFERROR(INDEX(배관집계!$AF$7:$AF$32,MATCH($AC82,배관집계!$AJ$7:$AJ$32,0))&amp;"",""))</f>
        <v/>
      </c>
      <c r="AA82" s="6" t="str">
        <f aca="false">IF($G82="","",IFERROR(INDEX(배관집계!$AG$7:$AG$32,MATCH($AC82,배관집계!$AJ$7:$AJ$32,0))&amp;"",""))</f>
        <v/>
      </c>
      <c r="AB82" s="6" t="str">
        <f aca="false">IF($G82="","",IFERROR(INDEX(배관집계!$AH$7:$AH$32,MATCH($AC82,배관집계!$AJ$7:$AJ$32,0))&amp;"",""))</f>
        <v/>
      </c>
      <c r="AC82" s="75" t="str">
        <f aca="false">IF($G82="","",$B82&amp;"|"&amp;$C82&amp;"|"&amp;$E82&amp;"|"&amp;$U82&amp;"|"&amp;$I82)</f>
        <v/>
      </c>
      <c r="AD82" s="76" t="str">
        <f aca="false">IF($G82="","",IF($B82&lt;&gt;"설치","",IF($G82="PIPE","PIPE",IF($G82="VALVE",IF(ISNUMBER(SEARCH("GLOBE",$H82)),"GLOBE",IF(ISNUMBER(SEARCH("GATE",$H82)),"GATE",IF(ISNUMBER(SEARCH("BUTTER",$H82)),"BFLY","VALVE기타"))),IF($G82="FITTING",IF(LEFT($H82,5)="ELBOW",IF($AE82=90,"90EL",IF($AE82=45,"45EL","비규격EL")),IF(LEFT($H82,6)="FLANGE","FLANGE",IF(ISNUMBER(SEARCH("TEE",$H82)),"TEE",""))),"")))))</f>
        <v/>
      </c>
      <c r="AE82" s="76" t="str">
        <f aca="false">IF(AND($G82="FITTING",LEFT($H82,5)="ELBOW"),IFERROR(VALUE(LEFT(MID($H82,7,12),MIN(IFERROR(FIND("L",MID($H82,7,12)),99),IFERROR(FIND("S",MID($H82,7,12)),99),IFERROR(FIND(" ",MID($H82,7,12)),99))-1)),""),"")</f>
        <v/>
      </c>
      <c r="AF82" s="77" t="n">
        <f aca="false">IF($AD82="비규격EL",N($L82)*RADIANS(N($AE82))*보온기준!$F$15*N($I82)*보온기준!$F$16/1000,0)</f>
        <v>0</v>
      </c>
      <c r="AG82" s="76" t="str">
        <f aca="false">IF($G82="","",IF(OR($AA82&lt;&gt;"○",LEFT($F82,3)="STS",LEFT($F82,3)="SUS",$C82="매설"),"Y","N"))</f>
        <v/>
      </c>
    </row>
    <row r="83" customFormat="false" ht="15" hidden="false" customHeight="true" outlineLevel="0" collapsed="false">
      <c r="A83" s="6"/>
      <c r="B83" s="21"/>
      <c r="C83" s="21"/>
      <c r="D83" s="21"/>
      <c r="E83" s="21"/>
      <c r="F83" s="21"/>
      <c r="G83" s="21"/>
      <c r="H83" s="59"/>
      <c r="I83" s="21"/>
      <c r="J83" s="21"/>
      <c r="K83" s="21"/>
      <c r="L83" s="78"/>
      <c r="M83" s="37" t="str">
        <f aca="false">IF($G83&lt;&gt;"PIPE","",IFERROR(1/(1/INDEX(배관단중표!$B$7:$W$41,MATCH($I83,배관단중표!$A$7:$A$41,0),MATCH(IF($J83="SPP","SPP",IF(LEFT($F83,3)="STS",IF(ISNUMBER(SEARCH("316",$F83)),"STS316","STS304"),"SPPS")&amp;"|"&amp;$J83),배관단중표!$B$6:$W$6,0))),"DB확인"))</f>
        <v/>
      </c>
      <c r="N83" s="79"/>
      <c r="O83" s="80"/>
      <c r="P83" s="54" t="str">
        <f aca="false">IF($G83="","",IFERROR(IF(O83&lt;&gt;"",O83,L83*IF(G83="PIPE",M83,N83)),0))</f>
        <v/>
      </c>
      <c r="Q83" s="6" t="str">
        <f aca="false">IF($G83="","",IF(G83="PIPE","P","F"))</f>
        <v/>
      </c>
      <c r="R83" s="35" t="str">
        <f aca="false">IF($G83&lt;&gt;"PIPE","",IFERROR(IF(O83&lt;&gt;"",O83/M83,IF(K83="M",L83,"")),""))</f>
        <v/>
      </c>
      <c r="S83" s="6" t="str">
        <f aca="false">IF($G83&lt;&gt;"PIPE","",IF(AND($AA83="○",OR($W83&lt;&gt;"○",배관기준!$AG$17="N"),$C83&lt;&gt;"매설",LEFT($F83,3)&lt;&gt;"STS",LEFT($F83,3)&lt;&gt;"SUS"),"Y","N"))</f>
        <v/>
      </c>
      <c r="T83" s="16"/>
      <c r="U83" s="21"/>
      <c r="V83" s="21"/>
      <c r="W83" s="6" t="str">
        <f aca="false">IF($G83="","",IFERROR(INDEX(배관집계!$AC$7:$AC$32,MATCH($AC83,배관집계!$AJ$7:$AJ$32,0))&amp;"",""))</f>
        <v/>
      </c>
      <c r="X83" s="6" t="str">
        <f aca="false">IF($G83="","",IFERROR(INDEX(배관집계!$AD$7:$AD$32,MATCH($AC83,배관집계!$AJ$7:$AJ$32,0))&amp;"",""))</f>
        <v/>
      </c>
      <c r="Y83" s="6" t="str">
        <f aca="false">IF($G83="","",IFERROR(INDEX(배관집계!$AE$7:$AE$32,MATCH($AC83,배관집계!$AJ$7:$AJ$32,0))&amp;"",""))</f>
        <v/>
      </c>
      <c r="Z83" s="6" t="str">
        <f aca="false">IF($G83="","",IFERROR(INDEX(배관집계!$AF$7:$AF$32,MATCH($AC83,배관집계!$AJ$7:$AJ$32,0))&amp;"",""))</f>
        <v/>
      </c>
      <c r="AA83" s="6" t="str">
        <f aca="false">IF($G83="","",IFERROR(INDEX(배관집계!$AG$7:$AG$32,MATCH($AC83,배관집계!$AJ$7:$AJ$32,0))&amp;"",""))</f>
        <v/>
      </c>
      <c r="AB83" s="6" t="str">
        <f aca="false">IF($G83="","",IFERROR(INDEX(배관집계!$AH$7:$AH$32,MATCH($AC83,배관집계!$AJ$7:$AJ$32,0))&amp;"",""))</f>
        <v/>
      </c>
      <c r="AC83" s="75" t="str">
        <f aca="false">IF($G83="","",$B83&amp;"|"&amp;$C83&amp;"|"&amp;$E83&amp;"|"&amp;$U83&amp;"|"&amp;$I83)</f>
        <v/>
      </c>
      <c r="AD83" s="76" t="str">
        <f aca="false">IF($G83="","",IF($B83&lt;&gt;"설치","",IF($G83="PIPE","PIPE",IF($G83="VALVE",IF(ISNUMBER(SEARCH("GLOBE",$H83)),"GLOBE",IF(ISNUMBER(SEARCH("GATE",$H83)),"GATE",IF(ISNUMBER(SEARCH("BUTTER",$H83)),"BFLY","VALVE기타"))),IF($G83="FITTING",IF(LEFT($H83,5)="ELBOW",IF($AE83=90,"90EL",IF($AE83=45,"45EL","비규격EL")),IF(LEFT($H83,6)="FLANGE","FLANGE",IF(ISNUMBER(SEARCH("TEE",$H83)),"TEE",""))),"")))))</f>
        <v/>
      </c>
      <c r="AE83" s="76" t="str">
        <f aca="false">IF(AND($G83="FITTING",LEFT($H83,5)="ELBOW"),IFERROR(VALUE(LEFT(MID($H83,7,12),MIN(IFERROR(FIND("L",MID($H83,7,12)),99),IFERROR(FIND("S",MID($H83,7,12)),99),IFERROR(FIND(" ",MID($H83,7,12)),99))-1)),""),"")</f>
        <v/>
      </c>
      <c r="AF83" s="77" t="n">
        <f aca="false">IF($AD83="비규격EL",N($L83)*RADIANS(N($AE83))*보온기준!$F$15*N($I83)*보온기준!$F$16/1000,0)</f>
        <v>0</v>
      </c>
      <c r="AG83" s="76" t="str">
        <f aca="false">IF($G83="","",IF(OR($AA83&lt;&gt;"○",LEFT($F83,3)="STS",LEFT($F83,3)="SUS",$C83="매설"),"Y","N"))</f>
        <v/>
      </c>
    </row>
    <row r="84" customFormat="false" ht="15" hidden="false" customHeight="true" outlineLevel="0" collapsed="false">
      <c r="A84" s="6"/>
      <c r="B84" s="21"/>
      <c r="C84" s="21"/>
      <c r="D84" s="21"/>
      <c r="E84" s="21"/>
      <c r="F84" s="21"/>
      <c r="G84" s="21"/>
      <c r="H84" s="59"/>
      <c r="I84" s="21"/>
      <c r="J84" s="21"/>
      <c r="K84" s="21"/>
      <c r="L84" s="78"/>
      <c r="M84" s="37" t="str">
        <f aca="false">IF($G84&lt;&gt;"PIPE","",IFERROR(1/(1/INDEX(배관단중표!$B$7:$W$41,MATCH($I84,배관단중표!$A$7:$A$41,0),MATCH(IF($J84="SPP","SPP",IF(LEFT($F84,3)="STS",IF(ISNUMBER(SEARCH("316",$F84)),"STS316","STS304"),"SPPS")&amp;"|"&amp;$J84),배관단중표!$B$6:$W$6,0))),"DB확인"))</f>
        <v/>
      </c>
      <c r="N84" s="79"/>
      <c r="O84" s="80"/>
      <c r="P84" s="54" t="str">
        <f aca="false">IF($G84="","",IFERROR(IF(O84&lt;&gt;"",O84,L84*IF(G84="PIPE",M84,N84)),0))</f>
        <v/>
      </c>
      <c r="Q84" s="6" t="str">
        <f aca="false">IF($G84="","",IF(G84="PIPE","P","F"))</f>
        <v/>
      </c>
      <c r="R84" s="35" t="str">
        <f aca="false">IF($G84&lt;&gt;"PIPE","",IFERROR(IF(O84&lt;&gt;"",O84/M84,IF(K84="M",L84,"")),""))</f>
        <v/>
      </c>
      <c r="S84" s="6" t="str">
        <f aca="false">IF($G84&lt;&gt;"PIPE","",IF(AND($AA84="○",OR($W84&lt;&gt;"○",배관기준!$AG$17="N"),$C84&lt;&gt;"매설",LEFT($F84,3)&lt;&gt;"STS",LEFT($F84,3)&lt;&gt;"SUS"),"Y","N"))</f>
        <v/>
      </c>
      <c r="T84" s="16"/>
      <c r="U84" s="21"/>
      <c r="V84" s="21"/>
      <c r="W84" s="6" t="str">
        <f aca="false">IF($G84="","",IFERROR(INDEX(배관집계!$AC$7:$AC$32,MATCH($AC84,배관집계!$AJ$7:$AJ$32,0))&amp;"",""))</f>
        <v/>
      </c>
      <c r="X84" s="6" t="str">
        <f aca="false">IF($G84="","",IFERROR(INDEX(배관집계!$AD$7:$AD$32,MATCH($AC84,배관집계!$AJ$7:$AJ$32,0))&amp;"",""))</f>
        <v/>
      </c>
      <c r="Y84" s="6" t="str">
        <f aca="false">IF($G84="","",IFERROR(INDEX(배관집계!$AE$7:$AE$32,MATCH($AC84,배관집계!$AJ$7:$AJ$32,0))&amp;"",""))</f>
        <v/>
      </c>
      <c r="Z84" s="6" t="str">
        <f aca="false">IF($G84="","",IFERROR(INDEX(배관집계!$AF$7:$AF$32,MATCH($AC84,배관집계!$AJ$7:$AJ$32,0))&amp;"",""))</f>
        <v/>
      </c>
      <c r="AA84" s="6" t="str">
        <f aca="false">IF($G84="","",IFERROR(INDEX(배관집계!$AG$7:$AG$32,MATCH($AC84,배관집계!$AJ$7:$AJ$32,0))&amp;"",""))</f>
        <v/>
      </c>
      <c r="AB84" s="6" t="str">
        <f aca="false">IF($G84="","",IFERROR(INDEX(배관집계!$AH$7:$AH$32,MATCH($AC84,배관집계!$AJ$7:$AJ$32,0))&amp;"",""))</f>
        <v/>
      </c>
      <c r="AC84" s="75" t="str">
        <f aca="false">IF($G84="","",$B84&amp;"|"&amp;$C84&amp;"|"&amp;$E84&amp;"|"&amp;$U84&amp;"|"&amp;$I84)</f>
        <v/>
      </c>
      <c r="AD84" s="76" t="str">
        <f aca="false">IF($G84="","",IF($B84&lt;&gt;"설치","",IF($G84="PIPE","PIPE",IF($G84="VALVE",IF(ISNUMBER(SEARCH("GLOBE",$H84)),"GLOBE",IF(ISNUMBER(SEARCH("GATE",$H84)),"GATE",IF(ISNUMBER(SEARCH("BUTTER",$H84)),"BFLY","VALVE기타"))),IF($G84="FITTING",IF(LEFT($H84,5)="ELBOW",IF($AE84=90,"90EL",IF($AE84=45,"45EL","비규격EL")),IF(LEFT($H84,6)="FLANGE","FLANGE",IF(ISNUMBER(SEARCH("TEE",$H84)),"TEE",""))),"")))))</f>
        <v/>
      </c>
      <c r="AE84" s="76" t="str">
        <f aca="false">IF(AND($G84="FITTING",LEFT($H84,5)="ELBOW"),IFERROR(VALUE(LEFT(MID($H84,7,12),MIN(IFERROR(FIND("L",MID($H84,7,12)),99),IFERROR(FIND("S",MID($H84,7,12)),99),IFERROR(FIND(" ",MID($H84,7,12)),99))-1)),""),"")</f>
        <v/>
      </c>
      <c r="AF84" s="77" t="n">
        <f aca="false">IF($AD84="비규격EL",N($L84)*RADIANS(N($AE84))*보온기준!$F$15*N($I84)*보온기준!$F$16/1000,0)</f>
        <v>0</v>
      </c>
      <c r="AG84" s="76" t="str">
        <f aca="false">IF($G84="","",IF(OR($AA84&lt;&gt;"○",LEFT($F84,3)="STS",LEFT($F84,3)="SUS",$C84="매설"),"Y","N"))</f>
        <v/>
      </c>
    </row>
    <row r="85" customFormat="false" ht="15" hidden="false" customHeight="true" outlineLevel="0" collapsed="false">
      <c r="A85" s="6"/>
      <c r="B85" s="21"/>
      <c r="C85" s="21"/>
      <c r="D85" s="21"/>
      <c r="E85" s="21"/>
      <c r="F85" s="21"/>
      <c r="G85" s="21"/>
      <c r="H85" s="59"/>
      <c r="I85" s="21"/>
      <c r="J85" s="21"/>
      <c r="K85" s="21"/>
      <c r="L85" s="78"/>
      <c r="M85" s="37" t="str">
        <f aca="false">IF($G85&lt;&gt;"PIPE","",IFERROR(1/(1/INDEX(배관단중표!$B$7:$W$41,MATCH($I85,배관단중표!$A$7:$A$41,0),MATCH(IF($J85="SPP","SPP",IF(LEFT($F85,3)="STS",IF(ISNUMBER(SEARCH("316",$F85)),"STS316","STS304"),"SPPS")&amp;"|"&amp;$J85),배관단중표!$B$6:$W$6,0))),"DB확인"))</f>
        <v/>
      </c>
      <c r="N85" s="79"/>
      <c r="O85" s="80"/>
      <c r="P85" s="54" t="str">
        <f aca="false">IF($G85="","",IFERROR(IF(O85&lt;&gt;"",O85,L85*IF(G85="PIPE",M85,N85)),0))</f>
        <v/>
      </c>
      <c r="Q85" s="6" t="str">
        <f aca="false">IF($G85="","",IF(G85="PIPE","P","F"))</f>
        <v/>
      </c>
      <c r="R85" s="35" t="str">
        <f aca="false">IF($G85&lt;&gt;"PIPE","",IFERROR(IF(O85&lt;&gt;"",O85/M85,IF(K85="M",L85,"")),""))</f>
        <v/>
      </c>
      <c r="S85" s="6" t="str">
        <f aca="false">IF($G85&lt;&gt;"PIPE","",IF(AND($AA85="○",OR($W85&lt;&gt;"○",배관기준!$AG$17="N"),$C85&lt;&gt;"매설",LEFT($F85,3)&lt;&gt;"STS",LEFT($F85,3)&lt;&gt;"SUS"),"Y","N"))</f>
        <v/>
      </c>
      <c r="T85" s="16"/>
      <c r="U85" s="21"/>
      <c r="V85" s="21"/>
      <c r="W85" s="6" t="str">
        <f aca="false">IF($G85="","",IFERROR(INDEX(배관집계!$AC$7:$AC$32,MATCH($AC85,배관집계!$AJ$7:$AJ$32,0))&amp;"",""))</f>
        <v/>
      </c>
      <c r="X85" s="6" t="str">
        <f aca="false">IF($G85="","",IFERROR(INDEX(배관집계!$AD$7:$AD$32,MATCH($AC85,배관집계!$AJ$7:$AJ$32,0))&amp;"",""))</f>
        <v/>
      </c>
      <c r="Y85" s="6" t="str">
        <f aca="false">IF($G85="","",IFERROR(INDEX(배관집계!$AE$7:$AE$32,MATCH($AC85,배관집계!$AJ$7:$AJ$32,0))&amp;"",""))</f>
        <v/>
      </c>
      <c r="Z85" s="6" t="str">
        <f aca="false">IF($G85="","",IFERROR(INDEX(배관집계!$AF$7:$AF$32,MATCH($AC85,배관집계!$AJ$7:$AJ$32,0))&amp;"",""))</f>
        <v/>
      </c>
      <c r="AA85" s="6" t="str">
        <f aca="false">IF($G85="","",IFERROR(INDEX(배관집계!$AG$7:$AG$32,MATCH($AC85,배관집계!$AJ$7:$AJ$32,0))&amp;"",""))</f>
        <v/>
      </c>
      <c r="AB85" s="6" t="str">
        <f aca="false">IF($G85="","",IFERROR(INDEX(배관집계!$AH$7:$AH$32,MATCH($AC85,배관집계!$AJ$7:$AJ$32,0))&amp;"",""))</f>
        <v/>
      </c>
      <c r="AC85" s="75" t="str">
        <f aca="false">IF($G85="","",$B85&amp;"|"&amp;$C85&amp;"|"&amp;$E85&amp;"|"&amp;$U85&amp;"|"&amp;$I85)</f>
        <v/>
      </c>
      <c r="AD85" s="76" t="str">
        <f aca="false">IF($G85="","",IF($B85&lt;&gt;"설치","",IF($G85="PIPE","PIPE",IF($G85="VALVE",IF(ISNUMBER(SEARCH("GLOBE",$H85)),"GLOBE",IF(ISNUMBER(SEARCH("GATE",$H85)),"GATE",IF(ISNUMBER(SEARCH("BUTTER",$H85)),"BFLY","VALVE기타"))),IF($G85="FITTING",IF(LEFT($H85,5)="ELBOW",IF($AE85=90,"90EL",IF($AE85=45,"45EL","비규격EL")),IF(LEFT($H85,6)="FLANGE","FLANGE",IF(ISNUMBER(SEARCH("TEE",$H85)),"TEE",""))),"")))))</f>
        <v/>
      </c>
      <c r="AE85" s="76" t="str">
        <f aca="false">IF(AND($G85="FITTING",LEFT($H85,5)="ELBOW"),IFERROR(VALUE(LEFT(MID($H85,7,12),MIN(IFERROR(FIND("L",MID($H85,7,12)),99),IFERROR(FIND("S",MID($H85,7,12)),99),IFERROR(FIND(" ",MID($H85,7,12)),99))-1)),""),"")</f>
        <v/>
      </c>
      <c r="AF85" s="77" t="n">
        <f aca="false">IF($AD85="비규격EL",N($L85)*RADIANS(N($AE85))*보온기준!$F$15*N($I85)*보온기준!$F$16/1000,0)</f>
        <v>0</v>
      </c>
      <c r="AG85" s="76" t="str">
        <f aca="false">IF($G85="","",IF(OR($AA85&lt;&gt;"○",LEFT($F85,3)="STS",LEFT($F85,3)="SUS",$C85="매설"),"Y","N"))</f>
        <v/>
      </c>
    </row>
    <row r="86" customFormat="false" ht="15" hidden="false" customHeight="true" outlineLevel="0" collapsed="false">
      <c r="A86" s="6"/>
      <c r="B86" s="21"/>
      <c r="C86" s="21"/>
      <c r="D86" s="21"/>
      <c r="E86" s="21"/>
      <c r="F86" s="21"/>
      <c r="G86" s="21"/>
      <c r="H86" s="59"/>
      <c r="I86" s="21"/>
      <c r="J86" s="21"/>
      <c r="K86" s="21"/>
      <c r="L86" s="78"/>
      <c r="M86" s="37" t="str">
        <f aca="false">IF($G86&lt;&gt;"PIPE","",IFERROR(1/(1/INDEX(배관단중표!$B$7:$W$41,MATCH($I86,배관단중표!$A$7:$A$41,0),MATCH(IF($J86="SPP","SPP",IF(LEFT($F86,3)="STS",IF(ISNUMBER(SEARCH("316",$F86)),"STS316","STS304"),"SPPS")&amp;"|"&amp;$J86),배관단중표!$B$6:$W$6,0))),"DB확인"))</f>
        <v/>
      </c>
      <c r="N86" s="79"/>
      <c r="O86" s="80"/>
      <c r="P86" s="54" t="str">
        <f aca="false">IF($G86="","",IFERROR(IF(O86&lt;&gt;"",O86,L86*IF(G86="PIPE",M86,N86)),0))</f>
        <v/>
      </c>
      <c r="Q86" s="6" t="str">
        <f aca="false">IF($G86="","",IF(G86="PIPE","P","F"))</f>
        <v/>
      </c>
      <c r="R86" s="35" t="str">
        <f aca="false">IF($G86&lt;&gt;"PIPE","",IFERROR(IF(O86&lt;&gt;"",O86/M86,IF(K86="M",L86,"")),""))</f>
        <v/>
      </c>
      <c r="S86" s="6" t="str">
        <f aca="false">IF($G86&lt;&gt;"PIPE","",IF(AND($AA86="○",OR($W86&lt;&gt;"○",배관기준!$AG$17="N"),$C86&lt;&gt;"매설",LEFT($F86,3)&lt;&gt;"STS",LEFT($F86,3)&lt;&gt;"SUS"),"Y","N"))</f>
        <v/>
      </c>
      <c r="T86" s="16"/>
      <c r="U86" s="21"/>
      <c r="V86" s="21"/>
      <c r="W86" s="6" t="str">
        <f aca="false">IF($G86="","",IFERROR(INDEX(배관집계!$AC$7:$AC$32,MATCH($AC86,배관집계!$AJ$7:$AJ$32,0))&amp;"",""))</f>
        <v/>
      </c>
      <c r="X86" s="6" t="str">
        <f aca="false">IF($G86="","",IFERROR(INDEX(배관집계!$AD$7:$AD$32,MATCH($AC86,배관집계!$AJ$7:$AJ$32,0))&amp;"",""))</f>
        <v/>
      </c>
      <c r="Y86" s="6" t="str">
        <f aca="false">IF($G86="","",IFERROR(INDEX(배관집계!$AE$7:$AE$32,MATCH($AC86,배관집계!$AJ$7:$AJ$32,0))&amp;"",""))</f>
        <v/>
      </c>
      <c r="Z86" s="6" t="str">
        <f aca="false">IF($G86="","",IFERROR(INDEX(배관집계!$AF$7:$AF$32,MATCH($AC86,배관집계!$AJ$7:$AJ$32,0))&amp;"",""))</f>
        <v/>
      </c>
      <c r="AA86" s="6" t="str">
        <f aca="false">IF($G86="","",IFERROR(INDEX(배관집계!$AG$7:$AG$32,MATCH($AC86,배관집계!$AJ$7:$AJ$32,0))&amp;"",""))</f>
        <v/>
      </c>
      <c r="AB86" s="6" t="str">
        <f aca="false">IF($G86="","",IFERROR(INDEX(배관집계!$AH$7:$AH$32,MATCH($AC86,배관집계!$AJ$7:$AJ$32,0))&amp;"",""))</f>
        <v/>
      </c>
      <c r="AC86" s="75" t="str">
        <f aca="false">IF($G86="","",$B86&amp;"|"&amp;$C86&amp;"|"&amp;$E86&amp;"|"&amp;$U86&amp;"|"&amp;$I86)</f>
        <v/>
      </c>
      <c r="AD86" s="76" t="str">
        <f aca="false">IF($G86="","",IF($B86&lt;&gt;"설치","",IF($G86="PIPE","PIPE",IF($G86="VALVE",IF(ISNUMBER(SEARCH("GLOBE",$H86)),"GLOBE",IF(ISNUMBER(SEARCH("GATE",$H86)),"GATE",IF(ISNUMBER(SEARCH("BUTTER",$H86)),"BFLY","VALVE기타"))),IF($G86="FITTING",IF(LEFT($H86,5)="ELBOW",IF($AE86=90,"90EL",IF($AE86=45,"45EL","비규격EL")),IF(LEFT($H86,6)="FLANGE","FLANGE",IF(ISNUMBER(SEARCH("TEE",$H86)),"TEE",""))),"")))))</f>
        <v/>
      </c>
      <c r="AE86" s="76" t="str">
        <f aca="false">IF(AND($G86="FITTING",LEFT($H86,5)="ELBOW"),IFERROR(VALUE(LEFT(MID($H86,7,12),MIN(IFERROR(FIND("L",MID($H86,7,12)),99),IFERROR(FIND("S",MID($H86,7,12)),99),IFERROR(FIND(" ",MID($H86,7,12)),99))-1)),""),"")</f>
        <v/>
      </c>
      <c r="AF86" s="77" t="n">
        <f aca="false">IF($AD86="비규격EL",N($L86)*RADIANS(N($AE86))*보온기준!$F$15*N($I86)*보온기준!$F$16/1000,0)</f>
        <v>0</v>
      </c>
      <c r="AG86" s="76" t="str">
        <f aca="false">IF($G86="","",IF(OR($AA86&lt;&gt;"○",LEFT($F86,3)="STS",LEFT($F86,3)="SUS",$C86="매설"),"Y","N"))</f>
        <v/>
      </c>
    </row>
    <row r="87" customFormat="false" ht="15" hidden="false" customHeight="true" outlineLevel="0" collapsed="false">
      <c r="A87" s="6"/>
      <c r="B87" s="21"/>
      <c r="C87" s="21"/>
      <c r="D87" s="21"/>
      <c r="E87" s="21"/>
      <c r="F87" s="21"/>
      <c r="G87" s="21"/>
      <c r="H87" s="59"/>
      <c r="I87" s="21"/>
      <c r="J87" s="21"/>
      <c r="K87" s="21"/>
      <c r="L87" s="78"/>
      <c r="M87" s="37" t="str">
        <f aca="false">IF($G87&lt;&gt;"PIPE","",IFERROR(1/(1/INDEX(배관단중표!$B$7:$W$41,MATCH($I87,배관단중표!$A$7:$A$41,0),MATCH(IF($J87="SPP","SPP",IF(LEFT($F87,3)="STS",IF(ISNUMBER(SEARCH("316",$F87)),"STS316","STS304"),"SPPS")&amp;"|"&amp;$J87),배관단중표!$B$6:$W$6,0))),"DB확인"))</f>
        <v/>
      </c>
      <c r="N87" s="79"/>
      <c r="O87" s="80"/>
      <c r="P87" s="54" t="str">
        <f aca="false">IF($G87="","",IFERROR(IF(O87&lt;&gt;"",O87,L87*IF(G87="PIPE",M87,N87)),0))</f>
        <v/>
      </c>
      <c r="Q87" s="6" t="str">
        <f aca="false">IF($G87="","",IF(G87="PIPE","P","F"))</f>
        <v/>
      </c>
      <c r="R87" s="35" t="str">
        <f aca="false">IF($G87&lt;&gt;"PIPE","",IFERROR(IF(O87&lt;&gt;"",O87/M87,IF(K87="M",L87,"")),""))</f>
        <v/>
      </c>
      <c r="S87" s="6" t="str">
        <f aca="false">IF($G87&lt;&gt;"PIPE","",IF(AND($AA87="○",OR($W87&lt;&gt;"○",배관기준!$AG$17="N"),$C87&lt;&gt;"매설",LEFT($F87,3)&lt;&gt;"STS",LEFT($F87,3)&lt;&gt;"SUS"),"Y","N"))</f>
        <v/>
      </c>
      <c r="T87" s="16"/>
      <c r="U87" s="21"/>
      <c r="V87" s="21"/>
      <c r="W87" s="6" t="str">
        <f aca="false">IF($G87="","",IFERROR(INDEX(배관집계!$AC$7:$AC$32,MATCH($AC87,배관집계!$AJ$7:$AJ$32,0))&amp;"",""))</f>
        <v/>
      </c>
      <c r="X87" s="6" t="str">
        <f aca="false">IF($G87="","",IFERROR(INDEX(배관집계!$AD$7:$AD$32,MATCH($AC87,배관집계!$AJ$7:$AJ$32,0))&amp;"",""))</f>
        <v/>
      </c>
      <c r="Y87" s="6" t="str">
        <f aca="false">IF($G87="","",IFERROR(INDEX(배관집계!$AE$7:$AE$32,MATCH($AC87,배관집계!$AJ$7:$AJ$32,0))&amp;"",""))</f>
        <v/>
      </c>
      <c r="Z87" s="6" t="str">
        <f aca="false">IF($G87="","",IFERROR(INDEX(배관집계!$AF$7:$AF$32,MATCH($AC87,배관집계!$AJ$7:$AJ$32,0))&amp;"",""))</f>
        <v/>
      </c>
      <c r="AA87" s="6" t="str">
        <f aca="false">IF($G87="","",IFERROR(INDEX(배관집계!$AG$7:$AG$32,MATCH($AC87,배관집계!$AJ$7:$AJ$32,0))&amp;"",""))</f>
        <v/>
      </c>
      <c r="AB87" s="6" t="str">
        <f aca="false">IF($G87="","",IFERROR(INDEX(배관집계!$AH$7:$AH$32,MATCH($AC87,배관집계!$AJ$7:$AJ$32,0))&amp;"",""))</f>
        <v/>
      </c>
      <c r="AC87" s="75" t="str">
        <f aca="false">IF($G87="","",$B87&amp;"|"&amp;$C87&amp;"|"&amp;$E87&amp;"|"&amp;$U87&amp;"|"&amp;$I87)</f>
        <v/>
      </c>
      <c r="AD87" s="76" t="str">
        <f aca="false">IF($G87="","",IF($B87&lt;&gt;"설치","",IF($G87="PIPE","PIPE",IF($G87="VALVE",IF(ISNUMBER(SEARCH("GLOBE",$H87)),"GLOBE",IF(ISNUMBER(SEARCH("GATE",$H87)),"GATE",IF(ISNUMBER(SEARCH("BUTTER",$H87)),"BFLY","VALVE기타"))),IF($G87="FITTING",IF(LEFT($H87,5)="ELBOW",IF($AE87=90,"90EL",IF($AE87=45,"45EL","비규격EL")),IF(LEFT($H87,6)="FLANGE","FLANGE",IF(ISNUMBER(SEARCH("TEE",$H87)),"TEE",""))),"")))))</f>
        <v/>
      </c>
      <c r="AE87" s="76" t="str">
        <f aca="false">IF(AND($G87="FITTING",LEFT($H87,5)="ELBOW"),IFERROR(VALUE(LEFT(MID($H87,7,12),MIN(IFERROR(FIND("L",MID($H87,7,12)),99),IFERROR(FIND("S",MID($H87,7,12)),99),IFERROR(FIND(" ",MID($H87,7,12)),99))-1)),""),"")</f>
        <v/>
      </c>
      <c r="AF87" s="77" t="n">
        <f aca="false">IF($AD87="비규격EL",N($L87)*RADIANS(N($AE87))*보온기준!$F$15*N($I87)*보온기준!$F$16/1000,0)</f>
        <v>0</v>
      </c>
      <c r="AG87" s="76" t="str">
        <f aca="false">IF($G87="","",IF(OR($AA87&lt;&gt;"○",LEFT($F87,3)="STS",LEFT($F87,3)="SUS",$C87="매설"),"Y","N"))</f>
        <v/>
      </c>
    </row>
    <row r="88" customFormat="false" ht="15" hidden="false" customHeight="true" outlineLevel="0" collapsed="false">
      <c r="A88" s="6"/>
      <c r="B88" s="21"/>
      <c r="C88" s="21"/>
      <c r="D88" s="21"/>
      <c r="E88" s="21"/>
      <c r="F88" s="21"/>
      <c r="G88" s="21"/>
      <c r="H88" s="59"/>
      <c r="I88" s="21"/>
      <c r="J88" s="21"/>
      <c r="K88" s="21"/>
      <c r="L88" s="78"/>
      <c r="M88" s="37" t="str">
        <f aca="false">IF($G88&lt;&gt;"PIPE","",IFERROR(1/(1/INDEX(배관단중표!$B$7:$W$41,MATCH($I88,배관단중표!$A$7:$A$41,0),MATCH(IF($J88="SPP","SPP",IF(LEFT($F88,3)="STS",IF(ISNUMBER(SEARCH("316",$F88)),"STS316","STS304"),"SPPS")&amp;"|"&amp;$J88),배관단중표!$B$6:$W$6,0))),"DB확인"))</f>
        <v/>
      </c>
      <c r="N88" s="79"/>
      <c r="O88" s="80"/>
      <c r="P88" s="54" t="str">
        <f aca="false">IF($G88="","",IFERROR(IF(O88&lt;&gt;"",O88,L88*IF(G88="PIPE",M88,N88)),0))</f>
        <v/>
      </c>
      <c r="Q88" s="6" t="str">
        <f aca="false">IF($G88="","",IF(G88="PIPE","P","F"))</f>
        <v/>
      </c>
      <c r="R88" s="35" t="str">
        <f aca="false">IF($G88&lt;&gt;"PIPE","",IFERROR(IF(O88&lt;&gt;"",O88/M88,IF(K88="M",L88,"")),""))</f>
        <v/>
      </c>
      <c r="S88" s="6" t="str">
        <f aca="false">IF($G88&lt;&gt;"PIPE","",IF(AND($AA88="○",OR($W88&lt;&gt;"○",배관기준!$AG$17="N"),$C88&lt;&gt;"매설",LEFT($F88,3)&lt;&gt;"STS",LEFT($F88,3)&lt;&gt;"SUS"),"Y","N"))</f>
        <v/>
      </c>
      <c r="T88" s="16"/>
      <c r="U88" s="21"/>
      <c r="V88" s="21"/>
      <c r="W88" s="6" t="str">
        <f aca="false">IF($G88="","",IFERROR(INDEX(배관집계!$AC$7:$AC$32,MATCH($AC88,배관집계!$AJ$7:$AJ$32,0))&amp;"",""))</f>
        <v/>
      </c>
      <c r="X88" s="6" t="str">
        <f aca="false">IF($G88="","",IFERROR(INDEX(배관집계!$AD$7:$AD$32,MATCH($AC88,배관집계!$AJ$7:$AJ$32,0))&amp;"",""))</f>
        <v/>
      </c>
      <c r="Y88" s="6" t="str">
        <f aca="false">IF($G88="","",IFERROR(INDEX(배관집계!$AE$7:$AE$32,MATCH($AC88,배관집계!$AJ$7:$AJ$32,0))&amp;"",""))</f>
        <v/>
      </c>
      <c r="Z88" s="6" t="str">
        <f aca="false">IF($G88="","",IFERROR(INDEX(배관집계!$AF$7:$AF$32,MATCH($AC88,배관집계!$AJ$7:$AJ$32,0))&amp;"",""))</f>
        <v/>
      </c>
      <c r="AA88" s="6" t="str">
        <f aca="false">IF($G88="","",IFERROR(INDEX(배관집계!$AG$7:$AG$32,MATCH($AC88,배관집계!$AJ$7:$AJ$32,0))&amp;"",""))</f>
        <v/>
      </c>
      <c r="AB88" s="6" t="str">
        <f aca="false">IF($G88="","",IFERROR(INDEX(배관집계!$AH$7:$AH$32,MATCH($AC88,배관집계!$AJ$7:$AJ$32,0))&amp;"",""))</f>
        <v/>
      </c>
      <c r="AC88" s="75" t="str">
        <f aca="false">IF($G88="","",$B88&amp;"|"&amp;$C88&amp;"|"&amp;$E88&amp;"|"&amp;$U88&amp;"|"&amp;$I88)</f>
        <v/>
      </c>
      <c r="AD88" s="76" t="str">
        <f aca="false">IF($G88="","",IF($B88&lt;&gt;"설치","",IF($G88="PIPE","PIPE",IF($G88="VALVE",IF(ISNUMBER(SEARCH("GLOBE",$H88)),"GLOBE",IF(ISNUMBER(SEARCH("GATE",$H88)),"GATE",IF(ISNUMBER(SEARCH("BUTTER",$H88)),"BFLY","VALVE기타"))),IF($G88="FITTING",IF(LEFT($H88,5)="ELBOW",IF($AE88=90,"90EL",IF($AE88=45,"45EL","비규격EL")),IF(LEFT($H88,6)="FLANGE","FLANGE",IF(ISNUMBER(SEARCH("TEE",$H88)),"TEE",""))),"")))))</f>
        <v/>
      </c>
      <c r="AE88" s="76" t="str">
        <f aca="false">IF(AND($G88="FITTING",LEFT($H88,5)="ELBOW"),IFERROR(VALUE(LEFT(MID($H88,7,12),MIN(IFERROR(FIND("L",MID($H88,7,12)),99),IFERROR(FIND("S",MID($H88,7,12)),99),IFERROR(FIND(" ",MID($H88,7,12)),99))-1)),""),"")</f>
        <v/>
      </c>
      <c r="AF88" s="77" t="n">
        <f aca="false">IF($AD88="비규격EL",N($L88)*RADIANS(N($AE88))*보온기준!$F$15*N($I88)*보온기준!$F$16/1000,0)</f>
        <v>0</v>
      </c>
      <c r="AG88" s="76" t="str">
        <f aca="false">IF($G88="","",IF(OR($AA88&lt;&gt;"○",LEFT($F88,3)="STS",LEFT($F88,3)="SUS",$C88="매설"),"Y","N"))</f>
        <v/>
      </c>
    </row>
    <row r="89" customFormat="false" ht="15" hidden="false" customHeight="true" outlineLevel="0" collapsed="false">
      <c r="A89" s="6"/>
      <c r="B89" s="21"/>
      <c r="C89" s="21"/>
      <c r="D89" s="21"/>
      <c r="E89" s="21"/>
      <c r="F89" s="21"/>
      <c r="G89" s="21"/>
      <c r="H89" s="59"/>
      <c r="I89" s="21"/>
      <c r="J89" s="21"/>
      <c r="K89" s="21"/>
      <c r="L89" s="78"/>
      <c r="M89" s="37" t="str">
        <f aca="false">IF($G89&lt;&gt;"PIPE","",IFERROR(1/(1/INDEX(배관단중표!$B$7:$W$41,MATCH($I89,배관단중표!$A$7:$A$41,0),MATCH(IF($J89="SPP","SPP",IF(LEFT($F89,3)="STS",IF(ISNUMBER(SEARCH("316",$F89)),"STS316","STS304"),"SPPS")&amp;"|"&amp;$J89),배관단중표!$B$6:$W$6,0))),"DB확인"))</f>
        <v/>
      </c>
      <c r="N89" s="79"/>
      <c r="O89" s="80"/>
      <c r="P89" s="54" t="str">
        <f aca="false">IF($G89="","",IFERROR(IF(O89&lt;&gt;"",O89,L89*IF(G89="PIPE",M89,N89)),0))</f>
        <v/>
      </c>
      <c r="Q89" s="6" t="str">
        <f aca="false">IF($G89="","",IF(G89="PIPE","P","F"))</f>
        <v/>
      </c>
      <c r="R89" s="35" t="str">
        <f aca="false">IF($G89&lt;&gt;"PIPE","",IFERROR(IF(O89&lt;&gt;"",O89/M89,IF(K89="M",L89,"")),""))</f>
        <v/>
      </c>
      <c r="S89" s="6" t="str">
        <f aca="false">IF($G89&lt;&gt;"PIPE","",IF(AND($AA89="○",OR($W89&lt;&gt;"○",배관기준!$AG$17="N"),$C89&lt;&gt;"매설",LEFT($F89,3)&lt;&gt;"STS",LEFT($F89,3)&lt;&gt;"SUS"),"Y","N"))</f>
        <v/>
      </c>
      <c r="T89" s="16"/>
      <c r="U89" s="21"/>
      <c r="V89" s="21"/>
      <c r="W89" s="6" t="str">
        <f aca="false">IF($G89="","",IFERROR(INDEX(배관집계!$AC$7:$AC$32,MATCH($AC89,배관집계!$AJ$7:$AJ$32,0))&amp;"",""))</f>
        <v/>
      </c>
      <c r="X89" s="6" t="str">
        <f aca="false">IF($G89="","",IFERROR(INDEX(배관집계!$AD$7:$AD$32,MATCH($AC89,배관집계!$AJ$7:$AJ$32,0))&amp;"",""))</f>
        <v/>
      </c>
      <c r="Y89" s="6" t="str">
        <f aca="false">IF($G89="","",IFERROR(INDEX(배관집계!$AE$7:$AE$32,MATCH($AC89,배관집계!$AJ$7:$AJ$32,0))&amp;"",""))</f>
        <v/>
      </c>
      <c r="Z89" s="6" t="str">
        <f aca="false">IF($G89="","",IFERROR(INDEX(배관집계!$AF$7:$AF$32,MATCH($AC89,배관집계!$AJ$7:$AJ$32,0))&amp;"",""))</f>
        <v/>
      </c>
      <c r="AA89" s="6" t="str">
        <f aca="false">IF($G89="","",IFERROR(INDEX(배관집계!$AG$7:$AG$32,MATCH($AC89,배관집계!$AJ$7:$AJ$32,0))&amp;"",""))</f>
        <v/>
      </c>
      <c r="AB89" s="6" t="str">
        <f aca="false">IF($G89="","",IFERROR(INDEX(배관집계!$AH$7:$AH$32,MATCH($AC89,배관집계!$AJ$7:$AJ$32,0))&amp;"",""))</f>
        <v/>
      </c>
      <c r="AC89" s="75" t="str">
        <f aca="false">IF($G89="","",$B89&amp;"|"&amp;$C89&amp;"|"&amp;$E89&amp;"|"&amp;$U89&amp;"|"&amp;$I89)</f>
        <v/>
      </c>
      <c r="AD89" s="76" t="str">
        <f aca="false">IF($G89="","",IF($B89&lt;&gt;"설치","",IF($G89="PIPE","PIPE",IF($G89="VALVE",IF(ISNUMBER(SEARCH("GLOBE",$H89)),"GLOBE",IF(ISNUMBER(SEARCH("GATE",$H89)),"GATE",IF(ISNUMBER(SEARCH("BUTTER",$H89)),"BFLY","VALVE기타"))),IF($G89="FITTING",IF(LEFT($H89,5)="ELBOW",IF($AE89=90,"90EL",IF($AE89=45,"45EL","비규격EL")),IF(LEFT($H89,6)="FLANGE","FLANGE",IF(ISNUMBER(SEARCH("TEE",$H89)),"TEE",""))),"")))))</f>
        <v/>
      </c>
      <c r="AE89" s="76" t="str">
        <f aca="false">IF(AND($G89="FITTING",LEFT($H89,5)="ELBOW"),IFERROR(VALUE(LEFT(MID($H89,7,12),MIN(IFERROR(FIND("L",MID($H89,7,12)),99),IFERROR(FIND("S",MID($H89,7,12)),99),IFERROR(FIND(" ",MID($H89,7,12)),99))-1)),""),"")</f>
        <v/>
      </c>
      <c r="AF89" s="77" t="n">
        <f aca="false">IF($AD89="비규격EL",N($L89)*RADIANS(N($AE89))*보온기준!$F$15*N($I89)*보온기준!$F$16/1000,0)</f>
        <v>0</v>
      </c>
      <c r="AG89" s="76" t="str">
        <f aca="false">IF($G89="","",IF(OR($AA89&lt;&gt;"○",LEFT($F89,3)="STS",LEFT($F89,3)="SUS",$C89="매설"),"Y","N"))</f>
        <v/>
      </c>
    </row>
    <row r="90" customFormat="false" ht="15" hidden="false" customHeight="true" outlineLevel="0" collapsed="false">
      <c r="A90" s="6"/>
      <c r="B90" s="21"/>
      <c r="C90" s="21"/>
      <c r="D90" s="21"/>
      <c r="E90" s="21"/>
      <c r="F90" s="21"/>
      <c r="G90" s="21"/>
      <c r="H90" s="59"/>
      <c r="I90" s="21"/>
      <c r="J90" s="21"/>
      <c r="K90" s="21"/>
      <c r="L90" s="78"/>
      <c r="M90" s="37" t="str">
        <f aca="false">IF($G90&lt;&gt;"PIPE","",IFERROR(1/(1/INDEX(배관단중표!$B$7:$W$41,MATCH($I90,배관단중표!$A$7:$A$41,0),MATCH(IF($J90="SPP","SPP",IF(LEFT($F90,3)="STS",IF(ISNUMBER(SEARCH("316",$F90)),"STS316","STS304"),"SPPS")&amp;"|"&amp;$J90),배관단중표!$B$6:$W$6,0))),"DB확인"))</f>
        <v/>
      </c>
      <c r="N90" s="79"/>
      <c r="O90" s="80"/>
      <c r="P90" s="54" t="str">
        <f aca="false">IF($G90="","",IFERROR(IF(O90&lt;&gt;"",O90,L90*IF(G90="PIPE",M90,N90)),0))</f>
        <v/>
      </c>
      <c r="Q90" s="6" t="str">
        <f aca="false">IF($G90="","",IF(G90="PIPE","P","F"))</f>
        <v/>
      </c>
      <c r="R90" s="35" t="str">
        <f aca="false">IF($G90&lt;&gt;"PIPE","",IFERROR(IF(O90&lt;&gt;"",O90/M90,IF(K90="M",L90,"")),""))</f>
        <v/>
      </c>
      <c r="S90" s="6" t="str">
        <f aca="false">IF($G90&lt;&gt;"PIPE","",IF(AND($AA90="○",OR($W90&lt;&gt;"○",배관기준!$AG$17="N"),$C90&lt;&gt;"매설",LEFT($F90,3)&lt;&gt;"STS",LEFT($F90,3)&lt;&gt;"SUS"),"Y","N"))</f>
        <v/>
      </c>
      <c r="T90" s="16"/>
      <c r="U90" s="21"/>
      <c r="V90" s="21"/>
      <c r="W90" s="6" t="str">
        <f aca="false">IF($G90="","",IFERROR(INDEX(배관집계!$AC$7:$AC$32,MATCH($AC90,배관집계!$AJ$7:$AJ$32,0))&amp;"",""))</f>
        <v/>
      </c>
      <c r="X90" s="6" t="str">
        <f aca="false">IF($G90="","",IFERROR(INDEX(배관집계!$AD$7:$AD$32,MATCH($AC90,배관집계!$AJ$7:$AJ$32,0))&amp;"",""))</f>
        <v/>
      </c>
      <c r="Y90" s="6" t="str">
        <f aca="false">IF($G90="","",IFERROR(INDEX(배관집계!$AE$7:$AE$32,MATCH($AC90,배관집계!$AJ$7:$AJ$32,0))&amp;"",""))</f>
        <v/>
      </c>
      <c r="Z90" s="6" t="str">
        <f aca="false">IF($G90="","",IFERROR(INDEX(배관집계!$AF$7:$AF$32,MATCH($AC90,배관집계!$AJ$7:$AJ$32,0))&amp;"",""))</f>
        <v/>
      </c>
      <c r="AA90" s="6" t="str">
        <f aca="false">IF($G90="","",IFERROR(INDEX(배관집계!$AG$7:$AG$32,MATCH($AC90,배관집계!$AJ$7:$AJ$32,0))&amp;"",""))</f>
        <v/>
      </c>
      <c r="AB90" s="6" t="str">
        <f aca="false">IF($G90="","",IFERROR(INDEX(배관집계!$AH$7:$AH$32,MATCH($AC90,배관집계!$AJ$7:$AJ$32,0))&amp;"",""))</f>
        <v/>
      </c>
      <c r="AC90" s="75" t="str">
        <f aca="false">IF($G90="","",$B90&amp;"|"&amp;$C90&amp;"|"&amp;$E90&amp;"|"&amp;$U90&amp;"|"&amp;$I90)</f>
        <v/>
      </c>
      <c r="AD90" s="76" t="str">
        <f aca="false">IF($G90="","",IF($B90&lt;&gt;"설치","",IF($G90="PIPE","PIPE",IF($G90="VALVE",IF(ISNUMBER(SEARCH("GLOBE",$H90)),"GLOBE",IF(ISNUMBER(SEARCH("GATE",$H90)),"GATE",IF(ISNUMBER(SEARCH("BUTTER",$H90)),"BFLY","VALVE기타"))),IF($G90="FITTING",IF(LEFT($H90,5)="ELBOW",IF($AE90=90,"90EL",IF($AE90=45,"45EL","비규격EL")),IF(LEFT($H90,6)="FLANGE","FLANGE",IF(ISNUMBER(SEARCH("TEE",$H90)),"TEE",""))),"")))))</f>
        <v/>
      </c>
      <c r="AE90" s="76" t="str">
        <f aca="false">IF(AND($G90="FITTING",LEFT($H90,5)="ELBOW"),IFERROR(VALUE(LEFT(MID($H90,7,12),MIN(IFERROR(FIND("L",MID($H90,7,12)),99),IFERROR(FIND("S",MID($H90,7,12)),99),IFERROR(FIND(" ",MID($H90,7,12)),99))-1)),""),"")</f>
        <v/>
      </c>
      <c r="AF90" s="77" t="n">
        <f aca="false">IF($AD90="비규격EL",N($L90)*RADIANS(N($AE90))*보온기준!$F$15*N($I90)*보온기준!$F$16/1000,0)</f>
        <v>0</v>
      </c>
      <c r="AG90" s="76" t="str">
        <f aca="false">IF($G90="","",IF(OR($AA90&lt;&gt;"○",LEFT($F90,3)="STS",LEFT($F90,3)="SUS",$C90="매설"),"Y","N"))</f>
        <v/>
      </c>
    </row>
    <row r="91" customFormat="false" ht="15" hidden="false" customHeight="true" outlineLevel="0" collapsed="false">
      <c r="A91" s="6"/>
      <c r="B91" s="21"/>
      <c r="C91" s="21"/>
      <c r="D91" s="21"/>
      <c r="E91" s="21"/>
      <c r="F91" s="21"/>
      <c r="G91" s="21"/>
      <c r="H91" s="59"/>
      <c r="I91" s="21"/>
      <c r="J91" s="21"/>
      <c r="K91" s="21"/>
      <c r="L91" s="78"/>
      <c r="M91" s="37" t="str">
        <f aca="false">IF($G91&lt;&gt;"PIPE","",IFERROR(1/(1/INDEX(배관단중표!$B$7:$W$41,MATCH($I91,배관단중표!$A$7:$A$41,0),MATCH(IF($J91="SPP","SPP",IF(LEFT($F91,3)="STS",IF(ISNUMBER(SEARCH("316",$F91)),"STS316","STS304"),"SPPS")&amp;"|"&amp;$J91),배관단중표!$B$6:$W$6,0))),"DB확인"))</f>
        <v/>
      </c>
      <c r="N91" s="79"/>
      <c r="O91" s="80"/>
      <c r="P91" s="54" t="str">
        <f aca="false">IF($G91="","",IFERROR(IF(O91&lt;&gt;"",O91,L91*IF(G91="PIPE",M91,N91)),0))</f>
        <v/>
      </c>
      <c r="Q91" s="6" t="str">
        <f aca="false">IF($G91="","",IF(G91="PIPE","P","F"))</f>
        <v/>
      </c>
      <c r="R91" s="35" t="str">
        <f aca="false">IF($G91&lt;&gt;"PIPE","",IFERROR(IF(O91&lt;&gt;"",O91/M91,IF(K91="M",L91,"")),""))</f>
        <v/>
      </c>
      <c r="S91" s="6" t="str">
        <f aca="false">IF($G91&lt;&gt;"PIPE","",IF(AND($AA91="○",OR($W91&lt;&gt;"○",배관기준!$AG$17="N"),$C91&lt;&gt;"매설",LEFT($F91,3)&lt;&gt;"STS",LEFT($F91,3)&lt;&gt;"SUS"),"Y","N"))</f>
        <v/>
      </c>
      <c r="T91" s="16"/>
      <c r="U91" s="21"/>
      <c r="V91" s="21"/>
      <c r="W91" s="6" t="str">
        <f aca="false">IF($G91="","",IFERROR(INDEX(배관집계!$AC$7:$AC$32,MATCH($AC91,배관집계!$AJ$7:$AJ$32,0))&amp;"",""))</f>
        <v/>
      </c>
      <c r="X91" s="6" t="str">
        <f aca="false">IF($G91="","",IFERROR(INDEX(배관집계!$AD$7:$AD$32,MATCH($AC91,배관집계!$AJ$7:$AJ$32,0))&amp;"",""))</f>
        <v/>
      </c>
      <c r="Y91" s="6" t="str">
        <f aca="false">IF($G91="","",IFERROR(INDEX(배관집계!$AE$7:$AE$32,MATCH($AC91,배관집계!$AJ$7:$AJ$32,0))&amp;"",""))</f>
        <v/>
      </c>
      <c r="Z91" s="6" t="str">
        <f aca="false">IF($G91="","",IFERROR(INDEX(배관집계!$AF$7:$AF$32,MATCH($AC91,배관집계!$AJ$7:$AJ$32,0))&amp;"",""))</f>
        <v/>
      </c>
      <c r="AA91" s="6" t="str">
        <f aca="false">IF($G91="","",IFERROR(INDEX(배관집계!$AG$7:$AG$32,MATCH($AC91,배관집계!$AJ$7:$AJ$32,0))&amp;"",""))</f>
        <v/>
      </c>
      <c r="AB91" s="6" t="str">
        <f aca="false">IF($G91="","",IFERROR(INDEX(배관집계!$AH$7:$AH$32,MATCH($AC91,배관집계!$AJ$7:$AJ$32,0))&amp;"",""))</f>
        <v/>
      </c>
      <c r="AC91" s="75" t="str">
        <f aca="false">IF($G91="","",$B91&amp;"|"&amp;$C91&amp;"|"&amp;$E91&amp;"|"&amp;$U91&amp;"|"&amp;$I91)</f>
        <v/>
      </c>
      <c r="AD91" s="76" t="str">
        <f aca="false">IF($G91="","",IF($B91&lt;&gt;"설치","",IF($G91="PIPE","PIPE",IF($G91="VALVE",IF(ISNUMBER(SEARCH("GLOBE",$H91)),"GLOBE",IF(ISNUMBER(SEARCH("GATE",$H91)),"GATE",IF(ISNUMBER(SEARCH("BUTTER",$H91)),"BFLY","VALVE기타"))),IF($G91="FITTING",IF(LEFT($H91,5)="ELBOW",IF($AE91=90,"90EL",IF($AE91=45,"45EL","비규격EL")),IF(LEFT($H91,6)="FLANGE","FLANGE",IF(ISNUMBER(SEARCH("TEE",$H91)),"TEE",""))),"")))))</f>
        <v/>
      </c>
      <c r="AE91" s="76" t="str">
        <f aca="false">IF(AND($G91="FITTING",LEFT($H91,5)="ELBOW"),IFERROR(VALUE(LEFT(MID($H91,7,12),MIN(IFERROR(FIND("L",MID($H91,7,12)),99),IFERROR(FIND("S",MID($H91,7,12)),99),IFERROR(FIND(" ",MID($H91,7,12)),99))-1)),""),"")</f>
        <v/>
      </c>
      <c r="AF91" s="77" t="n">
        <f aca="false">IF($AD91="비규격EL",N($L91)*RADIANS(N($AE91))*보온기준!$F$15*N($I91)*보온기준!$F$16/1000,0)</f>
        <v>0</v>
      </c>
      <c r="AG91" s="76" t="str">
        <f aca="false">IF($G91="","",IF(OR($AA91&lt;&gt;"○",LEFT($F91,3)="STS",LEFT($F91,3)="SUS",$C91="매설"),"Y","N"))</f>
        <v/>
      </c>
    </row>
    <row r="92" customFormat="false" ht="15" hidden="false" customHeight="true" outlineLevel="0" collapsed="false">
      <c r="A92" s="6"/>
      <c r="B92" s="21"/>
      <c r="C92" s="21"/>
      <c r="D92" s="21"/>
      <c r="E92" s="21"/>
      <c r="F92" s="21"/>
      <c r="G92" s="21"/>
      <c r="H92" s="59"/>
      <c r="I92" s="21"/>
      <c r="J92" s="21"/>
      <c r="K92" s="21"/>
      <c r="L92" s="78"/>
      <c r="M92" s="37" t="str">
        <f aca="false">IF($G92&lt;&gt;"PIPE","",IFERROR(1/(1/INDEX(배관단중표!$B$7:$W$41,MATCH($I92,배관단중표!$A$7:$A$41,0),MATCH(IF($J92="SPP","SPP",IF(LEFT($F92,3)="STS",IF(ISNUMBER(SEARCH("316",$F92)),"STS316","STS304"),"SPPS")&amp;"|"&amp;$J92),배관단중표!$B$6:$W$6,0))),"DB확인"))</f>
        <v/>
      </c>
      <c r="N92" s="79"/>
      <c r="O92" s="80"/>
      <c r="P92" s="54" t="str">
        <f aca="false">IF($G92="","",IFERROR(IF(O92&lt;&gt;"",O92,L92*IF(G92="PIPE",M92,N92)),0))</f>
        <v/>
      </c>
      <c r="Q92" s="6" t="str">
        <f aca="false">IF($G92="","",IF(G92="PIPE","P","F"))</f>
        <v/>
      </c>
      <c r="R92" s="35" t="str">
        <f aca="false">IF($G92&lt;&gt;"PIPE","",IFERROR(IF(O92&lt;&gt;"",O92/M92,IF(K92="M",L92,"")),""))</f>
        <v/>
      </c>
      <c r="S92" s="6" t="str">
        <f aca="false">IF($G92&lt;&gt;"PIPE","",IF(AND($AA92="○",OR($W92&lt;&gt;"○",배관기준!$AG$17="N"),$C92&lt;&gt;"매설",LEFT($F92,3)&lt;&gt;"STS",LEFT($F92,3)&lt;&gt;"SUS"),"Y","N"))</f>
        <v/>
      </c>
      <c r="T92" s="16"/>
      <c r="U92" s="21"/>
      <c r="V92" s="21"/>
      <c r="W92" s="6" t="str">
        <f aca="false">IF($G92="","",IFERROR(INDEX(배관집계!$AC$7:$AC$32,MATCH($AC92,배관집계!$AJ$7:$AJ$32,0))&amp;"",""))</f>
        <v/>
      </c>
      <c r="X92" s="6" t="str">
        <f aca="false">IF($G92="","",IFERROR(INDEX(배관집계!$AD$7:$AD$32,MATCH($AC92,배관집계!$AJ$7:$AJ$32,0))&amp;"",""))</f>
        <v/>
      </c>
      <c r="Y92" s="6" t="str">
        <f aca="false">IF($G92="","",IFERROR(INDEX(배관집계!$AE$7:$AE$32,MATCH($AC92,배관집계!$AJ$7:$AJ$32,0))&amp;"",""))</f>
        <v/>
      </c>
      <c r="Z92" s="6" t="str">
        <f aca="false">IF($G92="","",IFERROR(INDEX(배관집계!$AF$7:$AF$32,MATCH($AC92,배관집계!$AJ$7:$AJ$32,0))&amp;"",""))</f>
        <v/>
      </c>
      <c r="AA92" s="6" t="str">
        <f aca="false">IF($G92="","",IFERROR(INDEX(배관집계!$AG$7:$AG$32,MATCH($AC92,배관집계!$AJ$7:$AJ$32,0))&amp;"",""))</f>
        <v/>
      </c>
      <c r="AB92" s="6" t="str">
        <f aca="false">IF($G92="","",IFERROR(INDEX(배관집계!$AH$7:$AH$32,MATCH($AC92,배관집계!$AJ$7:$AJ$32,0))&amp;"",""))</f>
        <v/>
      </c>
      <c r="AC92" s="75" t="str">
        <f aca="false">IF($G92="","",$B92&amp;"|"&amp;$C92&amp;"|"&amp;$E92&amp;"|"&amp;$U92&amp;"|"&amp;$I92)</f>
        <v/>
      </c>
      <c r="AD92" s="76" t="str">
        <f aca="false">IF($G92="","",IF($B92&lt;&gt;"설치","",IF($G92="PIPE","PIPE",IF($G92="VALVE",IF(ISNUMBER(SEARCH("GLOBE",$H92)),"GLOBE",IF(ISNUMBER(SEARCH("GATE",$H92)),"GATE",IF(ISNUMBER(SEARCH("BUTTER",$H92)),"BFLY","VALVE기타"))),IF($G92="FITTING",IF(LEFT($H92,5)="ELBOW",IF($AE92=90,"90EL",IF($AE92=45,"45EL","비규격EL")),IF(LEFT($H92,6)="FLANGE","FLANGE",IF(ISNUMBER(SEARCH("TEE",$H92)),"TEE",""))),"")))))</f>
        <v/>
      </c>
      <c r="AE92" s="76" t="str">
        <f aca="false">IF(AND($G92="FITTING",LEFT($H92,5)="ELBOW"),IFERROR(VALUE(LEFT(MID($H92,7,12),MIN(IFERROR(FIND("L",MID($H92,7,12)),99),IFERROR(FIND("S",MID($H92,7,12)),99),IFERROR(FIND(" ",MID($H92,7,12)),99))-1)),""),"")</f>
        <v/>
      </c>
      <c r="AF92" s="77" t="n">
        <f aca="false">IF($AD92="비규격EL",N($L92)*RADIANS(N($AE92))*보온기준!$F$15*N($I92)*보온기준!$F$16/1000,0)</f>
        <v>0</v>
      </c>
      <c r="AG92" s="76" t="str">
        <f aca="false">IF($G92="","",IF(OR($AA92&lt;&gt;"○",LEFT($F92,3)="STS",LEFT($F92,3)="SUS",$C92="매설"),"Y","N"))</f>
        <v/>
      </c>
    </row>
    <row r="93" customFormat="false" ht="15" hidden="false" customHeight="true" outlineLevel="0" collapsed="false">
      <c r="A93" s="6"/>
      <c r="B93" s="21"/>
      <c r="C93" s="21"/>
      <c r="D93" s="21"/>
      <c r="E93" s="21"/>
      <c r="F93" s="21"/>
      <c r="G93" s="21"/>
      <c r="H93" s="59"/>
      <c r="I93" s="21"/>
      <c r="J93" s="21"/>
      <c r="K93" s="21"/>
      <c r="L93" s="78"/>
      <c r="M93" s="37" t="str">
        <f aca="false">IF($G93&lt;&gt;"PIPE","",IFERROR(1/(1/INDEX(배관단중표!$B$7:$W$41,MATCH($I93,배관단중표!$A$7:$A$41,0),MATCH(IF($J93="SPP","SPP",IF(LEFT($F93,3)="STS",IF(ISNUMBER(SEARCH("316",$F93)),"STS316","STS304"),"SPPS")&amp;"|"&amp;$J93),배관단중표!$B$6:$W$6,0))),"DB확인"))</f>
        <v/>
      </c>
      <c r="N93" s="79"/>
      <c r="O93" s="80"/>
      <c r="P93" s="54" t="str">
        <f aca="false">IF($G93="","",IFERROR(IF(O93&lt;&gt;"",O93,L93*IF(G93="PIPE",M93,N93)),0))</f>
        <v/>
      </c>
      <c r="Q93" s="6" t="str">
        <f aca="false">IF($G93="","",IF(G93="PIPE","P","F"))</f>
        <v/>
      </c>
      <c r="R93" s="35" t="str">
        <f aca="false">IF($G93&lt;&gt;"PIPE","",IFERROR(IF(O93&lt;&gt;"",O93/M93,IF(K93="M",L93,"")),""))</f>
        <v/>
      </c>
      <c r="S93" s="6" t="str">
        <f aca="false">IF($G93&lt;&gt;"PIPE","",IF(AND($AA93="○",OR($W93&lt;&gt;"○",배관기준!$AG$17="N"),$C93&lt;&gt;"매설",LEFT($F93,3)&lt;&gt;"STS",LEFT($F93,3)&lt;&gt;"SUS"),"Y","N"))</f>
        <v/>
      </c>
      <c r="T93" s="16"/>
      <c r="U93" s="21"/>
      <c r="V93" s="21"/>
      <c r="W93" s="6" t="str">
        <f aca="false">IF($G93="","",IFERROR(INDEX(배관집계!$AC$7:$AC$32,MATCH($AC93,배관집계!$AJ$7:$AJ$32,0))&amp;"",""))</f>
        <v/>
      </c>
      <c r="X93" s="6" t="str">
        <f aca="false">IF($G93="","",IFERROR(INDEX(배관집계!$AD$7:$AD$32,MATCH($AC93,배관집계!$AJ$7:$AJ$32,0))&amp;"",""))</f>
        <v/>
      </c>
      <c r="Y93" s="6" t="str">
        <f aca="false">IF($G93="","",IFERROR(INDEX(배관집계!$AE$7:$AE$32,MATCH($AC93,배관집계!$AJ$7:$AJ$32,0))&amp;"",""))</f>
        <v/>
      </c>
      <c r="Z93" s="6" t="str">
        <f aca="false">IF($G93="","",IFERROR(INDEX(배관집계!$AF$7:$AF$32,MATCH($AC93,배관집계!$AJ$7:$AJ$32,0))&amp;"",""))</f>
        <v/>
      </c>
      <c r="AA93" s="6" t="str">
        <f aca="false">IF($G93="","",IFERROR(INDEX(배관집계!$AG$7:$AG$32,MATCH($AC93,배관집계!$AJ$7:$AJ$32,0))&amp;"",""))</f>
        <v/>
      </c>
      <c r="AB93" s="6" t="str">
        <f aca="false">IF($G93="","",IFERROR(INDEX(배관집계!$AH$7:$AH$32,MATCH($AC93,배관집계!$AJ$7:$AJ$32,0))&amp;"",""))</f>
        <v/>
      </c>
      <c r="AC93" s="75" t="str">
        <f aca="false">IF($G93="","",$B93&amp;"|"&amp;$C93&amp;"|"&amp;$E93&amp;"|"&amp;$U93&amp;"|"&amp;$I93)</f>
        <v/>
      </c>
      <c r="AD93" s="76" t="str">
        <f aca="false">IF($G93="","",IF($B93&lt;&gt;"설치","",IF($G93="PIPE","PIPE",IF($G93="VALVE",IF(ISNUMBER(SEARCH("GLOBE",$H93)),"GLOBE",IF(ISNUMBER(SEARCH("GATE",$H93)),"GATE",IF(ISNUMBER(SEARCH("BUTTER",$H93)),"BFLY","VALVE기타"))),IF($G93="FITTING",IF(LEFT($H93,5)="ELBOW",IF($AE93=90,"90EL",IF($AE93=45,"45EL","비규격EL")),IF(LEFT($H93,6)="FLANGE","FLANGE",IF(ISNUMBER(SEARCH("TEE",$H93)),"TEE",""))),"")))))</f>
        <v/>
      </c>
      <c r="AE93" s="76" t="str">
        <f aca="false">IF(AND($G93="FITTING",LEFT($H93,5)="ELBOW"),IFERROR(VALUE(LEFT(MID($H93,7,12),MIN(IFERROR(FIND("L",MID($H93,7,12)),99),IFERROR(FIND("S",MID($H93,7,12)),99),IFERROR(FIND(" ",MID($H93,7,12)),99))-1)),""),"")</f>
        <v/>
      </c>
      <c r="AF93" s="77" t="n">
        <f aca="false">IF($AD93="비규격EL",N($L93)*RADIANS(N($AE93))*보온기준!$F$15*N($I93)*보온기준!$F$16/1000,0)</f>
        <v>0</v>
      </c>
      <c r="AG93" s="76" t="str">
        <f aca="false">IF($G93="","",IF(OR($AA93&lt;&gt;"○",LEFT($F93,3)="STS",LEFT($F93,3)="SUS",$C93="매설"),"Y","N"))</f>
        <v/>
      </c>
    </row>
    <row r="94" customFormat="false" ht="15" hidden="false" customHeight="true" outlineLevel="0" collapsed="false">
      <c r="A94" s="6"/>
      <c r="B94" s="21"/>
      <c r="C94" s="21"/>
      <c r="D94" s="21"/>
      <c r="E94" s="21"/>
      <c r="F94" s="21"/>
      <c r="G94" s="21"/>
      <c r="H94" s="59"/>
      <c r="I94" s="21"/>
      <c r="J94" s="21"/>
      <c r="K94" s="21"/>
      <c r="L94" s="78"/>
      <c r="M94" s="37" t="str">
        <f aca="false">IF($G94&lt;&gt;"PIPE","",IFERROR(1/(1/INDEX(배관단중표!$B$7:$W$41,MATCH($I94,배관단중표!$A$7:$A$41,0),MATCH(IF($J94="SPP","SPP",IF(LEFT($F94,3)="STS",IF(ISNUMBER(SEARCH("316",$F94)),"STS316","STS304"),"SPPS")&amp;"|"&amp;$J94),배관단중표!$B$6:$W$6,0))),"DB확인"))</f>
        <v/>
      </c>
      <c r="N94" s="79"/>
      <c r="O94" s="80"/>
      <c r="P94" s="54" t="str">
        <f aca="false">IF($G94="","",IFERROR(IF(O94&lt;&gt;"",O94,L94*IF(G94="PIPE",M94,N94)),0))</f>
        <v/>
      </c>
      <c r="Q94" s="6" t="str">
        <f aca="false">IF($G94="","",IF(G94="PIPE","P","F"))</f>
        <v/>
      </c>
      <c r="R94" s="35" t="str">
        <f aca="false">IF($G94&lt;&gt;"PIPE","",IFERROR(IF(O94&lt;&gt;"",O94/M94,IF(K94="M",L94,"")),""))</f>
        <v/>
      </c>
      <c r="S94" s="6" t="str">
        <f aca="false">IF($G94&lt;&gt;"PIPE","",IF(AND($AA94="○",OR($W94&lt;&gt;"○",배관기준!$AG$17="N"),$C94&lt;&gt;"매설",LEFT($F94,3)&lt;&gt;"STS",LEFT($F94,3)&lt;&gt;"SUS"),"Y","N"))</f>
        <v/>
      </c>
      <c r="T94" s="16"/>
      <c r="U94" s="21"/>
      <c r="V94" s="21"/>
      <c r="W94" s="6" t="str">
        <f aca="false">IF($G94="","",IFERROR(INDEX(배관집계!$AC$7:$AC$32,MATCH($AC94,배관집계!$AJ$7:$AJ$32,0))&amp;"",""))</f>
        <v/>
      </c>
      <c r="X94" s="6" t="str">
        <f aca="false">IF($G94="","",IFERROR(INDEX(배관집계!$AD$7:$AD$32,MATCH($AC94,배관집계!$AJ$7:$AJ$32,0))&amp;"",""))</f>
        <v/>
      </c>
      <c r="Y94" s="6" t="str">
        <f aca="false">IF($G94="","",IFERROR(INDEX(배관집계!$AE$7:$AE$32,MATCH($AC94,배관집계!$AJ$7:$AJ$32,0))&amp;"",""))</f>
        <v/>
      </c>
      <c r="Z94" s="6" t="str">
        <f aca="false">IF($G94="","",IFERROR(INDEX(배관집계!$AF$7:$AF$32,MATCH($AC94,배관집계!$AJ$7:$AJ$32,0))&amp;"",""))</f>
        <v/>
      </c>
      <c r="AA94" s="6" t="str">
        <f aca="false">IF($G94="","",IFERROR(INDEX(배관집계!$AG$7:$AG$32,MATCH($AC94,배관집계!$AJ$7:$AJ$32,0))&amp;"",""))</f>
        <v/>
      </c>
      <c r="AB94" s="6" t="str">
        <f aca="false">IF($G94="","",IFERROR(INDEX(배관집계!$AH$7:$AH$32,MATCH($AC94,배관집계!$AJ$7:$AJ$32,0))&amp;"",""))</f>
        <v/>
      </c>
      <c r="AC94" s="75" t="str">
        <f aca="false">IF($G94="","",$B94&amp;"|"&amp;$C94&amp;"|"&amp;$E94&amp;"|"&amp;$U94&amp;"|"&amp;$I94)</f>
        <v/>
      </c>
      <c r="AD94" s="76" t="str">
        <f aca="false">IF($G94="","",IF($B94&lt;&gt;"설치","",IF($G94="PIPE","PIPE",IF($G94="VALVE",IF(ISNUMBER(SEARCH("GLOBE",$H94)),"GLOBE",IF(ISNUMBER(SEARCH("GATE",$H94)),"GATE",IF(ISNUMBER(SEARCH("BUTTER",$H94)),"BFLY","VALVE기타"))),IF($G94="FITTING",IF(LEFT($H94,5)="ELBOW",IF($AE94=90,"90EL",IF($AE94=45,"45EL","비규격EL")),IF(LEFT($H94,6)="FLANGE","FLANGE",IF(ISNUMBER(SEARCH("TEE",$H94)),"TEE",""))),"")))))</f>
        <v/>
      </c>
      <c r="AE94" s="76" t="str">
        <f aca="false">IF(AND($G94="FITTING",LEFT($H94,5)="ELBOW"),IFERROR(VALUE(LEFT(MID($H94,7,12),MIN(IFERROR(FIND("L",MID($H94,7,12)),99),IFERROR(FIND("S",MID($H94,7,12)),99),IFERROR(FIND(" ",MID($H94,7,12)),99))-1)),""),"")</f>
        <v/>
      </c>
      <c r="AF94" s="77" t="n">
        <f aca="false">IF($AD94="비규격EL",N($L94)*RADIANS(N($AE94))*보온기준!$F$15*N($I94)*보온기준!$F$16/1000,0)</f>
        <v>0</v>
      </c>
      <c r="AG94" s="76" t="str">
        <f aca="false">IF($G94="","",IF(OR($AA94&lt;&gt;"○",LEFT($F94,3)="STS",LEFT($F94,3)="SUS",$C94="매설"),"Y","N"))</f>
        <v/>
      </c>
    </row>
    <row r="95" customFormat="false" ht="15" hidden="false" customHeight="true" outlineLevel="0" collapsed="false">
      <c r="A95" s="6"/>
      <c r="B95" s="21"/>
      <c r="C95" s="21"/>
      <c r="D95" s="21"/>
      <c r="E95" s="21"/>
      <c r="F95" s="21"/>
      <c r="G95" s="21"/>
      <c r="H95" s="59"/>
      <c r="I95" s="21"/>
      <c r="J95" s="21"/>
      <c r="K95" s="21"/>
      <c r="L95" s="78"/>
      <c r="M95" s="37" t="str">
        <f aca="false">IF($G95&lt;&gt;"PIPE","",IFERROR(1/(1/INDEX(배관단중표!$B$7:$W$41,MATCH($I95,배관단중표!$A$7:$A$41,0),MATCH(IF($J95="SPP","SPP",IF(LEFT($F95,3)="STS",IF(ISNUMBER(SEARCH("316",$F95)),"STS316","STS304"),"SPPS")&amp;"|"&amp;$J95),배관단중표!$B$6:$W$6,0))),"DB확인"))</f>
        <v/>
      </c>
      <c r="N95" s="79"/>
      <c r="O95" s="80"/>
      <c r="P95" s="54" t="str">
        <f aca="false">IF($G95="","",IFERROR(IF(O95&lt;&gt;"",O95,L95*IF(G95="PIPE",M95,N95)),0))</f>
        <v/>
      </c>
      <c r="Q95" s="6" t="str">
        <f aca="false">IF($G95="","",IF(G95="PIPE","P","F"))</f>
        <v/>
      </c>
      <c r="R95" s="35" t="str">
        <f aca="false">IF($G95&lt;&gt;"PIPE","",IFERROR(IF(O95&lt;&gt;"",O95/M95,IF(K95="M",L95,"")),""))</f>
        <v/>
      </c>
      <c r="S95" s="6" t="str">
        <f aca="false">IF($G95&lt;&gt;"PIPE","",IF(AND($AA95="○",OR($W95&lt;&gt;"○",배관기준!$AG$17="N"),$C95&lt;&gt;"매설",LEFT($F95,3)&lt;&gt;"STS",LEFT($F95,3)&lt;&gt;"SUS"),"Y","N"))</f>
        <v/>
      </c>
      <c r="T95" s="16"/>
      <c r="U95" s="21"/>
      <c r="V95" s="21"/>
      <c r="W95" s="6" t="str">
        <f aca="false">IF($G95="","",IFERROR(INDEX(배관집계!$AC$7:$AC$32,MATCH($AC95,배관집계!$AJ$7:$AJ$32,0))&amp;"",""))</f>
        <v/>
      </c>
      <c r="X95" s="6" t="str">
        <f aca="false">IF($G95="","",IFERROR(INDEX(배관집계!$AD$7:$AD$32,MATCH($AC95,배관집계!$AJ$7:$AJ$32,0))&amp;"",""))</f>
        <v/>
      </c>
      <c r="Y95" s="6" t="str">
        <f aca="false">IF($G95="","",IFERROR(INDEX(배관집계!$AE$7:$AE$32,MATCH($AC95,배관집계!$AJ$7:$AJ$32,0))&amp;"",""))</f>
        <v/>
      </c>
      <c r="Z95" s="6" t="str">
        <f aca="false">IF($G95="","",IFERROR(INDEX(배관집계!$AF$7:$AF$32,MATCH($AC95,배관집계!$AJ$7:$AJ$32,0))&amp;"",""))</f>
        <v/>
      </c>
      <c r="AA95" s="6" t="str">
        <f aca="false">IF($G95="","",IFERROR(INDEX(배관집계!$AG$7:$AG$32,MATCH($AC95,배관집계!$AJ$7:$AJ$32,0))&amp;"",""))</f>
        <v/>
      </c>
      <c r="AB95" s="6" t="str">
        <f aca="false">IF($G95="","",IFERROR(INDEX(배관집계!$AH$7:$AH$32,MATCH($AC95,배관집계!$AJ$7:$AJ$32,0))&amp;"",""))</f>
        <v/>
      </c>
      <c r="AC95" s="75" t="str">
        <f aca="false">IF($G95="","",$B95&amp;"|"&amp;$C95&amp;"|"&amp;$E95&amp;"|"&amp;$U95&amp;"|"&amp;$I95)</f>
        <v/>
      </c>
      <c r="AD95" s="76" t="str">
        <f aca="false">IF($G95="","",IF($B95&lt;&gt;"설치","",IF($G95="PIPE","PIPE",IF($G95="VALVE",IF(ISNUMBER(SEARCH("GLOBE",$H95)),"GLOBE",IF(ISNUMBER(SEARCH("GATE",$H95)),"GATE",IF(ISNUMBER(SEARCH("BUTTER",$H95)),"BFLY","VALVE기타"))),IF($G95="FITTING",IF(LEFT($H95,5)="ELBOW",IF($AE95=90,"90EL",IF($AE95=45,"45EL","비규격EL")),IF(LEFT($H95,6)="FLANGE","FLANGE",IF(ISNUMBER(SEARCH("TEE",$H95)),"TEE",""))),"")))))</f>
        <v/>
      </c>
      <c r="AE95" s="76" t="str">
        <f aca="false">IF(AND($G95="FITTING",LEFT($H95,5)="ELBOW"),IFERROR(VALUE(LEFT(MID($H95,7,12),MIN(IFERROR(FIND("L",MID($H95,7,12)),99),IFERROR(FIND("S",MID($H95,7,12)),99),IFERROR(FIND(" ",MID($H95,7,12)),99))-1)),""),"")</f>
        <v/>
      </c>
      <c r="AF95" s="77" t="n">
        <f aca="false">IF($AD95="비규격EL",N($L95)*RADIANS(N($AE95))*보온기준!$F$15*N($I95)*보온기준!$F$16/1000,0)</f>
        <v>0</v>
      </c>
      <c r="AG95" s="76" t="str">
        <f aca="false">IF($G95="","",IF(OR($AA95&lt;&gt;"○",LEFT($F95,3)="STS",LEFT($F95,3)="SUS",$C95="매설"),"Y","N"))</f>
        <v/>
      </c>
    </row>
    <row r="96" customFormat="false" ht="15" hidden="false" customHeight="true" outlineLevel="0" collapsed="false">
      <c r="A96" s="6"/>
      <c r="B96" s="21"/>
      <c r="C96" s="21"/>
      <c r="D96" s="21"/>
      <c r="E96" s="21"/>
      <c r="F96" s="21"/>
      <c r="G96" s="21"/>
      <c r="H96" s="59"/>
      <c r="I96" s="21"/>
      <c r="J96" s="21"/>
      <c r="K96" s="21"/>
      <c r="L96" s="78"/>
      <c r="M96" s="37" t="str">
        <f aca="false">IF($G96&lt;&gt;"PIPE","",IFERROR(1/(1/INDEX(배관단중표!$B$7:$W$41,MATCH($I96,배관단중표!$A$7:$A$41,0),MATCH(IF($J96="SPP","SPP",IF(LEFT($F96,3)="STS",IF(ISNUMBER(SEARCH("316",$F96)),"STS316","STS304"),"SPPS")&amp;"|"&amp;$J96),배관단중표!$B$6:$W$6,0))),"DB확인"))</f>
        <v/>
      </c>
      <c r="N96" s="79"/>
      <c r="O96" s="80"/>
      <c r="P96" s="54" t="str">
        <f aca="false">IF($G96="","",IFERROR(IF(O96&lt;&gt;"",O96,L96*IF(G96="PIPE",M96,N96)),0))</f>
        <v/>
      </c>
      <c r="Q96" s="6" t="str">
        <f aca="false">IF($G96="","",IF(G96="PIPE","P","F"))</f>
        <v/>
      </c>
      <c r="R96" s="35" t="str">
        <f aca="false">IF($G96&lt;&gt;"PIPE","",IFERROR(IF(O96&lt;&gt;"",O96/M96,IF(K96="M",L96,"")),""))</f>
        <v/>
      </c>
      <c r="S96" s="6" t="str">
        <f aca="false">IF($G96&lt;&gt;"PIPE","",IF(AND($AA96="○",OR($W96&lt;&gt;"○",배관기준!$AG$17="N"),$C96&lt;&gt;"매설",LEFT($F96,3)&lt;&gt;"STS",LEFT($F96,3)&lt;&gt;"SUS"),"Y","N"))</f>
        <v/>
      </c>
      <c r="T96" s="16"/>
      <c r="U96" s="21"/>
      <c r="V96" s="21"/>
      <c r="W96" s="6" t="str">
        <f aca="false">IF($G96="","",IFERROR(INDEX(배관집계!$AC$7:$AC$32,MATCH($AC96,배관집계!$AJ$7:$AJ$32,0))&amp;"",""))</f>
        <v/>
      </c>
      <c r="X96" s="6" t="str">
        <f aca="false">IF($G96="","",IFERROR(INDEX(배관집계!$AD$7:$AD$32,MATCH($AC96,배관집계!$AJ$7:$AJ$32,0))&amp;"",""))</f>
        <v/>
      </c>
      <c r="Y96" s="6" t="str">
        <f aca="false">IF($G96="","",IFERROR(INDEX(배관집계!$AE$7:$AE$32,MATCH($AC96,배관집계!$AJ$7:$AJ$32,0))&amp;"",""))</f>
        <v/>
      </c>
      <c r="Z96" s="6" t="str">
        <f aca="false">IF($G96="","",IFERROR(INDEX(배관집계!$AF$7:$AF$32,MATCH($AC96,배관집계!$AJ$7:$AJ$32,0))&amp;"",""))</f>
        <v/>
      </c>
      <c r="AA96" s="6" t="str">
        <f aca="false">IF($G96="","",IFERROR(INDEX(배관집계!$AG$7:$AG$32,MATCH($AC96,배관집계!$AJ$7:$AJ$32,0))&amp;"",""))</f>
        <v/>
      </c>
      <c r="AB96" s="6" t="str">
        <f aca="false">IF($G96="","",IFERROR(INDEX(배관집계!$AH$7:$AH$32,MATCH($AC96,배관집계!$AJ$7:$AJ$32,0))&amp;"",""))</f>
        <v/>
      </c>
      <c r="AC96" s="75" t="str">
        <f aca="false">IF($G96="","",$B96&amp;"|"&amp;$C96&amp;"|"&amp;$E96&amp;"|"&amp;$U96&amp;"|"&amp;$I96)</f>
        <v/>
      </c>
      <c r="AD96" s="76" t="str">
        <f aca="false">IF($G96="","",IF($B96&lt;&gt;"설치","",IF($G96="PIPE","PIPE",IF($G96="VALVE",IF(ISNUMBER(SEARCH("GLOBE",$H96)),"GLOBE",IF(ISNUMBER(SEARCH("GATE",$H96)),"GATE",IF(ISNUMBER(SEARCH("BUTTER",$H96)),"BFLY","VALVE기타"))),IF($G96="FITTING",IF(LEFT($H96,5)="ELBOW",IF($AE96=90,"90EL",IF($AE96=45,"45EL","비규격EL")),IF(LEFT($H96,6)="FLANGE","FLANGE",IF(ISNUMBER(SEARCH("TEE",$H96)),"TEE",""))),"")))))</f>
        <v/>
      </c>
      <c r="AE96" s="76" t="str">
        <f aca="false">IF(AND($G96="FITTING",LEFT($H96,5)="ELBOW"),IFERROR(VALUE(LEFT(MID($H96,7,12),MIN(IFERROR(FIND("L",MID($H96,7,12)),99),IFERROR(FIND("S",MID($H96,7,12)),99),IFERROR(FIND(" ",MID($H96,7,12)),99))-1)),""),"")</f>
        <v/>
      </c>
      <c r="AF96" s="77" t="n">
        <f aca="false">IF($AD96="비규격EL",N($L96)*RADIANS(N($AE96))*보온기준!$F$15*N($I96)*보온기준!$F$16/1000,0)</f>
        <v>0</v>
      </c>
      <c r="AG96" s="76" t="str">
        <f aca="false">IF($G96="","",IF(OR($AA96&lt;&gt;"○",LEFT($F96,3)="STS",LEFT($F96,3)="SUS",$C96="매설"),"Y","N"))</f>
        <v/>
      </c>
    </row>
    <row r="97" customFormat="false" ht="15" hidden="false" customHeight="true" outlineLevel="0" collapsed="false">
      <c r="A97" s="6"/>
      <c r="B97" s="21"/>
      <c r="C97" s="21"/>
      <c r="D97" s="21"/>
      <c r="E97" s="21"/>
      <c r="F97" s="21"/>
      <c r="G97" s="21"/>
      <c r="H97" s="59"/>
      <c r="I97" s="21"/>
      <c r="J97" s="21"/>
      <c r="K97" s="21"/>
      <c r="L97" s="78"/>
      <c r="M97" s="37" t="str">
        <f aca="false">IF($G97&lt;&gt;"PIPE","",IFERROR(1/(1/INDEX(배관단중표!$B$7:$W$41,MATCH($I97,배관단중표!$A$7:$A$41,0),MATCH(IF($J97="SPP","SPP",IF(LEFT($F97,3)="STS",IF(ISNUMBER(SEARCH("316",$F97)),"STS316","STS304"),"SPPS")&amp;"|"&amp;$J97),배관단중표!$B$6:$W$6,0))),"DB확인"))</f>
        <v/>
      </c>
      <c r="N97" s="79"/>
      <c r="O97" s="80"/>
      <c r="P97" s="54" t="str">
        <f aca="false">IF($G97="","",IFERROR(IF(O97&lt;&gt;"",O97,L97*IF(G97="PIPE",M97,N97)),0))</f>
        <v/>
      </c>
      <c r="Q97" s="6" t="str">
        <f aca="false">IF($G97="","",IF(G97="PIPE","P","F"))</f>
        <v/>
      </c>
      <c r="R97" s="35" t="str">
        <f aca="false">IF($G97&lt;&gt;"PIPE","",IFERROR(IF(O97&lt;&gt;"",O97/M97,IF(K97="M",L97,"")),""))</f>
        <v/>
      </c>
      <c r="S97" s="6" t="str">
        <f aca="false">IF($G97&lt;&gt;"PIPE","",IF(AND($AA97="○",OR($W97&lt;&gt;"○",배관기준!$AG$17="N"),$C97&lt;&gt;"매설",LEFT($F97,3)&lt;&gt;"STS",LEFT($F97,3)&lt;&gt;"SUS"),"Y","N"))</f>
        <v/>
      </c>
      <c r="T97" s="16"/>
      <c r="U97" s="21"/>
      <c r="V97" s="21"/>
      <c r="W97" s="6" t="str">
        <f aca="false">IF($G97="","",IFERROR(INDEX(배관집계!$AC$7:$AC$32,MATCH($AC97,배관집계!$AJ$7:$AJ$32,0))&amp;"",""))</f>
        <v/>
      </c>
      <c r="X97" s="6" t="str">
        <f aca="false">IF($G97="","",IFERROR(INDEX(배관집계!$AD$7:$AD$32,MATCH($AC97,배관집계!$AJ$7:$AJ$32,0))&amp;"",""))</f>
        <v/>
      </c>
      <c r="Y97" s="6" t="str">
        <f aca="false">IF($G97="","",IFERROR(INDEX(배관집계!$AE$7:$AE$32,MATCH($AC97,배관집계!$AJ$7:$AJ$32,0))&amp;"",""))</f>
        <v/>
      </c>
      <c r="Z97" s="6" t="str">
        <f aca="false">IF($G97="","",IFERROR(INDEX(배관집계!$AF$7:$AF$32,MATCH($AC97,배관집계!$AJ$7:$AJ$32,0))&amp;"",""))</f>
        <v/>
      </c>
      <c r="AA97" s="6" t="str">
        <f aca="false">IF($G97="","",IFERROR(INDEX(배관집계!$AG$7:$AG$32,MATCH($AC97,배관집계!$AJ$7:$AJ$32,0))&amp;"",""))</f>
        <v/>
      </c>
      <c r="AB97" s="6" t="str">
        <f aca="false">IF($G97="","",IFERROR(INDEX(배관집계!$AH$7:$AH$32,MATCH($AC97,배관집계!$AJ$7:$AJ$32,0))&amp;"",""))</f>
        <v/>
      </c>
      <c r="AC97" s="75" t="str">
        <f aca="false">IF($G97="","",$B97&amp;"|"&amp;$C97&amp;"|"&amp;$E97&amp;"|"&amp;$U97&amp;"|"&amp;$I97)</f>
        <v/>
      </c>
      <c r="AD97" s="76" t="str">
        <f aca="false">IF($G97="","",IF($B97&lt;&gt;"설치","",IF($G97="PIPE","PIPE",IF($G97="VALVE",IF(ISNUMBER(SEARCH("GLOBE",$H97)),"GLOBE",IF(ISNUMBER(SEARCH("GATE",$H97)),"GATE",IF(ISNUMBER(SEARCH("BUTTER",$H97)),"BFLY","VALVE기타"))),IF($G97="FITTING",IF(LEFT($H97,5)="ELBOW",IF($AE97=90,"90EL",IF($AE97=45,"45EL","비규격EL")),IF(LEFT($H97,6)="FLANGE","FLANGE",IF(ISNUMBER(SEARCH("TEE",$H97)),"TEE",""))),"")))))</f>
        <v/>
      </c>
      <c r="AE97" s="76" t="str">
        <f aca="false">IF(AND($G97="FITTING",LEFT($H97,5)="ELBOW"),IFERROR(VALUE(LEFT(MID($H97,7,12),MIN(IFERROR(FIND("L",MID($H97,7,12)),99),IFERROR(FIND("S",MID($H97,7,12)),99),IFERROR(FIND(" ",MID($H97,7,12)),99))-1)),""),"")</f>
        <v/>
      </c>
      <c r="AF97" s="77" t="n">
        <f aca="false">IF($AD97="비규격EL",N($L97)*RADIANS(N($AE97))*보온기준!$F$15*N($I97)*보온기준!$F$16/1000,0)</f>
        <v>0</v>
      </c>
      <c r="AG97" s="76" t="str">
        <f aca="false">IF($G97="","",IF(OR($AA97&lt;&gt;"○",LEFT($F97,3)="STS",LEFT($F97,3)="SUS",$C97="매설"),"Y","N"))</f>
        <v/>
      </c>
    </row>
    <row r="98" customFormat="false" ht="15" hidden="false" customHeight="true" outlineLevel="0" collapsed="false">
      <c r="A98" s="6"/>
      <c r="B98" s="21"/>
      <c r="C98" s="21"/>
      <c r="D98" s="21"/>
      <c r="E98" s="21"/>
      <c r="F98" s="21"/>
      <c r="G98" s="21"/>
      <c r="H98" s="59"/>
      <c r="I98" s="21"/>
      <c r="J98" s="21"/>
      <c r="K98" s="21"/>
      <c r="L98" s="78"/>
      <c r="M98" s="37" t="str">
        <f aca="false">IF($G98&lt;&gt;"PIPE","",IFERROR(1/(1/INDEX(배관단중표!$B$7:$W$41,MATCH($I98,배관단중표!$A$7:$A$41,0),MATCH(IF($J98="SPP","SPP",IF(LEFT($F98,3)="STS",IF(ISNUMBER(SEARCH("316",$F98)),"STS316","STS304"),"SPPS")&amp;"|"&amp;$J98),배관단중표!$B$6:$W$6,0))),"DB확인"))</f>
        <v/>
      </c>
      <c r="N98" s="79"/>
      <c r="O98" s="80"/>
      <c r="P98" s="54" t="str">
        <f aca="false">IF($G98="","",IFERROR(IF(O98&lt;&gt;"",O98,L98*IF(G98="PIPE",M98,N98)),0))</f>
        <v/>
      </c>
      <c r="Q98" s="6" t="str">
        <f aca="false">IF($G98="","",IF(G98="PIPE","P","F"))</f>
        <v/>
      </c>
      <c r="R98" s="35" t="str">
        <f aca="false">IF($G98&lt;&gt;"PIPE","",IFERROR(IF(O98&lt;&gt;"",O98/M98,IF(K98="M",L98,"")),""))</f>
        <v/>
      </c>
      <c r="S98" s="6" t="str">
        <f aca="false">IF($G98&lt;&gt;"PIPE","",IF(AND($AA98="○",OR($W98&lt;&gt;"○",배관기준!$AG$17="N"),$C98&lt;&gt;"매설",LEFT($F98,3)&lt;&gt;"STS",LEFT($F98,3)&lt;&gt;"SUS"),"Y","N"))</f>
        <v/>
      </c>
      <c r="T98" s="16"/>
      <c r="U98" s="21"/>
      <c r="V98" s="21"/>
      <c r="W98" s="6" t="str">
        <f aca="false">IF($G98="","",IFERROR(INDEX(배관집계!$AC$7:$AC$32,MATCH($AC98,배관집계!$AJ$7:$AJ$32,0))&amp;"",""))</f>
        <v/>
      </c>
      <c r="X98" s="6" t="str">
        <f aca="false">IF($G98="","",IFERROR(INDEX(배관집계!$AD$7:$AD$32,MATCH($AC98,배관집계!$AJ$7:$AJ$32,0))&amp;"",""))</f>
        <v/>
      </c>
      <c r="Y98" s="6" t="str">
        <f aca="false">IF($G98="","",IFERROR(INDEX(배관집계!$AE$7:$AE$32,MATCH($AC98,배관집계!$AJ$7:$AJ$32,0))&amp;"",""))</f>
        <v/>
      </c>
      <c r="Z98" s="6" t="str">
        <f aca="false">IF($G98="","",IFERROR(INDEX(배관집계!$AF$7:$AF$32,MATCH($AC98,배관집계!$AJ$7:$AJ$32,0))&amp;"",""))</f>
        <v/>
      </c>
      <c r="AA98" s="6" t="str">
        <f aca="false">IF($G98="","",IFERROR(INDEX(배관집계!$AG$7:$AG$32,MATCH($AC98,배관집계!$AJ$7:$AJ$32,0))&amp;"",""))</f>
        <v/>
      </c>
      <c r="AB98" s="6" t="str">
        <f aca="false">IF($G98="","",IFERROR(INDEX(배관집계!$AH$7:$AH$32,MATCH($AC98,배관집계!$AJ$7:$AJ$32,0))&amp;"",""))</f>
        <v/>
      </c>
      <c r="AC98" s="75" t="str">
        <f aca="false">IF($G98="","",$B98&amp;"|"&amp;$C98&amp;"|"&amp;$E98&amp;"|"&amp;$U98&amp;"|"&amp;$I98)</f>
        <v/>
      </c>
      <c r="AD98" s="76" t="str">
        <f aca="false">IF($G98="","",IF($B98&lt;&gt;"설치","",IF($G98="PIPE","PIPE",IF($G98="VALVE",IF(ISNUMBER(SEARCH("GLOBE",$H98)),"GLOBE",IF(ISNUMBER(SEARCH("GATE",$H98)),"GATE",IF(ISNUMBER(SEARCH("BUTTER",$H98)),"BFLY","VALVE기타"))),IF($G98="FITTING",IF(LEFT($H98,5)="ELBOW",IF($AE98=90,"90EL",IF($AE98=45,"45EL","비규격EL")),IF(LEFT($H98,6)="FLANGE","FLANGE",IF(ISNUMBER(SEARCH("TEE",$H98)),"TEE",""))),"")))))</f>
        <v/>
      </c>
      <c r="AE98" s="76" t="str">
        <f aca="false">IF(AND($G98="FITTING",LEFT($H98,5)="ELBOW"),IFERROR(VALUE(LEFT(MID($H98,7,12),MIN(IFERROR(FIND("L",MID($H98,7,12)),99),IFERROR(FIND("S",MID($H98,7,12)),99),IFERROR(FIND(" ",MID($H98,7,12)),99))-1)),""),"")</f>
        <v/>
      </c>
      <c r="AF98" s="77" t="n">
        <f aca="false">IF($AD98="비규격EL",N($L98)*RADIANS(N($AE98))*보온기준!$F$15*N($I98)*보온기준!$F$16/1000,0)</f>
        <v>0</v>
      </c>
      <c r="AG98" s="76" t="str">
        <f aca="false">IF($G98="","",IF(OR($AA98&lt;&gt;"○",LEFT($F98,3)="STS",LEFT($F98,3)="SUS",$C98="매설"),"Y","N"))</f>
        <v/>
      </c>
    </row>
    <row r="99" customFormat="false" ht="15" hidden="false" customHeight="true" outlineLevel="0" collapsed="false">
      <c r="A99" s="6"/>
      <c r="B99" s="21"/>
      <c r="C99" s="21"/>
      <c r="D99" s="21"/>
      <c r="E99" s="21"/>
      <c r="F99" s="21"/>
      <c r="G99" s="21"/>
      <c r="H99" s="59"/>
      <c r="I99" s="21"/>
      <c r="J99" s="21"/>
      <c r="K99" s="21"/>
      <c r="L99" s="78"/>
      <c r="M99" s="37" t="str">
        <f aca="false">IF($G99&lt;&gt;"PIPE","",IFERROR(1/(1/INDEX(배관단중표!$B$7:$W$41,MATCH($I99,배관단중표!$A$7:$A$41,0),MATCH(IF($J99="SPP","SPP",IF(LEFT($F99,3)="STS",IF(ISNUMBER(SEARCH("316",$F99)),"STS316","STS304"),"SPPS")&amp;"|"&amp;$J99),배관단중표!$B$6:$W$6,0))),"DB확인"))</f>
        <v/>
      </c>
      <c r="N99" s="79"/>
      <c r="O99" s="80"/>
      <c r="P99" s="54" t="str">
        <f aca="false">IF($G99="","",IFERROR(IF(O99&lt;&gt;"",O99,L99*IF(G99="PIPE",M99,N99)),0))</f>
        <v/>
      </c>
      <c r="Q99" s="6" t="str">
        <f aca="false">IF($G99="","",IF(G99="PIPE","P","F"))</f>
        <v/>
      </c>
      <c r="R99" s="35" t="str">
        <f aca="false">IF($G99&lt;&gt;"PIPE","",IFERROR(IF(O99&lt;&gt;"",O99/M99,IF(K99="M",L99,"")),""))</f>
        <v/>
      </c>
      <c r="S99" s="6" t="str">
        <f aca="false">IF($G99&lt;&gt;"PIPE","",IF(AND($AA99="○",OR($W99&lt;&gt;"○",배관기준!$AG$17="N"),$C99&lt;&gt;"매설",LEFT($F99,3)&lt;&gt;"STS",LEFT($F99,3)&lt;&gt;"SUS"),"Y","N"))</f>
        <v/>
      </c>
      <c r="T99" s="16"/>
      <c r="U99" s="21"/>
      <c r="V99" s="21"/>
      <c r="W99" s="6" t="str">
        <f aca="false">IF($G99="","",IFERROR(INDEX(배관집계!$AC$7:$AC$32,MATCH($AC99,배관집계!$AJ$7:$AJ$32,0))&amp;"",""))</f>
        <v/>
      </c>
      <c r="X99" s="6" t="str">
        <f aca="false">IF($G99="","",IFERROR(INDEX(배관집계!$AD$7:$AD$32,MATCH($AC99,배관집계!$AJ$7:$AJ$32,0))&amp;"",""))</f>
        <v/>
      </c>
      <c r="Y99" s="6" t="str">
        <f aca="false">IF($G99="","",IFERROR(INDEX(배관집계!$AE$7:$AE$32,MATCH($AC99,배관집계!$AJ$7:$AJ$32,0))&amp;"",""))</f>
        <v/>
      </c>
      <c r="Z99" s="6" t="str">
        <f aca="false">IF($G99="","",IFERROR(INDEX(배관집계!$AF$7:$AF$32,MATCH($AC99,배관집계!$AJ$7:$AJ$32,0))&amp;"",""))</f>
        <v/>
      </c>
      <c r="AA99" s="6" t="str">
        <f aca="false">IF($G99="","",IFERROR(INDEX(배관집계!$AG$7:$AG$32,MATCH($AC99,배관집계!$AJ$7:$AJ$32,0))&amp;"",""))</f>
        <v/>
      </c>
      <c r="AB99" s="6" t="str">
        <f aca="false">IF($G99="","",IFERROR(INDEX(배관집계!$AH$7:$AH$32,MATCH($AC99,배관집계!$AJ$7:$AJ$32,0))&amp;"",""))</f>
        <v/>
      </c>
      <c r="AC99" s="75" t="str">
        <f aca="false">IF($G99="","",$B99&amp;"|"&amp;$C99&amp;"|"&amp;$E99&amp;"|"&amp;$U99&amp;"|"&amp;$I99)</f>
        <v/>
      </c>
      <c r="AD99" s="76" t="str">
        <f aca="false">IF($G99="","",IF($B99&lt;&gt;"설치","",IF($G99="PIPE","PIPE",IF($G99="VALVE",IF(ISNUMBER(SEARCH("GLOBE",$H99)),"GLOBE",IF(ISNUMBER(SEARCH("GATE",$H99)),"GATE",IF(ISNUMBER(SEARCH("BUTTER",$H99)),"BFLY","VALVE기타"))),IF($G99="FITTING",IF(LEFT($H99,5)="ELBOW",IF($AE99=90,"90EL",IF($AE99=45,"45EL","비규격EL")),IF(LEFT($H99,6)="FLANGE","FLANGE",IF(ISNUMBER(SEARCH("TEE",$H99)),"TEE",""))),"")))))</f>
        <v/>
      </c>
      <c r="AE99" s="76" t="str">
        <f aca="false">IF(AND($G99="FITTING",LEFT($H99,5)="ELBOW"),IFERROR(VALUE(LEFT(MID($H99,7,12),MIN(IFERROR(FIND("L",MID($H99,7,12)),99),IFERROR(FIND("S",MID($H99,7,12)),99),IFERROR(FIND(" ",MID($H99,7,12)),99))-1)),""),"")</f>
        <v/>
      </c>
      <c r="AF99" s="77" t="n">
        <f aca="false">IF($AD99="비규격EL",N($L99)*RADIANS(N($AE99))*보온기준!$F$15*N($I99)*보온기준!$F$16/1000,0)</f>
        <v>0</v>
      </c>
      <c r="AG99" s="76" t="str">
        <f aca="false">IF($G99="","",IF(OR($AA99&lt;&gt;"○",LEFT($F99,3)="STS",LEFT($F99,3)="SUS",$C99="매설"),"Y","N"))</f>
        <v/>
      </c>
    </row>
    <row r="100" customFormat="false" ht="15" hidden="false" customHeight="true" outlineLevel="0" collapsed="false">
      <c r="A100" s="6"/>
      <c r="B100" s="21"/>
      <c r="C100" s="21"/>
      <c r="D100" s="21"/>
      <c r="E100" s="21"/>
      <c r="F100" s="21"/>
      <c r="G100" s="21"/>
      <c r="H100" s="59"/>
      <c r="I100" s="21"/>
      <c r="J100" s="21"/>
      <c r="K100" s="21"/>
      <c r="L100" s="78"/>
      <c r="M100" s="37" t="str">
        <f aca="false">IF($G100&lt;&gt;"PIPE","",IFERROR(1/(1/INDEX(배관단중표!$B$7:$W$41,MATCH($I100,배관단중표!$A$7:$A$41,0),MATCH(IF($J100="SPP","SPP",IF(LEFT($F100,3)="STS",IF(ISNUMBER(SEARCH("316",$F100)),"STS316","STS304"),"SPPS")&amp;"|"&amp;$J100),배관단중표!$B$6:$W$6,0))),"DB확인"))</f>
        <v/>
      </c>
      <c r="N100" s="79"/>
      <c r="O100" s="80"/>
      <c r="P100" s="54" t="str">
        <f aca="false">IF($G100="","",IFERROR(IF(O100&lt;&gt;"",O100,L100*IF(G100="PIPE",M100,N100)),0))</f>
        <v/>
      </c>
      <c r="Q100" s="6" t="str">
        <f aca="false">IF($G100="","",IF(G100="PIPE","P","F"))</f>
        <v/>
      </c>
      <c r="R100" s="35" t="str">
        <f aca="false">IF($G100&lt;&gt;"PIPE","",IFERROR(IF(O100&lt;&gt;"",O100/M100,IF(K100="M",L100,"")),""))</f>
        <v/>
      </c>
      <c r="S100" s="6" t="str">
        <f aca="false">IF($G100&lt;&gt;"PIPE","",IF(AND($AA100="○",OR($W100&lt;&gt;"○",배관기준!$AG$17="N"),$C100&lt;&gt;"매설",LEFT($F100,3)&lt;&gt;"STS",LEFT($F100,3)&lt;&gt;"SUS"),"Y","N"))</f>
        <v/>
      </c>
      <c r="T100" s="16"/>
      <c r="U100" s="21"/>
      <c r="V100" s="21"/>
      <c r="W100" s="6" t="str">
        <f aca="false">IF($G100="","",IFERROR(INDEX(배관집계!$AC$7:$AC$32,MATCH($AC100,배관집계!$AJ$7:$AJ$32,0))&amp;"",""))</f>
        <v/>
      </c>
      <c r="X100" s="6" t="str">
        <f aca="false">IF($G100="","",IFERROR(INDEX(배관집계!$AD$7:$AD$32,MATCH($AC100,배관집계!$AJ$7:$AJ$32,0))&amp;"",""))</f>
        <v/>
      </c>
      <c r="Y100" s="6" t="str">
        <f aca="false">IF($G100="","",IFERROR(INDEX(배관집계!$AE$7:$AE$32,MATCH($AC100,배관집계!$AJ$7:$AJ$32,0))&amp;"",""))</f>
        <v/>
      </c>
      <c r="Z100" s="6" t="str">
        <f aca="false">IF($G100="","",IFERROR(INDEX(배관집계!$AF$7:$AF$32,MATCH($AC100,배관집계!$AJ$7:$AJ$32,0))&amp;"",""))</f>
        <v/>
      </c>
      <c r="AA100" s="6" t="str">
        <f aca="false">IF($G100="","",IFERROR(INDEX(배관집계!$AG$7:$AG$32,MATCH($AC100,배관집계!$AJ$7:$AJ$32,0))&amp;"",""))</f>
        <v/>
      </c>
      <c r="AB100" s="6" t="str">
        <f aca="false">IF($G100="","",IFERROR(INDEX(배관집계!$AH$7:$AH$32,MATCH($AC100,배관집계!$AJ$7:$AJ$32,0))&amp;"",""))</f>
        <v/>
      </c>
      <c r="AC100" s="75" t="str">
        <f aca="false">IF($G100="","",$B100&amp;"|"&amp;$C100&amp;"|"&amp;$E100&amp;"|"&amp;$U100&amp;"|"&amp;$I100)</f>
        <v/>
      </c>
      <c r="AD100" s="76" t="str">
        <f aca="false">IF($G100="","",IF($B100&lt;&gt;"설치","",IF($G100="PIPE","PIPE",IF($G100="VALVE",IF(ISNUMBER(SEARCH("GLOBE",$H100)),"GLOBE",IF(ISNUMBER(SEARCH("GATE",$H100)),"GATE",IF(ISNUMBER(SEARCH("BUTTER",$H100)),"BFLY","VALVE기타"))),IF($G100="FITTING",IF(LEFT($H100,5)="ELBOW",IF($AE100=90,"90EL",IF($AE100=45,"45EL","비규격EL")),IF(LEFT($H100,6)="FLANGE","FLANGE",IF(ISNUMBER(SEARCH("TEE",$H100)),"TEE",""))),"")))))</f>
        <v/>
      </c>
      <c r="AE100" s="76" t="str">
        <f aca="false">IF(AND($G100="FITTING",LEFT($H100,5)="ELBOW"),IFERROR(VALUE(LEFT(MID($H100,7,12),MIN(IFERROR(FIND("L",MID($H100,7,12)),99),IFERROR(FIND("S",MID($H100,7,12)),99),IFERROR(FIND(" ",MID($H100,7,12)),99))-1)),""),"")</f>
        <v/>
      </c>
      <c r="AF100" s="77" t="n">
        <f aca="false">IF($AD100="비규격EL",N($L100)*RADIANS(N($AE100))*보온기준!$F$15*N($I100)*보온기준!$F$16/1000,0)</f>
        <v>0</v>
      </c>
      <c r="AG100" s="76" t="str">
        <f aca="false">IF($G100="","",IF(OR($AA100&lt;&gt;"○",LEFT($F100,3)="STS",LEFT($F100,3)="SUS",$C100="매설"),"Y","N"))</f>
        <v/>
      </c>
    </row>
    <row r="101" customFormat="false" ht="15" hidden="false" customHeight="true" outlineLevel="0" collapsed="false">
      <c r="A101" s="6"/>
      <c r="B101" s="21"/>
      <c r="C101" s="21"/>
      <c r="D101" s="21"/>
      <c r="E101" s="21"/>
      <c r="F101" s="21"/>
      <c r="G101" s="21"/>
      <c r="H101" s="59"/>
      <c r="I101" s="21"/>
      <c r="J101" s="21"/>
      <c r="K101" s="21"/>
      <c r="L101" s="78"/>
      <c r="M101" s="37" t="str">
        <f aca="false">IF($G101&lt;&gt;"PIPE","",IFERROR(1/(1/INDEX(배관단중표!$B$7:$W$41,MATCH($I101,배관단중표!$A$7:$A$41,0),MATCH(IF($J101="SPP","SPP",IF(LEFT($F101,3)="STS",IF(ISNUMBER(SEARCH("316",$F101)),"STS316","STS304"),"SPPS")&amp;"|"&amp;$J101),배관단중표!$B$6:$W$6,0))),"DB확인"))</f>
        <v/>
      </c>
      <c r="N101" s="79"/>
      <c r="O101" s="80"/>
      <c r="P101" s="54" t="str">
        <f aca="false">IF($G101="","",IFERROR(IF(O101&lt;&gt;"",O101,L101*IF(G101="PIPE",M101,N101)),0))</f>
        <v/>
      </c>
      <c r="Q101" s="6" t="str">
        <f aca="false">IF($G101="","",IF(G101="PIPE","P","F"))</f>
        <v/>
      </c>
      <c r="R101" s="35" t="str">
        <f aca="false">IF($G101&lt;&gt;"PIPE","",IFERROR(IF(O101&lt;&gt;"",O101/M101,IF(K101="M",L101,"")),""))</f>
        <v/>
      </c>
      <c r="S101" s="6" t="str">
        <f aca="false">IF($G101&lt;&gt;"PIPE","",IF(AND($AA101="○",OR($W101&lt;&gt;"○",배관기준!$AG$17="N"),$C101&lt;&gt;"매설",LEFT($F101,3)&lt;&gt;"STS",LEFT($F101,3)&lt;&gt;"SUS"),"Y","N"))</f>
        <v/>
      </c>
      <c r="T101" s="16"/>
      <c r="U101" s="21"/>
      <c r="V101" s="21"/>
      <c r="W101" s="6" t="str">
        <f aca="false">IF($G101="","",IFERROR(INDEX(배관집계!$AC$7:$AC$32,MATCH($AC101,배관집계!$AJ$7:$AJ$32,0))&amp;"",""))</f>
        <v/>
      </c>
      <c r="X101" s="6" t="str">
        <f aca="false">IF($G101="","",IFERROR(INDEX(배관집계!$AD$7:$AD$32,MATCH($AC101,배관집계!$AJ$7:$AJ$32,0))&amp;"",""))</f>
        <v/>
      </c>
      <c r="Y101" s="6" t="str">
        <f aca="false">IF($G101="","",IFERROR(INDEX(배관집계!$AE$7:$AE$32,MATCH($AC101,배관집계!$AJ$7:$AJ$32,0))&amp;"",""))</f>
        <v/>
      </c>
      <c r="Z101" s="6" t="str">
        <f aca="false">IF($G101="","",IFERROR(INDEX(배관집계!$AF$7:$AF$32,MATCH($AC101,배관집계!$AJ$7:$AJ$32,0))&amp;"",""))</f>
        <v/>
      </c>
      <c r="AA101" s="6" t="str">
        <f aca="false">IF($G101="","",IFERROR(INDEX(배관집계!$AG$7:$AG$32,MATCH($AC101,배관집계!$AJ$7:$AJ$32,0))&amp;"",""))</f>
        <v/>
      </c>
      <c r="AB101" s="6" t="str">
        <f aca="false">IF($G101="","",IFERROR(INDEX(배관집계!$AH$7:$AH$32,MATCH($AC101,배관집계!$AJ$7:$AJ$32,0))&amp;"",""))</f>
        <v/>
      </c>
      <c r="AC101" s="75" t="str">
        <f aca="false">IF($G101="","",$B101&amp;"|"&amp;$C101&amp;"|"&amp;$E101&amp;"|"&amp;$U101&amp;"|"&amp;$I101)</f>
        <v/>
      </c>
      <c r="AD101" s="76" t="str">
        <f aca="false">IF($G101="","",IF($B101&lt;&gt;"설치","",IF($G101="PIPE","PIPE",IF($G101="VALVE",IF(ISNUMBER(SEARCH("GLOBE",$H101)),"GLOBE",IF(ISNUMBER(SEARCH("GATE",$H101)),"GATE",IF(ISNUMBER(SEARCH("BUTTER",$H101)),"BFLY","VALVE기타"))),IF($G101="FITTING",IF(LEFT($H101,5)="ELBOW",IF($AE101=90,"90EL",IF($AE101=45,"45EL","비규격EL")),IF(LEFT($H101,6)="FLANGE","FLANGE",IF(ISNUMBER(SEARCH("TEE",$H101)),"TEE",""))),"")))))</f>
        <v/>
      </c>
      <c r="AE101" s="76" t="str">
        <f aca="false">IF(AND($G101="FITTING",LEFT($H101,5)="ELBOW"),IFERROR(VALUE(LEFT(MID($H101,7,12),MIN(IFERROR(FIND("L",MID($H101,7,12)),99),IFERROR(FIND("S",MID($H101,7,12)),99),IFERROR(FIND(" ",MID($H101,7,12)),99))-1)),""),"")</f>
        <v/>
      </c>
      <c r="AF101" s="77" t="n">
        <f aca="false">IF($AD101="비규격EL",N($L101)*RADIANS(N($AE101))*보온기준!$F$15*N($I101)*보온기준!$F$16/1000,0)</f>
        <v>0</v>
      </c>
      <c r="AG101" s="76" t="str">
        <f aca="false">IF($G101="","",IF(OR($AA101&lt;&gt;"○",LEFT($F101,3)="STS",LEFT($F101,3)="SUS",$C101="매설"),"Y","N"))</f>
        <v/>
      </c>
    </row>
    <row r="102" customFormat="false" ht="15" hidden="false" customHeight="true" outlineLevel="0" collapsed="false">
      <c r="A102" s="6"/>
      <c r="B102" s="21"/>
      <c r="C102" s="21"/>
      <c r="D102" s="21"/>
      <c r="E102" s="21"/>
      <c r="F102" s="21"/>
      <c r="G102" s="21"/>
      <c r="H102" s="59"/>
      <c r="I102" s="21"/>
      <c r="J102" s="21"/>
      <c r="K102" s="21"/>
      <c r="L102" s="78"/>
      <c r="M102" s="37" t="str">
        <f aca="false">IF($G102&lt;&gt;"PIPE","",IFERROR(1/(1/INDEX(배관단중표!$B$7:$W$41,MATCH($I102,배관단중표!$A$7:$A$41,0),MATCH(IF($J102="SPP","SPP",IF(LEFT($F102,3)="STS",IF(ISNUMBER(SEARCH("316",$F102)),"STS316","STS304"),"SPPS")&amp;"|"&amp;$J102),배관단중표!$B$6:$W$6,0))),"DB확인"))</f>
        <v/>
      </c>
      <c r="N102" s="79"/>
      <c r="O102" s="80"/>
      <c r="P102" s="54" t="str">
        <f aca="false">IF($G102="","",IFERROR(IF(O102&lt;&gt;"",O102,L102*IF(G102="PIPE",M102,N102)),0))</f>
        <v/>
      </c>
      <c r="Q102" s="6" t="str">
        <f aca="false">IF($G102="","",IF(G102="PIPE","P","F"))</f>
        <v/>
      </c>
      <c r="R102" s="35" t="str">
        <f aca="false">IF($G102&lt;&gt;"PIPE","",IFERROR(IF(O102&lt;&gt;"",O102/M102,IF(K102="M",L102,"")),""))</f>
        <v/>
      </c>
      <c r="S102" s="6" t="str">
        <f aca="false">IF($G102&lt;&gt;"PIPE","",IF(AND($AA102="○",OR($W102&lt;&gt;"○",배관기준!$AG$17="N"),$C102&lt;&gt;"매설",LEFT($F102,3)&lt;&gt;"STS",LEFT($F102,3)&lt;&gt;"SUS"),"Y","N"))</f>
        <v/>
      </c>
      <c r="T102" s="16"/>
      <c r="U102" s="21"/>
      <c r="V102" s="21"/>
      <c r="W102" s="6" t="str">
        <f aca="false">IF($G102="","",IFERROR(INDEX(배관집계!$AC$7:$AC$32,MATCH($AC102,배관집계!$AJ$7:$AJ$32,0))&amp;"",""))</f>
        <v/>
      </c>
      <c r="X102" s="6" t="str">
        <f aca="false">IF($G102="","",IFERROR(INDEX(배관집계!$AD$7:$AD$32,MATCH($AC102,배관집계!$AJ$7:$AJ$32,0))&amp;"",""))</f>
        <v/>
      </c>
      <c r="Y102" s="6" t="str">
        <f aca="false">IF($G102="","",IFERROR(INDEX(배관집계!$AE$7:$AE$32,MATCH($AC102,배관집계!$AJ$7:$AJ$32,0))&amp;"",""))</f>
        <v/>
      </c>
      <c r="Z102" s="6" t="str">
        <f aca="false">IF($G102="","",IFERROR(INDEX(배관집계!$AF$7:$AF$32,MATCH($AC102,배관집계!$AJ$7:$AJ$32,0))&amp;"",""))</f>
        <v/>
      </c>
      <c r="AA102" s="6" t="str">
        <f aca="false">IF($G102="","",IFERROR(INDEX(배관집계!$AG$7:$AG$32,MATCH($AC102,배관집계!$AJ$7:$AJ$32,0))&amp;"",""))</f>
        <v/>
      </c>
      <c r="AB102" s="6" t="str">
        <f aca="false">IF($G102="","",IFERROR(INDEX(배관집계!$AH$7:$AH$32,MATCH($AC102,배관집계!$AJ$7:$AJ$32,0))&amp;"",""))</f>
        <v/>
      </c>
      <c r="AC102" s="75" t="str">
        <f aca="false">IF($G102="","",$B102&amp;"|"&amp;$C102&amp;"|"&amp;$E102&amp;"|"&amp;$U102&amp;"|"&amp;$I102)</f>
        <v/>
      </c>
      <c r="AD102" s="76" t="str">
        <f aca="false">IF($G102="","",IF($B102&lt;&gt;"설치","",IF($G102="PIPE","PIPE",IF($G102="VALVE",IF(ISNUMBER(SEARCH("GLOBE",$H102)),"GLOBE",IF(ISNUMBER(SEARCH("GATE",$H102)),"GATE",IF(ISNUMBER(SEARCH("BUTTER",$H102)),"BFLY","VALVE기타"))),IF($G102="FITTING",IF(LEFT($H102,5)="ELBOW",IF($AE102=90,"90EL",IF($AE102=45,"45EL","비규격EL")),IF(LEFT($H102,6)="FLANGE","FLANGE",IF(ISNUMBER(SEARCH("TEE",$H102)),"TEE",""))),"")))))</f>
        <v/>
      </c>
      <c r="AE102" s="76" t="str">
        <f aca="false">IF(AND($G102="FITTING",LEFT($H102,5)="ELBOW"),IFERROR(VALUE(LEFT(MID($H102,7,12),MIN(IFERROR(FIND("L",MID($H102,7,12)),99),IFERROR(FIND("S",MID($H102,7,12)),99),IFERROR(FIND(" ",MID($H102,7,12)),99))-1)),""),"")</f>
        <v/>
      </c>
      <c r="AF102" s="77" t="n">
        <f aca="false">IF($AD102="비규격EL",N($L102)*RADIANS(N($AE102))*보온기준!$F$15*N($I102)*보온기준!$F$16/1000,0)</f>
        <v>0</v>
      </c>
      <c r="AG102" s="76" t="str">
        <f aca="false">IF($G102="","",IF(OR($AA102&lt;&gt;"○",LEFT($F102,3)="STS",LEFT($F102,3)="SUS",$C102="매설"),"Y","N"))</f>
        <v/>
      </c>
    </row>
    <row r="103" customFormat="false" ht="15" hidden="false" customHeight="true" outlineLevel="0" collapsed="false">
      <c r="A103" s="6"/>
      <c r="B103" s="21"/>
      <c r="C103" s="21"/>
      <c r="D103" s="21"/>
      <c r="E103" s="21"/>
      <c r="F103" s="21"/>
      <c r="G103" s="21"/>
      <c r="H103" s="59"/>
      <c r="I103" s="21"/>
      <c r="J103" s="21"/>
      <c r="K103" s="21"/>
      <c r="L103" s="78"/>
      <c r="M103" s="37" t="str">
        <f aca="false">IF($G103&lt;&gt;"PIPE","",IFERROR(1/(1/INDEX(배관단중표!$B$7:$W$41,MATCH($I103,배관단중표!$A$7:$A$41,0),MATCH(IF($J103="SPP","SPP",IF(LEFT($F103,3)="STS",IF(ISNUMBER(SEARCH("316",$F103)),"STS316","STS304"),"SPPS")&amp;"|"&amp;$J103),배관단중표!$B$6:$W$6,0))),"DB확인"))</f>
        <v/>
      </c>
      <c r="N103" s="79"/>
      <c r="O103" s="80"/>
      <c r="P103" s="54" t="str">
        <f aca="false">IF($G103="","",IFERROR(IF(O103&lt;&gt;"",O103,L103*IF(G103="PIPE",M103,N103)),0))</f>
        <v/>
      </c>
      <c r="Q103" s="6" t="str">
        <f aca="false">IF($G103="","",IF(G103="PIPE","P","F"))</f>
        <v/>
      </c>
      <c r="R103" s="35" t="str">
        <f aca="false">IF($G103&lt;&gt;"PIPE","",IFERROR(IF(O103&lt;&gt;"",O103/M103,IF(K103="M",L103,"")),""))</f>
        <v/>
      </c>
      <c r="S103" s="6" t="str">
        <f aca="false">IF($G103&lt;&gt;"PIPE","",IF(AND($AA103="○",OR($W103&lt;&gt;"○",배관기준!$AG$17="N"),$C103&lt;&gt;"매설",LEFT($F103,3)&lt;&gt;"STS",LEFT($F103,3)&lt;&gt;"SUS"),"Y","N"))</f>
        <v/>
      </c>
      <c r="T103" s="16"/>
      <c r="U103" s="21"/>
      <c r="V103" s="21"/>
      <c r="W103" s="6" t="str">
        <f aca="false">IF($G103="","",IFERROR(INDEX(배관집계!$AC$7:$AC$32,MATCH($AC103,배관집계!$AJ$7:$AJ$32,0))&amp;"",""))</f>
        <v/>
      </c>
      <c r="X103" s="6" t="str">
        <f aca="false">IF($G103="","",IFERROR(INDEX(배관집계!$AD$7:$AD$32,MATCH($AC103,배관집계!$AJ$7:$AJ$32,0))&amp;"",""))</f>
        <v/>
      </c>
      <c r="Y103" s="6" t="str">
        <f aca="false">IF($G103="","",IFERROR(INDEX(배관집계!$AE$7:$AE$32,MATCH($AC103,배관집계!$AJ$7:$AJ$32,0))&amp;"",""))</f>
        <v/>
      </c>
      <c r="Z103" s="6" t="str">
        <f aca="false">IF($G103="","",IFERROR(INDEX(배관집계!$AF$7:$AF$32,MATCH($AC103,배관집계!$AJ$7:$AJ$32,0))&amp;"",""))</f>
        <v/>
      </c>
      <c r="AA103" s="6" t="str">
        <f aca="false">IF($G103="","",IFERROR(INDEX(배관집계!$AG$7:$AG$32,MATCH($AC103,배관집계!$AJ$7:$AJ$32,0))&amp;"",""))</f>
        <v/>
      </c>
      <c r="AB103" s="6" t="str">
        <f aca="false">IF($G103="","",IFERROR(INDEX(배관집계!$AH$7:$AH$32,MATCH($AC103,배관집계!$AJ$7:$AJ$32,0))&amp;"",""))</f>
        <v/>
      </c>
      <c r="AC103" s="75" t="str">
        <f aca="false">IF($G103="","",$B103&amp;"|"&amp;$C103&amp;"|"&amp;$E103&amp;"|"&amp;$U103&amp;"|"&amp;$I103)</f>
        <v/>
      </c>
      <c r="AD103" s="76" t="str">
        <f aca="false">IF($G103="","",IF($B103&lt;&gt;"설치","",IF($G103="PIPE","PIPE",IF($G103="VALVE",IF(ISNUMBER(SEARCH("GLOBE",$H103)),"GLOBE",IF(ISNUMBER(SEARCH("GATE",$H103)),"GATE",IF(ISNUMBER(SEARCH("BUTTER",$H103)),"BFLY","VALVE기타"))),IF($G103="FITTING",IF(LEFT($H103,5)="ELBOW",IF($AE103=90,"90EL",IF($AE103=45,"45EL","비규격EL")),IF(LEFT($H103,6)="FLANGE","FLANGE",IF(ISNUMBER(SEARCH("TEE",$H103)),"TEE",""))),"")))))</f>
        <v/>
      </c>
      <c r="AE103" s="76" t="str">
        <f aca="false">IF(AND($G103="FITTING",LEFT($H103,5)="ELBOW"),IFERROR(VALUE(LEFT(MID($H103,7,12),MIN(IFERROR(FIND("L",MID($H103,7,12)),99),IFERROR(FIND("S",MID($H103,7,12)),99),IFERROR(FIND(" ",MID($H103,7,12)),99))-1)),""),"")</f>
        <v/>
      </c>
      <c r="AF103" s="77" t="n">
        <f aca="false">IF($AD103="비규격EL",N($L103)*RADIANS(N($AE103))*보온기준!$F$15*N($I103)*보온기준!$F$16/1000,0)</f>
        <v>0</v>
      </c>
      <c r="AG103" s="76" t="str">
        <f aca="false">IF($G103="","",IF(OR($AA103&lt;&gt;"○",LEFT($F103,3)="STS",LEFT($F103,3)="SUS",$C103="매설"),"Y","N"))</f>
        <v/>
      </c>
    </row>
    <row r="104" customFormat="false" ht="15" hidden="false" customHeight="true" outlineLevel="0" collapsed="false">
      <c r="A104" s="6"/>
      <c r="B104" s="21"/>
      <c r="C104" s="21"/>
      <c r="D104" s="21"/>
      <c r="E104" s="21"/>
      <c r="F104" s="21"/>
      <c r="G104" s="21"/>
      <c r="H104" s="59"/>
      <c r="I104" s="21"/>
      <c r="J104" s="21"/>
      <c r="K104" s="21"/>
      <c r="L104" s="78"/>
      <c r="M104" s="37" t="str">
        <f aca="false">IF($G104&lt;&gt;"PIPE","",IFERROR(1/(1/INDEX(배관단중표!$B$7:$W$41,MATCH($I104,배관단중표!$A$7:$A$41,0),MATCH(IF($J104="SPP","SPP",IF(LEFT($F104,3)="STS",IF(ISNUMBER(SEARCH("316",$F104)),"STS316","STS304"),"SPPS")&amp;"|"&amp;$J104),배관단중표!$B$6:$W$6,0))),"DB확인"))</f>
        <v/>
      </c>
      <c r="N104" s="79"/>
      <c r="O104" s="80"/>
      <c r="P104" s="54" t="str">
        <f aca="false">IF($G104="","",IFERROR(IF(O104&lt;&gt;"",O104,L104*IF(G104="PIPE",M104,N104)),0))</f>
        <v/>
      </c>
      <c r="Q104" s="6" t="str">
        <f aca="false">IF($G104="","",IF(G104="PIPE","P","F"))</f>
        <v/>
      </c>
      <c r="R104" s="35" t="str">
        <f aca="false">IF($G104&lt;&gt;"PIPE","",IFERROR(IF(O104&lt;&gt;"",O104/M104,IF(K104="M",L104,"")),""))</f>
        <v/>
      </c>
      <c r="S104" s="6" t="str">
        <f aca="false">IF($G104&lt;&gt;"PIPE","",IF(AND($AA104="○",OR($W104&lt;&gt;"○",배관기준!$AG$17="N"),$C104&lt;&gt;"매설",LEFT($F104,3)&lt;&gt;"STS",LEFT($F104,3)&lt;&gt;"SUS"),"Y","N"))</f>
        <v/>
      </c>
      <c r="T104" s="16"/>
      <c r="U104" s="21"/>
      <c r="V104" s="21"/>
      <c r="W104" s="6" t="str">
        <f aca="false">IF($G104="","",IFERROR(INDEX(배관집계!$AC$7:$AC$32,MATCH($AC104,배관집계!$AJ$7:$AJ$32,0))&amp;"",""))</f>
        <v/>
      </c>
      <c r="X104" s="6" t="str">
        <f aca="false">IF($G104="","",IFERROR(INDEX(배관집계!$AD$7:$AD$32,MATCH($AC104,배관집계!$AJ$7:$AJ$32,0))&amp;"",""))</f>
        <v/>
      </c>
      <c r="Y104" s="6" t="str">
        <f aca="false">IF($G104="","",IFERROR(INDEX(배관집계!$AE$7:$AE$32,MATCH($AC104,배관집계!$AJ$7:$AJ$32,0))&amp;"",""))</f>
        <v/>
      </c>
      <c r="Z104" s="6" t="str">
        <f aca="false">IF($G104="","",IFERROR(INDEX(배관집계!$AF$7:$AF$32,MATCH($AC104,배관집계!$AJ$7:$AJ$32,0))&amp;"",""))</f>
        <v/>
      </c>
      <c r="AA104" s="6" t="str">
        <f aca="false">IF($G104="","",IFERROR(INDEX(배관집계!$AG$7:$AG$32,MATCH($AC104,배관집계!$AJ$7:$AJ$32,0))&amp;"",""))</f>
        <v/>
      </c>
      <c r="AB104" s="6" t="str">
        <f aca="false">IF($G104="","",IFERROR(INDEX(배관집계!$AH$7:$AH$32,MATCH($AC104,배관집계!$AJ$7:$AJ$32,0))&amp;"",""))</f>
        <v/>
      </c>
      <c r="AC104" s="75" t="str">
        <f aca="false">IF($G104="","",$B104&amp;"|"&amp;$C104&amp;"|"&amp;$E104&amp;"|"&amp;$U104&amp;"|"&amp;$I104)</f>
        <v/>
      </c>
      <c r="AD104" s="76" t="str">
        <f aca="false">IF($G104="","",IF($B104&lt;&gt;"설치","",IF($G104="PIPE","PIPE",IF($G104="VALVE",IF(ISNUMBER(SEARCH("GLOBE",$H104)),"GLOBE",IF(ISNUMBER(SEARCH("GATE",$H104)),"GATE",IF(ISNUMBER(SEARCH("BUTTER",$H104)),"BFLY","VALVE기타"))),IF($G104="FITTING",IF(LEFT($H104,5)="ELBOW",IF($AE104=90,"90EL",IF($AE104=45,"45EL","비규격EL")),IF(LEFT($H104,6)="FLANGE","FLANGE",IF(ISNUMBER(SEARCH("TEE",$H104)),"TEE",""))),"")))))</f>
        <v/>
      </c>
      <c r="AE104" s="76" t="str">
        <f aca="false">IF(AND($G104="FITTING",LEFT($H104,5)="ELBOW"),IFERROR(VALUE(LEFT(MID($H104,7,12),MIN(IFERROR(FIND("L",MID($H104,7,12)),99),IFERROR(FIND("S",MID($H104,7,12)),99),IFERROR(FIND(" ",MID($H104,7,12)),99))-1)),""),"")</f>
        <v/>
      </c>
      <c r="AF104" s="77" t="n">
        <f aca="false">IF($AD104="비규격EL",N($L104)*RADIANS(N($AE104))*보온기준!$F$15*N($I104)*보온기준!$F$16/1000,0)</f>
        <v>0</v>
      </c>
      <c r="AG104" s="76" t="str">
        <f aca="false">IF($G104="","",IF(OR($AA104&lt;&gt;"○",LEFT($F104,3)="STS",LEFT($F104,3)="SUS",$C104="매설"),"Y","N"))</f>
        <v/>
      </c>
    </row>
    <row r="105" customFormat="false" ht="15" hidden="false" customHeight="true" outlineLevel="0" collapsed="false">
      <c r="A105" s="6"/>
      <c r="B105" s="21"/>
      <c r="C105" s="21"/>
      <c r="D105" s="21"/>
      <c r="E105" s="21"/>
      <c r="F105" s="21"/>
      <c r="G105" s="21"/>
      <c r="H105" s="59"/>
      <c r="I105" s="21"/>
      <c r="J105" s="21"/>
      <c r="K105" s="21"/>
      <c r="L105" s="78"/>
      <c r="M105" s="37" t="str">
        <f aca="false">IF($G105&lt;&gt;"PIPE","",IFERROR(1/(1/INDEX(배관단중표!$B$7:$W$41,MATCH($I105,배관단중표!$A$7:$A$41,0),MATCH(IF($J105="SPP","SPP",IF(LEFT($F105,3)="STS",IF(ISNUMBER(SEARCH("316",$F105)),"STS316","STS304"),"SPPS")&amp;"|"&amp;$J105),배관단중표!$B$6:$W$6,0))),"DB확인"))</f>
        <v/>
      </c>
      <c r="N105" s="79"/>
      <c r="O105" s="80"/>
      <c r="P105" s="54" t="str">
        <f aca="false">IF($G105="","",IFERROR(IF(O105&lt;&gt;"",O105,L105*IF(G105="PIPE",M105,N105)),0))</f>
        <v/>
      </c>
      <c r="Q105" s="6" t="str">
        <f aca="false">IF($G105="","",IF(G105="PIPE","P","F"))</f>
        <v/>
      </c>
      <c r="R105" s="35" t="str">
        <f aca="false">IF($G105&lt;&gt;"PIPE","",IFERROR(IF(O105&lt;&gt;"",O105/M105,IF(K105="M",L105,"")),""))</f>
        <v/>
      </c>
      <c r="S105" s="6" t="str">
        <f aca="false">IF($G105&lt;&gt;"PIPE","",IF(AND($AA105="○",OR($W105&lt;&gt;"○",배관기준!$AG$17="N"),$C105&lt;&gt;"매설",LEFT($F105,3)&lt;&gt;"STS",LEFT($F105,3)&lt;&gt;"SUS"),"Y","N"))</f>
        <v/>
      </c>
      <c r="T105" s="16"/>
      <c r="U105" s="21"/>
      <c r="V105" s="21"/>
      <c r="W105" s="6" t="str">
        <f aca="false">IF($G105="","",IFERROR(INDEX(배관집계!$AC$7:$AC$32,MATCH($AC105,배관집계!$AJ$7:$AJ$32,0))&amp;"",""))</f>
        <v/>
      </c>
      <c r="X105" s="6" t="str">
        <f aca="false">IF($G105="","",IFERROR(INDEX(배관집계!$AD$7:$AD$32,MATCH($AC105,배관집계!$AJ$7:$AJ$32,0))&amp;"",""))</f>
        <v/>
      </c>
      <c r="Y105" s="6" t="str">
        <f aca="false">IF($G105="","",IFERROR(INDEX(배관집계!$AE$7:$AE$32,MATCH($AC105,배관집계!$AJ$7:$AJ$32,0))&amp;"",""))</f>
        <v/>
      </c>
      <c r="Z105" s="6" t="str">
        <f aca="false">IF($G105="","",IFERROR(INDEX(배관집계!$AF$7:$AF$32,MATCH($AC105,배관집계!$AJ$7:$AJ$32,0))&amp;"",""))</f>
        <v/>
      </c>
      <c r="AA105" s="6" t="str">
        <f aca="false">IF($G105="","",IFERROR(INDEX(배관집계!$AG$7:$AG$32,MATCH($AC105,배관집계!$AJ$7:$AJ$32,0))&amp;"",""))</f>
        <v/>
      </c>
      <c r="AB105" s="6" t="str">
        <f aca="false">IF($G105="","",IFERROR(INDEX(배관집계!$AH$7:$AH$32,MATCH($AC105,배관집계!$AJ$7:$AJ$32,0))&amp;"",""))</f>
        <v/>
      </c>
      <c r="AC105" s="75" t="str">
        <f aca="false">IF($G105="","",$B105&amp;"|"&amp;$C105&amp;"|"&amp;$E105&amp;"|"&amp;$U105&amp;"|"&amp;$I105)</f>
        <v/>
      </c>
      <c r="AD105" s="76" t="str">
        <f aca="false">IF($G105="","",IF($B105&lt;&gt;"설치","",IF($G105="PIPE","PIPE",IF($G105="VALVE",IF(ISNUMBER(SEARCH("GLOBE",$H105)),"GLOBE",IF(ISNUMBER(SEARCH("GATE",$H105)),"GATE",IF(ISNUMBER(SEARCH("BUTTER",$H105)),"BFLY","VALVE기타"))),IF($G105="FITTING",IF(LEFT($H105,5)="ELBOW",IF($AE105=90,"90EL",IF($AE105=45,"45EL","비규격EL")),IF(LEFT($H105,6)="FLANGE","FLANGE",IF(ISNUMBER(SEARCH("TEE",$H105)),"TEE",""))),"")))))</f>
        <v/>
      </c>
      <c r="AE105" s="76" t="str">
        <f aca="false">IF(AND($G105="FITTING",LEFT($H105,5)="ELBOW"),IFERROR(VALUE(LEFT(MID($H105,7,12),MIN(IFERROR(FIND("L",MID($H105,7,12)),99),IFERROR(FIND("S",MID($H105,7,12)),99),IFERROR(FIND(" ",MID($H105,7,12)),99))-1)),""),"")</f>
        <v/>
      </c>
      <c r="AF105" s="77" t="n">
        <f aca="false">IF($AD105="비규격EL",N($L105)*RADIANS(N($AE105))*보온기준!$F$15*N($I105)*보온기준!$F$16/1000,0)</f>
        <v>0</v>
      </c>
      <c r="AG105" s="76" t="str">
        <f aca="false">IF($G105="","",IF(OR($AA105&lt;&gt;"○",LEFT($F105,3)="STS",LEFT($F105,3)="SUS",$C105="매설"),"Y","N"))</f>
        <v/>
      </c>
    </row>
    <row r="106" customFormat="false" ht="15" hidden="false" customHeight="true" outlineLevel="0" collapsed="false">
      <c r="A106" s="6"/>
      <c r="B106" s="21"/>
      <c r="C106" s="21"/>
      <c r="D106" s="21"/>
      <c r="E106" s="21"/>
      <c r="F106" s="21"/>
      <c r="G106" s="21"/>
      <c r="H106" s="59"/>
      <c r="I106" s="21"/>
      <c r="J106" s="21"/>
      <c r="K106" s="21"/>
      <c r="L106" s="78"/>
      <c r="M106" s="37" t="str">
        <f aca="false">IF($G106&lt;&gt;"PIPE","",IFERROR(1/(1/INDEX(배관단중표!$B$7:$W$41,MATCH($I106,배관단중표!$A$7:$A$41,0),MATCH(IF($J106="SPP","SPP",IF(LEFT($F106,3)="STS",IF(ISNUMBER(SEARCH("316",$F106)),"STS316","STS304"),"SPPS")&amp;"|"&amp;$J106),배관단중표!$B$6:$W$6,0))),"DB확인"))</f>
        <v/>
      </c>
      <c r="N106" s="79"/>
      <c r="O106" s="80"/>
      <c r="P106" s="54" t="str">
        <f aca="false">IF($G106="","",IFERROR(IF(O106&lt;&gt;"",O106,L106*IF(G106="PIPE",M106,N106)),0))</f>
        <v/>
      </c>
      <c r="Q106" s="6" t="str">
        <f aca="false">IF($G106="","",IF(G106="PIPE","P","F"))</f>
        <v/>
      </c>
      <c r="R106" s="35" t="str">
        <f aca="false">IF($G106&lt;&gt;"PIPE","",IFERROR(IF(O106&lt;&gt;"",O106/M106,IF(K106="M",L106,"")),""))</f>
        <v/>
      </c>
      <c r="S106" s="6" t="str">
        <f aca="false">IF($G106&lt;&gt;"PIPE","",IF(AND($AA106="○",OR($W106&lt;&gt;"○",배관기준!$AG$17="N"),$C106&lt;&gt;"매설",LEFT($F106,3)&lt;&gt;"STS",LEFT($F106,3)&lt;&gt;"SUS"),"Y","N"))</f>
        <v/>
      </c>
      <c r="T106" s="16"/>
      <c r="U106" s="21"/>
      <c r="V106" s="21"/>
      <c r="W106" s="6" t="str">
        <f aca="false">IF($G106="","",IFERROR(INDEX(배관집계!$AC$7:$AC$32,MATCH($AC106,배관집계!$AJ$7:$AJ$32,0))&amp;"",""))</f>
        <v/>
      </c>
      <c r="X106" s="6" t="str">
        <f aca="false">IF($G106="","",IFERROR(INDEX(배관집계!$AD$7:$AD$32,MATCH($AC106,배관집계!$AJ$7:$AJ$32,0))&amp;"",""))</f>
        <v/>
      </c>
      <c r="Y106" s="6" t="str">
        <f aca="false">IF($G106="","",IFERROR(INDEX(배관집계!$AE$7:$AE$32,MATCH($AC106,배관집계!$AJ$7:$AJ$32,0))&amp;"",""))</f>
        <v/>
      </c>
      <c r="Z106" s="6" t="str">
        <f aca="false">IF($G106="","",IFERROR(INDEX(배관집계!$AF$7:$AF$32,MATCH($AC106,배관집계!$AJ$7:$AJ$32,0))&amp;"",""))</f>
        <v/>
      </c>
      <c r="AA106" s="6" t="str">
        <f aca="false">IF($G106="","",IFERROR(INDEX(배관집계!$AG$7:$AG$32,MATCH($AC106,배관집계!$AJ$7:$AJ$32,0))&amp;"",""))</f>
        <v/>
      </c>
      <c r="AB106" s="6" t="str">
        <f aca="false">IF($G106="","",IFERROR(INDEX(배관집계!$AH$7:$AH$32,MATCH($AC106,배관집계!$AJ$7:$AJ$32,0))&amp;"",""))</f>
        <v/>
      </c>
      <c r="AC106" s="75" t="str">
        <f aca="false">IF($G106="","",$B106&amp;"|"&amp;$C106&amp;"|"&amp;$E106&amp;"|"&amp;$U106&amp;"|"&amp;$I106)</f>
        <v/>
      </c>
      <c r="AD106" s="76" t="str">
        <f aca="false">IF($G106="","",IF($B106&lt;&gt;"설치","",IF($G106="PIPE","PIPE",IF($G106="VALVE",IF(ISNUMBER(SEARCH("GLOBE",$H106)),"GLOBE",IF(ISNUMBER(SEARCH("GATE",$H106)),"GATE",IF(ISNUMBER(SEARCH("BUTTER",$H106)),"BFLY","VALVE기타"))),IF($G106="FITTING",IF(LEFT($H106,5)="ELBOW",IF($AE106=90,"90EL",IF($AE106=45,"45EL","비규격EL")),IF(LEFT($H106,6)="FLANGE","FLANGE",IF(ISNUMBER(SEARCH("TEE",$H106)),"TEE",""))),"")))))</f>
        <v/>
      </c>
      <c r="AE106" s="76" t="str">
        <f aca="false">IF(AND($G106="FITTING",LEFT($H106,5)="ELBOW"),IFERROR(VALUE(LEFT(MID($H106,7,12),MIN(IFERROR(FIND("L",MID($H106,7,12)),99),IFERROR(FIND("S",MID($H106,7,12)),99),IFERROR(FIND(" ",MID($H106,7,12)),99))-1)),""),"")</f>
        <v/>
      </c>
      <c r="AF106" s="77" t="n">
        <f aca="false">IF($AD106="비규격EL",N($L106)*RADIANS(N($AE106))*보온기준!$F$15*N($I106)*보온기준!$F$16/1000,0)</f>
        <v>0</v>
      </c>
      <c r="AG106" s="76" t="str">
        <f aca="false">IF($G106="","",IF(OR($AA106&lt;&gt;"○",LEFT($F106,3)="STS",LEFT($F106,3)="SUS",$C106="매설"),"Y","N"))</f>
        <v/>
      </c>
    </row>
    <row r="107" customFormat="false" ht="15" hidden="false" customHeight="true" outlineLevel="0" collapsed="false">
      <c r="A107" s="6"/>
      <c r="B107" s="21"/>
      <c r="C107" s="21"/>
      <c r="D107" s="21"/>
      <c r="E107" s="21"/>
      <c r="F107" s="21"/>
      <c r="G107" s="21"/>
      <c r="H107" s="59"/>
      <c r="I107" s="21"/>
      <c r="J107" s="21"/>
      <c r="K107" s="21"/>
      <c r="L107" s="78"/>
      <c r="M107" s="37" t="str">
        <f aca="false">IF($G107&lt;&gt;"PIPE","",IFERROR(1/(1/INDEX(배관단중표!$B$7:$W$41,MATCH($I107,배관단중표!$A$7:$A$41,0),MATCH(IF($J107="SPP","SPP",IF(LEFT($F107,3)="STS",IF(ISNUMBER(SEARCH("316",$F107)),"STS316","STS304"),"SPPS")&amp;"|"&amp;$J107),배관단중표!$B$6:$W$6,0))),"DB확인"))</f>
        <v/>
      </c>
      <c r="N107" s="79"/>
      <c r="O107" s="80"/>
      <c r="P107" s="54" t="str">
        <f aca="false">IF($G107="","",IFERROR(IF(O107&lt;&gt;"",O107,L107*IF(G107="PIPE",M107,N107)),0))</f>
        <v/>
      </c>
      <c r="Q107" s="6" t="str">
        <f aca="false">IF($G107="","",IF(G107="PIPE","P","F"))</f>
        <v/>
      </c>
      <c r="R107" s="35" t="str">
        <f aca="false">IF($G107&lt;&gt;"PIPE","",IFERROR(IF(O107&lt;&gt;"",O107/M107,IF(K107="M",L107,"")),""))</f>
        <v/>
      </c>
      <c r="S107" s="6" t="str">
        <f aca="false">IF($G107&lt;&gt;"PIPE","",IF(AND($AA107="○",OR($W107&lt;&gt;"○",배관기준!$AG$17="N"),$C107&lt;&gt;"매설",LEFT($F107,3)&lt;&gt;"STS",LEFT($F107,3)&lt;&gt;"SUS"),"Y","N"))</f>
        <v/>
      </c>
      <c r="T107" s="16"/>
      <c r="U107" s="21"/>
      <c r="V107" s="21"/>
      <c r="W107" s="6" t="str">
        <f aca="false">IF($G107="","",IFERROR(INDEX(배관집계!$AC$7:$AC$32,MATCH($AC107,배관집계!$AJ$7:$AJ$32,0))&amp;"",""))</f>
        <v/>
      </c>
      <c r="X107" s="6" t="str">
        <f aca="false">IF($G107="","",IFERROR(INDEX(배관집계!$AD$7:$AD$32,MATCH($AC107,배관집계!$AJ$7:$AJ$32,0))&amp;"",""))</f>
        <v/>
      </c>
      <c r="Y107" s="6" t="str">
        <f aca="false">IF($G107="","",IFERROR(INDEX(배관집계!$AE$7:$AE$32,MATCH($AC107,배관집계!$AJ$7:$AJ$32,0))&amp;"",""))</f>
        <v/>
      </c>
      <c r="Z107" s="6" t="str">
        <f aca="false">IF($G107="","",IFERROR(INDEX(배관집계!$AF$7:$AF$32,MATCH($AC107,배관집계!$AJ$7:$AJ$32,0))&amp;"",""))</f>
        <v/>
      </c>
      <c r="AA107" s="6" t="str">
        <f aca="false">IF($G107="","",IFERROR(INDEX(배관집계!$AG$7:$AG$32,MATCH($AC107,배관집계!$AJ$7:$AJ$32,0))&amp;"",""))</f>
        <v/>
      </c>
      <c r="AB107" s="6" t="str">
        <f aca="false">IF($G107="","",IFERROR(INDEX(배관집계!$AH$7:$AH$32,MATCH($AC107,배관집계!$AJ$7:$AJ$32,0))&amp;"",""))</f>
        <v/>
      </c>
      <c r="AC107" s="75" t="str">
        <f aca="false">IF($G107="","",$B107&amp;"|"&amp;$C107&amp;"|"&amp;$E107&amp;"|"&amp;$U107&amp;"|"&amp;$I107)</f>
        <v/>
      </c>
      <c r="AD107" s="76" t="str">
        <f aca="false">IF($G107="","",IF($B107&lt;&gt;"설치","",IF($G107="PIPE","PIPE",IF($G107="VALVE",IF(ISNUMBER(SEARCH("GLOBE",$H107)),"GLOBE",IF(ISNUMBER(SEARCH("GATE",$H107)),"GATE",IF(ISNUMBER(SEARCH("BUTTER",$H107)),"BFLY","VALVE기타"))),IF($G107="FITTING",IF(LEFT($H107,5)="ELBOW",IF($AE107=90,"90EL",IF($AE107=45,"45EL","비규격EL")),IF(LEFT($H107,6)="FLANGE","FLANGE",IF(ISNUMBER(SEARCH("TEE",$H107)),"TEE",""))),"")))))</f>
        <v/>
      </c>
      <c r="AE107" s="76" t="str">
        <f aca="false">IF(AND($G107="FITTING",LEFT($H107,5)="ELBOW"),IFERROR(VALUE(LEFT(MID($H107,7,12),MIN(IFERROR(FIND("L",MID($H107,7,12)),99),IFERROR(FIND("S",MID($H107,7,12)),99),IFERROR(FIND(" ",MID($H107,7,12)),99))-1)),""),"")</f>
        <v/>
      </c>
      <c r="AF107" s="77" t="n">
        <f aca="false">IF($AD107="비규격EL",N($L107)*RADIANS(N($AE107))*보온기준!$F$15*N($I107)*보온기준!$F$16/1000,0)</f>
        <v>0</v>
      </c>
      <c r="AG107" s="76" t="str">
        <f aca="false">IF($G107="","",IF(OR($AA107&lt;&gt;"○",LEFT($F107,3)="STS",LEFT($F107,3)="SUS",$C107="매설"),"Y","N"))</f>
        <v/>
      </c>
    </row>
    <row r="108" customFormat="false" ht="15" hidden="false" customHeight="true" outlineLevel="0" collapsed="false">
      <c r="A108" s="6"/>
      <c r="B108" s="21"/>
      <c r="C108" s="21"/>
      <c r="D108" s="21"/>
      <c r="E108" s="21"/>
      <c r="F108" s="21"/>
      <c r="G108" s="21"/>
      <c r="H108" s="59"/>
      <c r="I108" s="21"/>
      <c r="J108" s="21"/>
      <c r="K108" s="21"/>
      <c r="L108" s="78"/>
      <c r="M108" s="37" t="str">
        <f aca="false">IF($G108&lt;&gt;"PIPE","",IFERROR(1/(1/INDEX(배관단중표!$B$7:$W$41,MATCH($I108,배관단중표!$A$7:$A$41,0),MATCH(IF($J108="SPP","SPP",IF(LEFT($F108,3)="STS",IF(ISNUMBER(SEARCH("316",$F108)),"STS316","STS304"),"SPPS")&amp;"|"&amp;$J108),배관단중표!$B$6:$W$6,0))),"DB확인"))</f>
        <v/>
      </c>
      <c r="N108" s="79"/>
      <c r="O108" s="80"/>
      <c r="P108" s="54" t="str">
        <f aca="false">IF($G108="","",IFERROR(IF(O108&lt;&gt;"",O108,L108*IF(G108="PIPE",M108,N108)),0))</f>
        <v/>
      </c>
      <c r="Q108" s="6" t="str">
        <f aca="false">IF($G108="","",IF(G108="PIPE","P","F"))</f>
        <v/>
      </c>
      <c r="R108" s="35" t="str">
        <f aca="false">IF($G108&lt;&gt;"PIPE","",IFERROR(IF(O108&lt;&gt;"",O108/M108,IF(K108="M",L108,"")),""))</f>
        <v/>
      </c>
      <c r="S108" s="6" t="str">
        <f aca="false">IF($G108&lt;&gt;"PIPE","",IF(AND($AA108="○",OR($W108&lt;&gt;"○",배관기준!$AG$17="N"),$C108&lt;&gt;"매설",LEFT($F108,3)&lt;&gt;"STS",LEFT($F108,3)&lt;&gt;"SUS"),"Y","N"))</f>
        <v/>
      </c>
      <c r="T108" s="16"/>
      <c r="U108" s="21"/>
      <c r="V108" s="21"/>
      <c r="W108" s="6" t="str">
        <f aca="false">IF($G108="","",IFERROR(INDEX(배관집계!$AC$7:$AC$32,MATCH($AC108,배관집계!$AJ$7:$AJ$32,0))&amp;"",""))</f>
        <v/>
      </c>
      <c r="X108" s="6" t="str">
        <f aca="false">IF($G108="","",IFERROR(INDEX(배관집계!$AD$7:$AD$32,MATCH($AC108,배관집계!$AJ$7:$AJ$32,0))&amp;"",""))</f>
        <v/>
      </c>
      <c r="Y108" s="6" t="str">
        <f aca="false">IF($G108="","",IFERROR(INDEX(배관집계!$AE$7:$AE$32,MATCH($AC108,배관집계!$AJ$7:$AJ$32,0))&amp;"",""))</f>
        <v/>
      </c>
      <c r="Z108" s="6" t="str">
        <f aca="false">IF($G108="","",IFERROR(INDEX(배관집계!$AF$7:$AF$32,MATCH($AC108,배관집계!$AJ$7:$AJ$32,0))&amp;"",""))</f>
        <v/>
      </c>
      <c r="AA108" s="6" t="str">
        <f aca="false">IF($G108="","",IFERROR(INDEX(배관집계!$AG$7:$AG$32,MATCH($AC108,배관집계!$AJ$7:$AJ$32,0))&amp;"",""))</f>
        <v/>
      </c>
      <c r="AB108" s="6" t="str">
        <f aca="false">IF($G108="","",IFERROR(INDEX(배관집계!$AH$7:$AH$32,MATCH($AC108,배관집계!$AJ$7:$AJ$32,0))&amp;"",""))</f>
        <v/>
      </c>
      <c r="AC108" s="75" t="str">
        <f aca="false">IF($G108="","",$B108&amp;"|"&amp;$C108&amp;"|"&amp;$E108&amp;"|"&amp;$U108&amp;"|"&amp;$I108)</f>
        <v/>
      </c>
      <c r="AD108" s="76" t="str">
        <f aca="false">IF($G108="","",IF($B108&lt;&gt;"설치","",IF($G108="PIPE","PIPE",IF($G108="VALVE",IF(ISNUMBER(SEARCH("GLOBE",$H108)),"GLOBE",IF(ISNUMBER(SEARCH("GATE",$H108)),"GATE",IF(ISNUMBER(SEARCH("BUTTER",$H108)),"BFLY","VALVE기타"))),IF($G108="FITTING",IF(LEFT($H108,5)="ELBOW",IF($AE108=90,"90EL",IF($AE108=45,"45EL","비규격EL")),IF(LEFT($H108,6)="FLANGE","FLANGE",IF(ISNUMBER(SEARCH("TEE",$H108)),"TEE",""))),"")))))</f>
        <v/>
      </c>
      <c r="AE108" s="76" t="str">
        <f aca="false">IF(AND($G108="FITTING",LEFT($H108,5)="ELBOW"),IFERROR(VALUE(LEFT(MID($H108,7,12),MIN(IFERROR(FIND("L",MID($H108,7,12)),99),IFERROR(FIND("S",MID($H108,7,12)),99),IFERROR(FIND(" ",MID($H108,7,12)),99))-1)),""),"")</f>
        <v/>
      </c>
      <c r="AF108" s="77" t="n">
        <f aca="false">IF($AD108="비규격EL",N($L108)*RADIANS(N($AE108))*보온기준!$F$15*N($I108)*보온기준!$F$16/1000,0)</f>
        <v>0</v>
      </c>
      <c r="AG108" s="76" t="str">
        <f aca="false">IF($G108="","",IF(OR($AA108&lt;&gt;"○",LEFT($F108,3)="STS",LEFT($F108,3)="SUS",$C108="매설"),"Y","N"))</f>
        <v/>
      </c>
    </row>
    <row r="109" customFormat="false" ht="15" hidden="false" customHeight="true" outlineLevel="0" collapsed="false">
      <c r="A109" s="6"/>
      <c r="B109" s="21"/>
      <c r="C109" s="21"/>
      <c r="D109" s="21"/>
      <c r="E109" s="21"/>
      <c r="F109" s="21"/>
      <c r="G109" s="21"/>
      <c r="H109" s="59"/>
      <c r="I109" s="21"/>
      <c r="J109" s="21"/>
      <c r="K109" s="21"/>
      <c r="L109" s="78"/>
      <c r="M109" s="37" t="str">
        <f aca="false">IF($G109&lt;&gt;"PIPE","",IFERROR(1/(1/INDEX(배관단중표!$B$7:$W$41,MATCH($I109,배관단중표!$A$7:$A$41,0),MATCH(IF($J109="SPP","SPP",IF(LEFT($F109,3)="STS",IF(ISNUMBER(SEARCH("316",$F109)),"STS316","STS304"),"SPPS")&amp;"|"&amp;$J109),배관단중표!$B$6:$W$6,0))),"DB확인"))</f>
        <v/>
      </c>
      <c r="N109" s="79"/>
      <c r="O109" s="80"/>
      <c r="P109" s="54" t="str">
        <f aca="false">IF($G109="","",IFERROR(IF(O109&lt;&gt;"",O109,L109*IF(G109="PIPE",M109,N109)),0))</f>
        <v/>
      </c>
      <c r="Q109" s="6" t="str">
        <f aca="false">IF($G109="","",IF(G109="PIPE","P","F"))</f>
        <v/>
      </c>
      <c r="R109" s="35" t="str">
        <f aca="false">IF($G109&lt;&gt;"PIPE","",IFERROR(IF(O109&lt;&gt;"",O109/M109,IF(K109="M",L109,"")),""))</f>
        <v/>
      </c>
      <c r="S109" s="6" t="str">
        <f aca="false">IF($G109&lt;&gt;"PIPE","",IF(AND($AA109="○",OR($W109&lt;&gt;"○",배관기준!$AG$17="N"),$C109&lt;&gt;"매설",LEFT($F109,3)&lt;&gt;"STS",LEFT($F109,3)&lt;&gt;"SUS"),"Y","N"))</f>
        <v/>
      </c>
      <c r="T109" s="16"/>
      <c r="U109" s="21"/>
      <c r="V109" s="21"/>
      <c r="W109" s="6" t="str">
        <f aca="false">IF($G109="","",IFERROR(INDEX(배관집계!$AC$7:$AC$32,MATCH($AC109,배관집계!$AJ$7:$AJ$32,0))&amp;"",""))</f>
        <v/>
      </c>
      <c r="X109" s="6" t="str">
        <f aca="false">IF($G109="","",IFERROR(INDEX(배관집계!$AD$7:$AD$32,MATCH($AC109,배관집계!$AJ$7:$AJ$32,0))&amp;"",""))</f>
        <v/>
      </c>
      <c r="Y109" s="6" t="str">
        <f aca="false">IF($G109="","",IFERROR(INDEX(배관집계!$AE$7:$AE$32,MATCH($AC109,배관집계!$AJ$7:$AJ$32,0))&amp;"",""))</f>
        <v/>
      </c>
      <c r="Z109" s="6" t="str">
        <f aca="false">IF($G109="","",IFERROR(INDEX(배관집계!$AF$7:$AF$32,MATCH($AC109,배관집계!$AJ$7:$AJ$32,0))&amp;"",""))</f>
        <v/>
      </c>
      <c r="AA109" s="6" t="str">
        <f aca="false">IF($G109="","",IFERROR(INDEX(배관집계!$AG$7:$AG$32,MATCH($AC109,배관집계!$AJ$7:$AJ$32,0))&amp;"",""))</f>
        <v/>
      </c>
      <c r="AB109" s="6" t="str">
        <f aca="false">IF($G109="","",IFERROR(INDEX(배관집계!$AH$7:$AH$32,MATCH($AC109,배관집계!$AJ$7:$AJ$32,0))&amp;"",""))</f>
        <v/>
      </c>
      <c r="AC109" s="75" t="str">
        <f aca="false">IF($G109="","",$B109&amp;"|"&amp;$C109&amp;"|"&amp;$E109&amp;"|"&amp;$U109&amp;"|"&amp;$I109)</f>
        <v/>
      </c>
      <c r="AD109" s="76" t="str">
        <f aca="false">IF($G109="","",IF($B109&lt;&gt;"설치","",IF($G109="PIPE","PIPE",IF($G109="VALVE",IF(ISNUMBER(SEARCH("GLOBE",$H109)),"GLOBE",IF(ISNUMBER(SEARCH("GATE",$H109)),"GATE",IF(ISNUMBER(SEARCH("BUTTER",$H109)),"BFLY","VALVE기타"))),IF($G109="FITTING",IF(LEFT($H109,5)="ELBOW",IF($AE109=90,"90EL",IF($AE109=45,"45EL","비규격EL")),IF(LEFT($H109,6)="FLANGE","FLANGE",IF(ISNUMBER(SEARCH("TEE",$H109)),"TEE",""))),"")))))</f>
        <v/>
      </c>
      <c r="AE109" s="76" t="str">
        <f aca="false">IF(AND($G109="FITTING",LEFT($H109,5)="ELBOW"),IFERROR(VALUE(LEFT(MID($H109,7,12),MIN(IFERROR(FIND("L",MID($H109,7,12)),99),IFERROR(FIND("S",MID($H109,7,12)),99),IFERROR(FIND(" ",MID($H109,7,12)),99))-1)),""),"")</f>
        <v/>
      </c>
      <c r="AF109" s="77" t="n">
        <f aca="false">IF($AD109="비규격EL",N($L109)*RADIANS(N($AE109))*보온기준!$F$15*N($I109)*보온기준!$F$16/1000,0)</f>
        <v>0</v>
      </c>
      <c r="AG109" s="76" t="str">
        <f aca="false">IF($G109="","",IF(OR($AA109&lt;&gt;"○",LEFT($F109,3)="STS",LEFT($F109,3)="SUS",$C109="매설"),"Y","N"))</f>
        <v/>
      </c>
    </row>
    <row r="110" customFormat="false" ht="15" hidden="false" customHeight="true" outlineLevel="0" collapsed="false">
      <c r="A110" s="6"/>
      <c r="B110" s="21"/>
      <c r="C110" s="21"/>
      <c r="D110" s="21"/>
      <c r="E110" s="21"/>
      <c r="F110" s="21"/>
      <c r="G110" s="21"/>
      <c r="H110" s="59"/>
      <c r="I110" s="21"/>
      <c r="J110" s="21"/>
      <c r="K110" s="21"/>
      <c r="L110" s="78"/>
      <c r="M110" s="37" t="str">
        <f aca="false">IF($G110&lt;&gt;"PIPE","",IFERROR(1/(1/INDEX(배관단중표!$B$7:$W$41,MATCH($I110,배관단중표!$A$7:$A$41,0),MATCH(IF($J110="SPP","SPP",IF(LEFT($F110,3)="STS",IF(ISNUMBER(SEARCH("316",$F110)),"STS316","STS304"),"SPPS")&amp;"|"&amp;$J110),배관단중표!$B$6:$W$6,0))),"DB확인"))</f>
        <v/>
      </c>
      <c r="N110" s="79"/>
      <c r="O110" s="80"/>
      <c r="P110" s="54" t="str">
        <f aca="false">IF($G110="","",IFERROR(IF(O110&lt;&gt;"",O110,L110*IF(G110="PIPE",M110,N110)),0))</f>
        <v/>
      </c>
      <c r="Q110" s="6" t="str">
        <f aca="false">IF($G110="","",IF(G110="PIPE","P","F"))</f>
        <v/>
      </c>
      <c r="R110" s="35" t="str">
        <f aca="false">IF($G110&lt;&gt;"PIPE","",IFERROR(IF(O110&lt;&gt;"",O110/M110,IF(K110="M",L110,"")),""))</f>
        <v/>
      </c>
      <c r="S110" s="6" t="str">
        <f aca="false">IF($G110&lt;&gt;"PIPE","",IF(AND($AA110="○",OR($W110&lt;&gt;"○",배관기준!$AG$17="N"),$C110&lt;&gt;"매설",LEFT($F110,3)&lt;&gt;"STS",LEFT($F110,3)&lt;&gt;"SUS"),"Y","N"))</f>
        <v/>
      </c>
      <c r="T110" s="16"/>
      <c r="U110" s="21"/>
      <c r="V110" s="21"/>
      <c r="W110" s="6" t="str">
        <f aca="false">IF($G110="","",IFERROR(INDEX(배관집계!$AC$7:$AC$32,MATCH($AC110,배관집계!$AJ$7:$AJ$32,0))&amp;"",""))</f>
        <v/>
      </c>
      <c r="X110" s="6" t="str">
        <f aca="false">IF($G110="","",IFERROR(INDEX(배관집계!$AD$7:$AD$32,MATCH($AC110,배관집계!$AJ$7:$AJ$32,0))&amp;"",""))</f>
        <v/>
      </c>
      <c r="Y110" s="6" t="str">
        <f aca="false">IF($G110="","",IFERROR(INDEX(배관집계!$AE$7:$AE$32,MATCH($AC110,배관집계!$AJ$7:$AJ$32,0))&amp;"",""))</f>
        <v/>
      </c>
      <c r="Z110" s="6" t="str">
        <f aca="false">IF($G110="","",IFERROR(INDEX(배관집계!$AF$7:$AF$32,MATCH($AC110,배관집계!$AJ$7:$AJ$32,0))&amp;"",""))</f>
        <v/>
      </c>
      <c r="AA110" s="6" t="str">
        <f aca="false">IF($G110="","",IFERROR(INDEX(배관집계!$AG$7:$AG$32,MATCH($AC110,배관집계!$AJ$7:$AJ$32,0))&amp;"",""))</f>
        <v/>
      </c>
      <c r="AB110" s="6" t="str">
        <f aca="false">IF($G110="","",IFERROR(INDEX(배관집계!$AH$7:$AH$32,MATCH($AC110,배관집계!$AJ$7:$AJ$32,0))&amp;"",""))</f>
        <v/>
      </c>
      <c r="AC110" s="75" t="str">
        <f aca="false">IF($G110="","",$B110&amp;"|"&amp;$C110&amp;"|"&amp;$E110&amp;"|"&amp;$U110&amp;"|"&amp;$I110)</f>
        <v/>
      </c>
      <c r="AD110" s="76" t="str">
        <f aca="false">IF($G110="","",IF($B110&lt;&gt;"설치","",IF($G110="PIPE","PIPE",IF($G110="VALVE",IF(ISNUMBER(SEARCH("GLOBE",$H110)),"GLOBE",IF(ISNUMBER(SEARCH("GATE",$H110)),"GATE",IF(ISNUMBER(SEARCH("BUTTER",$H110)),"BFLY","VALVE기타"))),IF($G110="FITTING",IF(LEFT($H110,5)="ELBOW",IF($AE110=90,"90EL",IF($AE110=45,"45EL","비규격EL")),IF(LEFT($H110,6)="FLANGE","FLANGE",IF(ISNUMBER(SEARCH("TEE",$H110)),"TEE",""))),"")))))</f>
        <v/>
      </c>
      <c r="AE110" s="76" t="str">
        <f aca="false">IF(AND($G110="FITTING",LEFT($H110,5)="ELBOW"),IFERROR(VALUE(LEFT(MID($H110,7,12),MIN(IFERROR(FIND("L",MID($H110,7,12)),99),IFERROR(FIND("S",MID($H110,7,12)),99),IFERROR(FIND(" ",MID($H110,7,12)),99))-1)),""),"")</f>
        <v/>
      </c>
      <c r="AF110" s="77" t="n">
        <f aca="false">IF($AD110="비규격EL",N($L110)*RADIANS(N($AE110))*보온기준!$F$15*N($I110)*보온기준!$F$16/1000,0)</f>
        <v>0</v>
      </c>
      <c r="AG110" s="76" t="str">
        <f aca="false">IF($G110="","",IF(OR($AA110&lt;&gt;"○",LEFT($F110,3)="STS",LEFT($F110,3)="SUS",$C110="매설"),"Y","N"))</f>
        <v/>
      </c>
    </row>
    <row r="111" customFormat="false" ht="15" hidden="false" customHeight="true" outlineLevel="0" collapsed="false">
      <c r="A111" s="6"/>
      <c r="B111" s="21"/>
      <c r="C111" s="21"/>
      <c r="D111" s="21"/>
      <c r="E111" s="21"/>
      <c r="F111" s="21"/>
      <c r="G111" s="21"/>
      <c r="H111" s="59"/>
      <c r="I111" s="21"/>
      <c r="J111" s="21"/>
      <c r="K111" s="21"/>
      <c r="L111" s="78"/>
      <c r="M111" s="37" t="str">
        <f aca="false">IF($G111&lt;&gt;"PIPE","",IFERROR(1/(1/INDEX(배관단중표!$B$7:$W$41,MATCH($I111,배관단중표!$A$7:$A$41,0),MATCH(IF($J111="SPP","SPP",IF(LEFT($F111,3)="STS",IF(ISNUMBER(SEARCH("316",$F111)),"STS316","STS304"),"SPPS")&amp;"|"&amp;$J111),배관단중표!$B$6:$W$6,0))),"DB확인"))</f>
        <v/>
      </c>
      <c r="N111" s="79"/>
      <c r="O111" s="80"/>
      <c r="P111" s="54" t="str">
        <f aca="false">IF($G111="","",IFERROR(IF(O111&lt;&gt;"",O111,L111*IF(G111="PIPE",M111,N111)),0))</f>
        <v/>
      </c>
      <c r="Q111" s="6" t="str">
        <f aca="false">IF($G111="","",IF(G111="PIPE","P","F"))</f>
        <v/>
      </c>
      <c r="R111" s="35" t="str">
        <f aca="false">IF($G111&lt;&gt;"PIPE","",IFERROR(IF(O111&lt;&gt;"",O111/M111,IF(K111="M",L111,"")),""))</f>
        <v/>
      </c>
      <c r="S111" s="6" t="str">
        <f aca="false">IF($G111&lt;&gt;"PIPE","",IF(AND($AA111="○",OR($W111&lt;&gt;"○",배관기준!$AG$17="N"),$C111&lt;&gt;"매설",LEFT($F111,3)&lt;&gt;"STS",LEFT($F111,3)&lt;&gt;"SUS"),"Y","N"))</f>
        <v/>
      </c>
      <c r="T111" s="16"/>
      <c r="U111" s="21"/>
      <c r="V111" s="21"/>
      <c r="W111" s="6" t="str">
        <f aca="false">IF($G111="","",IFERROR(INDEX(배관집계!$AC$7:$AC$32,MATCH($AC111,배관집계!$AJ$7:$AJ$32,0))&amp;"",""))</f>
        <v/>
      </c>
      <c r="X111" s="6" t="str">
        <f aca="false">IF($G111="","",IFERROR(INDEX(배관집계!$AD$7:$AD$32,MATCH($AC111,배관집계!$AJ$7:$AJ$32,0))&amp;"",""))</f>
        <v/>
      </c>
      <c r="Y111" s="6" t="str">
        <f aca="false">IF($G111="","",IFERROR(INDEX(배관집계!$AE$7:$AE$32,MATCH($AC111,배관집계!$AJ$7:$AJ$32,0))&amp;"",""))</f>
        <v/>
      </c>
      <c r="Z111" s="6" t="str">
        <f aca="false">IF($G111="","",IFERROR(INDEX(배관집계!$AF$7:$AF$32,MATCH($AC111,배관집계!$AJ$7:$AJ$32,0))&amp;"",""))</f>
        <v/>
      </c>
      <c r="AA111" s="6" t="str">
        <f aca="false">IF($G111="","",IFERROR(INDEX(배관집계!$AG$7:$AG$32,MATCH($AC111,배관집계!$AJ$7:$AJ$32,0))&amp;"",""))</f>
        <v/>
      </c>
      <c r="AB111" s="6" t="str">
        <f aca="false">IF($G111="","",IFERROR(INDEX(배관집계!$AH$7:$AH$32,MATCH($AC111,배관집계!$AJ$7:$AJ$32,0))&amp;"",""))</f>
        <v/>
      </c>
      <c r="AC111" s="75" t="str">
        <f aca="false">IF($G111="","",$B111&amp;"|"&amp;$C111&amp;"|"&amp;$E111&amp;"|"&amp;$U111&amp;"|"&amp;$I111)</f>
        <v/>
      </c>
      <c r="AD111" s="76" t="str">
        <f aca="false">IF($G111="","",IF($B111&lt;&gt;"설치","",IF($G111="PIPE","PIPE",IF($G111="VALVE",IF(ISNUMBER(SEARCH("GLOBE",$H111)),"GLOBE",IF(ISNUMBER(SEARCH("GATE",$H111)),"GATE",IF(ISNUMBER(SEARCH("BUTTER",$H111)),"BFLY","VALVE기타"))),IF($G111="FITTING",IF(LEFT($H111,5)="ELBOW",IF($AE111=90,"90EL",IF($AE111=45,"45EL","비규격EL")),IF(LEFT($H111,6)="FLANGE","FLANGE",IF(ISNUMBER(SEARCH("TEE",$H111)),"TEE",""))),"")))))</f>
        <v/>
      </c>
      <c r="AE111" s="76" t="str">
        <f aca="false">IF(AND($G111="FITTING",LEFT($H111,5)="ELBOW"),IFERROR(VALUE(LEFT(MID($H111,7,12),MIN(IFERROR(FIND("L",MID($H111,7,12)),99),IFERROR(FIND("S",MID($H111,7,12)),99),IFERROR(FIND(" ",MID($H111,7,12)),99))-1)),""),"")</f>
        <v/>
      </c>
      <c r="AF111" s="77" t="n">
        <f aca="false">IF($AD111="비규격EL",N($L111)*RADIANS(N($AE111))*보온기준!$F$15*N($I111)*보온기준!$F$16/1000,0)</f>
        <v>0</v>
      </c>
      <c r="AG111" s="76" t="str">
        <f aca="false">IF($G111="","",IF(OR($AA111&lt;&gt;"○",LEFT($F111,3)="STS",LEFT($F111,3)="SUS",$C111="매설"),"Y","N"))</f>
        <v/>
      </c>
    </row>
    <row r="112" customFormat="false" ht="15" hidden="false" customHeight="true" outlineLevel="0" collapsed="false">
      <c r="A112" s="6"/>
      <c r="B112" s="21"/>
      <c r="C112" s="21"/>
      <c r="D112" s="21"/>
      <c r="E112" s="21"/>
      <c r="F112" s="21"/>
      <c r="G112" s="21"/>
      <c r="H112" s="59"/>
      <c r="I112" s="21"/>
      <c r="J112" s="21"/>
      <c r="K112" s="21"/>
      <c r="L112" s="78"/>
      <c r="M112" s="37" t="str">
        <f aca="false">IF($G112&lt;&gt;"PIPE","",IFERROR(1/(1/INDEX(배관단중표!$B$7:$W$41,MATCH($I112,배관단중표!$A$7:$A$41,0),MATCH(IF($J112="SPP","SPP",IF(LEFT($F112,3)="STS",IF(ISNUMBER(SEARCH("316",$F112)),"STS316","STS304"),"SPPS")&amp;"|"&amp;$J112),배관단중표!$B$6:$W$6,0))),"DB확인"))</f>
        <v/>
      </c>
      <c r="N112" s="79"/>
      <c r="O112" s="80"/>
      <c r="P112" s="54" t="str">
        <f aca="false">IF($G112="","",IFERROR(IF(O112&lt;&gt;"",O112,L112*IF(G112="PIPE",M112,N112)),0))</f>
        <v/>
      </c>
      <c r="Q112" s="6" t="str">
        <f aca="false">IF($G112="","",IF(G112="PIPE","P","F"))</f>
        <v/>
      </c>
      <c r="R112" s="35" t="str">
        <f aca="false">IF($G112&lt;&gt;"PIPE","",IFERROR(IF(O112&lt;&gt;"",O112/M112,IF(K112="M",L112,"")),""))</f>
        <v/>
      </c>
      <c r="S112" s="6" t="str">
        <f aca="false">IF($G112&lt;&gt;"PIPE","",IF(AND($AA112="○",OR($W112&lt;&gt;"○",배관기준!$AG$17="N"),$C112&lt;&gt;"매설",LEFT($F112,3)&lt;&gt;"STS",LEFT($F112,3)&lt;&gt;"SUS"),"Y","N"))</f>
        <v/>
      </c>
      <c r="T112" s="16"/>
      <c r="U112" s="21"/>
      <c r="V112" s="21"/>
      <c r="W112" s="6" t="str">
        <f aca="false">IF($G112="","",IFERROR(INDEX(배관집계!$AC$7:$AC$32,MATCH($AC112,배관집계!$AJ$7:$AJ$32,0))&amp;"",""))</f>
        <v/>
      </c>
      <c r="X112" s="6" t="str">
        <f aca="false">IF($G112="","",IFERROR(INDEX(배관집계!$AD$7:$AD$32,MATCH($AC112,배관집계!$AJ$7:$AJ$32,0))&amp;"",""))</f>
        <v/>
      </c>
      <c r="Y112" s="6" t="str">
        <f aca="false">IF($G112="","",IFERROR(INDEX(배관집계!$AE$7:$AE$32,MATCH($AC112,배관집계!$AJ$7:$AJ$32,0))&amp;"",""))</f>
        <v/>
      </c>
      <c r="Z112" s="6" t="str">
        <f aca="false">IF($G112="","",IFERROR(INDEX(배관집계!$AF$7:$AF$32,MATCH($AC112,배관집계!$AJ$7:$AJ$32,0))&amp;"",""))</f>
        <v/>
      </c>
      <c r="AA112" s="6" t="str">
        <f aca="false">IF($G112="","",IFERROR(INDEX(배관집계!$AG$7:$AG$32,MATCH($AC112,배관집계!$AJ$7:$AJ$32,0))&amp;"",""))</f>
        <v/>
      </c>
      <c r="AB112" s="6" t="str">
        <f aca="false">IF($G112="","",IFERROR(INDEX(배관집계!$AH$7:$AH$32,MATCH($AC112,배관집계!$AJ$7:$AJ$32,0))&amp;"",""))</f>
        <v/>
      </c>
      <c r="AC112" s="75" t="str">
        <f aca="false">IF($G112="","",$B112&amp;"|"&amp;$C112&amp;"|"&amp;$E112&amp;"|"&amp;$U112&amp;"|"&amp;$I112)</f>
        <v/>
      </c>
      <c r="AD112" s="76" t="str">
        <f aca="false">IF($G112="","",IF($B112&lt;&gt;"설치","",IF($G112="PIPE","PIPE",IF($G112="VALVE",IF(ISNUMBER(SEARCH("GLOBE",$H112)),"GLOBE",IF(ISNUMBER(SEARCH("GATE",$H112)),"GATE",IF(ISNUMBER(SEARCH("BUTTER",$H112)),"BFLY","VALVE기타"))),IF($G112="FITTING",IF(LEFT($H112,5)="ELBOW",IF($AE112=90,"90EL",IF($AE112=45,"45EL","비규격EL")),IF(LEFT($H112,6)="FLANGE","FLANGE",IF(ISNUMBER(SEARCH("TEE",$H112)),"TEE",""))),"")))))</f>
        <v/>
      </c>
      <c r="AE112" s="76" t="str">
        <f aca="false">IF(AND($G112="FITTING",LEFT($H112,5)="ELBOW"),IFERROR(VALUE(LEFT(MID($H112,7,12),MIN(IFERROR(FIND("L",MID($H112,7,12)),99),IFERROR(FIND("S",MID($H112,7,12)),99),IFERROR(FIND(" ",MID($H112,7,12)),99))-1)),""),"")</f>
        <v/>
      </c>
      <c r="AF112" s="77" t="n">
        <f aca="false">IF($AD112="비규격EL",N($L112)*RADIANS(N($AE112))*보온기준!$F$15*N($I112)*보온기준!$F$16/1000,0)</f>
        <v>0</v>
      </c>
      <c r="AG112" s="76" t="str">
        <f aca="false">IF($G112="","",IF(OR($AA112&lt;&gt;"○",LEFT($F112,3)="STS",LEFT($F112,3)="SUS",$C112="매설"),"Y","N"))</f>
        <v/>
      </c>
    </row>
    <row r="113" customFormat="false" ht="15" hidden="false" customHeight="true" outlineLevel="0" collapsed="false">
      <c r="A113" s="6"/>
      <c r="B113" s="21"/>
      <c r="C113" s="21"/>
      <c r="D113" s="21"/>
      <c r="E113" s="21"/>
      <c r="F113" s="21"/>
      <c r="G113" s="21"/>
      <c r="H113" s="59"/>
      <c r="I113" s="21"/>
      <c r="J113" s="21"/>
      <c r="K113" s="21"/>
      <c r="L113" s="78"/>
      <c r="M113" s="37" t="str">
        <f aca="false">IF($G113&lt;&gt;"PIPE","",IFERROR(1/(1/INDEX(배관단중표!$B$7:$W$41,MATCH($I113,배관단중표!$A$7:$A$41,0),MATCH(IF($J113="SPP","SPP",IF(LEFT($F113,3)="STS",IF(ISNUMBER(SEARCH("316",$F113)),"STS316","STS304"),"SPPS")&amp;"|"&amp;$J113),배관단중표!$B$6:$W$6,0))),"DB확인"))</f>
        <v/>
      </c>
      <c r="N113" s="79"/>
      <c r="O113" s="80"/>
      <c r="P113" s="54" t="str">
        <f aca="false">IF($G113="","",IFERROR(IF(O113&lt;&gt;"",O113,L113*IF(G113="PIPE",M113,N113)),0))</f>
        <v/>
      </c>
      <c r="Q113" s="6" t="str">
        <f aca="false">IF($G113="","",IF(G113="PIPE","P","F"))</f>
        <v/>
      </c>
      <c r="R113" s="35" t="str">
        <f aca="false">IF($G113&lt;&gt;"PIPE","",IFERROR(IF(O113&lt;&gt;"",O113/M113,IF(K113="M",L113,"")),""))</f>
        <v/>
      </c>
      <c r="S113" s="6" t="str">
        <f aca="false">IF($G113&lt;&gt;"PIPE","",IF(AND($AA113="○",OR($W113&lt;&gt;"○",배관기준!$AG$17="N"),$C113&lt;&gt;"매설",LEFT($F113,3)&lt;&gt;"STS",LEFT($F113,3)&lt;&gt;"SUS"),"Y","N"))</f>
        <v/>
      </c>
      <c r="T113" s="16"/>
      <c r="U113" s="21"/>
      <c r="V113" s="21"/>
      <c r="W113" s="6" t="str">
        <f aca="false">IF($G113="","",IFERROR(INDEX(배관집계!$AC$7:$AC$32,MATCH($AC113,배관집계!$AJ$7:$AJ$32,0))&amp;"",""))</f>
        <v/>
      </c>
      <c r="X113" s="6" t="str">
        <f aca="false">IF($G113="","",IFERROR(INDEX(배관집계!$AD$7:$AD$32,MATCH($AC113,배관집계!$AJ$7:$AJ$32,0))&amp;"",""))</f>
        <v/>
      </c>
      <c r="Y113" s="6" t="str">
        <f aca="false">IF($G113="","",IFERROR(INDEX(배관집계!$AE$7:$AE$32,MATCH($AC113,배관집계!$AJ$7:$AJ$32,0))&amp;"",""))</f>
        <v/>
      </c>
      <c r="Z113" s="6" t="str">
        <f aca="false">IF($G113="","",IFERROR(INDEX(배관집계!$AF$7:$AF$32,MATCH($AC113,배관집계!$AJ$7:$AJ$32,0))&amp;"",""))</f>
        <v/>
      </c>
      <c r="AA113" s="6" t="str">
        <f aca="false">IF($G113="","",IFERROR(INDEX(배관집계!$AG$7:$AG$32,MATCH($AC113,배관집계!$AJ$7:$AJ$32,0))&amp;"",""))</f>
        <v/>
      </c>
      <c r="AB113" s="6" t="str">
        <f aca="false">IF($G113="","",IFERROR(INDEX(배관집계!$AH$7:$AH$32,MATCH($AC113,배관집계!$AJ$7:$AJ$32,0))&amp;"",""))</f>
        <v/>
      </c>
      <c r="AC113" s="75" t="str">
        <f aca="false">IF($G113="","",$B113&amp;"|"&amp;$C113&amp;"|"&amp;$E113&amp;"|"&amp;$U113&amp;"|"&amp;$I113)</f>
        <v/>
      </c>
      <c r="AD113" s="76" t="str">
        <f aca="false">IF($G113="","",IF($B113&lt;&gt;"설치","",IF($G113="PIPE","PIPE",IF($G113="VALVE",IF(ISNUMBER(SEARCH("GLOBE",$H113)),"GLOBE",IF(ISNUMBER(SEARCH("GATE",$H113)),"GATE",IF(ISNUMBER(SEARCH("BUTTER",$H113)),"BFLY","VALVE기타"))),IF($G113="FITTING",IF(LEFT($H113,5)="ELBOW",IF($AE113=90,"90EL",IF($AE113=45,"45EL","비규격EL")),IF(LEFT($H113,6)="FLANGE","FLANGE",IF(ISNUMBER(SEARCH("TEE",$H113)),"TEE",""))),"")))))</f>
        <v/>
      </c>
      <c r="AE113" s="76" t="str">
        <f aca="false">IF(AND($G113="FITTING",LEFT($H113,5)="ELBOW"),IFERROR(VALUE(LEFT(MID($H113,7,12),MIN(IFERROR(FIND("L",MID($H113,7,12)),99),IFERROR(FIND("S",MID($H113,7,12)),99),IFERROR(FIND(" ",MID($H113,7,12)),99))-1)),""),"")</f>
        <v/>
      </c>
      <c r="AF113" s="77" t="n">
        <f aca="false">IF($AD113="비규격EL",N($L113)*RADIANS(N($AE113))*보온기준!$F$15*N($I113)*보온기준!$F$16/1000,0)</f>
        <v>0</v>
      </c>
      <c r="AG113" s="76" t="str">
        <f aca="false">IF($G113="","",IF(OR($AA113&lt;&gt;"○",LEFT($F113,3)="STS",LEFT($F113,3)="SUS",$C113="매설"),"Y","N"))</f>
        <v/>
      </c>
    </row>
    <row r="114" customFormat="false" ht="15" hidden="false" customHeight="true" outlineLevel="0" collapsed="false">
      <c r="A114" s="6"/>
      <c r="B114" s="21"/>
      <c r="C114" s="21"/>
      <c r="D114" s="21"/>
      <c r="E114" s="21"/>
      <c r="F114" s="21"/>
      <c r="G114" s="21"/>
      <c r="H114" s="59"/>
      <c r="I114" s="21"/>
      <c r="J114" s="21"/>
      <c r="K114" s="21"/>
      <c r="L114" s="78"/>
      <c r="M114" s="37" t="str">
        <f aca="false">IF($G114&lt;&gt;"PIPE","",IFERROR(1/(1/INDEX(배관단중표!$B$7:$W$41,MATCH($I114,배관단중표!$A$7:$A$41,0),MATCH(IF($J114="SPP","SPP",IF(LEFT($F114,3)="STS",IF(ISNUMBER(SEARCH("316",$F114)),"STS316","STS304"),"SPPS")&amp;"|"&amp;$J114),배관단중표!$B$6:$W$6,0))),"DB확인"))</f>
        <v/>
      </c>
      <c r="N114" s="79"/>
      <c r="O114" s="80"/>
      <c r="P114" s="54" t="str">
        <f aca="false">IF($G114="","",IFERROR(IF(O114&lt;&gt;"",O114,L114*IF(G114="PIPE",M114,N114)),0))</f>
        <v/>
      </c>
      <c r="Q114" s="6" t="str">
        <f aca="false">IF($G114="","",IF(G114="PIPE","P","F"))</f>
        <v/>
      </c>
      <c r="R114" s="35" t="str">
        <f aca="false">IF($G114&lt;&gt;"PIPE","",IFERROR(IF(O114&lt;&gt;"",O114/M114,IF(K114="M",L114,"")),""))</f>
        <v/>
      </c>
      <c r="S114" s="6" t="str">
        <f aca="false">IF($G114&lt;&gt;"PIPE","",IF(AND($AA114="○",OR($W114&lt;&gt;"○",배관기준!$AG$17="N"),$C114&lt;&gt;"매설",LEFT($F114,3)&lt;&gt;"STS",LEFT($F114,3)&lt;&gt;"SUS"),"Y","N"))</f>
        <v/>
      </c>
      <c r="T114" s="16"/>
      <c r="U114" s="21"/>
      <c r="V114" s="21"/>
      <c r="W114" s="6" t="str">
        <f aca="false">IF($G114="","",IFERROR(INDEX(배관집계!$AC$7:$AC$32,MATCH($AC114,배관집계!$AJ$7:$AJ$32,0))&amp;"",""))</f>
        <v/>
      </c>
      <c r="X114" s="6" t="str">
        <f aca="false">IF($G114="","",IFERROR(INDEX(배관집계!$AD$7:$AD$32,MATCH($AC114,배관집계!$AJ$7:$AJ$32,0))&amp;"",""))</f>
        <v/>
      </c>
      <c r="Y114" s="6" t="str">
        <f aca="false">IF($G114="","",IFERROR(INDEX(배관집계!$AE$7:$AE$32,MATCH($AC114,배관집계!$AJ$7:$AJ$32,0))&amp;"",""))</f>
        <v/>
      </c>
      <c r="Z114" s="6" t="str">
        <f aca="false">IF($G114="","",IFERROR(INDEX(배관집계!$AF$7:$AF$32,MATCH($AC114,배관집계!$AJ$7:$AJ$32,0))&amp;"",""))</f>
        <v/>
      </c>
      <c r="AA114" s="6" t="str">
        <f aca="false">IF($G114="","",IFERROR(INDEX(배관집계!$AG$7:$AG$32,MATCH($AC114,배관집계!$AJ$7:$AJ$32,0))&amp;"",""))</f>
        <v/>
      </c>
      <c r="AB114" s="6" t="str">
        <f aca="false">IF($G114="","",IFERROR(INDEX(배관집계!$AH$7:$AH$32,MATCH($AC114,배관집계!$AJ$7:$AJ$32,0))&amp;"",""))</f>
        <v/>
      </c>
      <c r="AC114" s="75" t="str">
        <f aca="false">IF($G114="","",$B114&amp;"|"&amp;$C114&amp;"|"&amp;$E114&amp;"|"&amp;$U114&amp;"|"&amp;$I114)</f>
        <v/>
      </c>
      <c r="AD114" s="76" t="str">
        <f aca="false">IF($G114="","",IF($B114&lt;&gt;"설치","",IF($G114="PIPE","PIPE",IF($G114="VALVE",IF(ISNUMBER(SEARCH("GLOBE",$H114)),"GLOBE",IF(ISNUMBER(SEARCH("GATE",$H114)),"GATE",IF(ISNUMBER(SEARCH("BUTTER",$H114)),"BFLY","VALVE기타"))),IF($G114="FITTING",IF(LEFT($H114,5)="ELBOW",IF($AE114=90,"90EL",IF($AE114=45,"45EL","비규격EL")),IF(LEFT($H114,6)="FLANGE","FLANGE",IF(ISNUMBER(SEARCH("TEE",$H114)),"TEE",""))),"")))))</f>
        <v/>
      </c>
      <c r="AE114" s="76" t="str">
        <f aca="false">IF(AND($G114="FITTING",LEFT($H114,5)="ELBOW"),IFERROR(VALUE(LEFT(MID($H114,7,12),MIN(IFERROR(FIND("L",MID($H114,7,12)),99),IFERROR(FIND("S",MID($H114,7,12)),99),IFERROR(FIND(" ",MID($H114,7,12)),99))-1)),""),"")</f>
        <v/>
      </c>
      <c r="AF114" s="77" t="n">
        <f aca="false">IF($AD114="비규격EL",N($L114)*RADIANS(N($AE114))*보온기준!$F$15*N($I114)*보온기준!$F$16/1000,0)</f>
        <v>0</v>
      </c>
      <c r="AG114" s="76" t="str">
        <f aca="false">IF($G114="","",IF(OR($AA114&lt;&gt;"○",LEFT($F114,3)="STS",LEFT($F114,3)="SUS",$C114="매설"),"Y","N"))</f>
        <v/>
      </c>
    </row>
    <row r="115" customFormat="false" ht="15" hidden="false" customHeight="true" outlineLevel="0" collapsed="false">
      <c r="A115" s="6"/>
      <c r="B115" s="21"/>
      <c r="C115" s="21"/>
      <c r="D115" s="21"/>
      <c r="E115" s="21"/>
      <c r="F115" s="21"/>
      <c r="G115" s="21"/>
      <c r="H115" s="59"/>
      <c r="I115" s="21"/>
      <c r="J115" s="21"/>
      <c r="K115" s="21"/>
      <c r="L115" s="78"/>
      <c r="M115" s="37" t="str">
        <f aca="false">IF($G115&lt;&gt;"PIPE","",IFERROR(1/(1/INDEX(배관단중표!$B$7:$W$41,MATCH($I115,배관단중표!$A$7:$A$41,0),MATCH(IF($J115="SPP","SPP",IF(LEFT($F115,3)="STS",IF(ISNUMBER(SEARCH("316",$F115)),"STS316","STS304"),"SPPS")&amp;"|"&amp;$J115),배관단중표!$B$6:$W$6,0))),"DB확인"))</f>
        <v/>
      </c>
      <c r="N115" s="79"/>
      <c r="O115" s="80"/>
      <c r="P115" s="54" t="str">
        <f aca="false">IF($G115="","",IFERROR(IF(O115&lt;&gt;"",O115,L115*IF(G115="PIPE",M115,N115)),0))</f>
        <v/>
      </c>
      <c r="Q115" s="6" t="str">
        <f aca="false">IF($G115="","",IF(G115="PIPE","P","F"))</f>
        <v/>
      </c>
      <c r="R115" s="35" t="str">
        <f aca="false">IF($G115&lt;&gt;"PIPE","",IFERROR(IF(O115&lt;&gt;"",O115/M115,IF(K115="M",L115,"")),""))</f>
        <v/>
      </c>
      <c r="S115" s="6" t="str">
        <f aca="false">IF($G115&lt;&gt;"PIPE","",IF(AND($AA115="○",OR($W115&lt;&gt;"○",배관기준!$AG$17="N"),$C115&lt;&gt;"매설",LEFT($F115,3)&lt;&gt;"STS",LEFT($F115,3)&lt;&gt;"SUS"),"Y","N"))</f>
        <v/>
      </c>
      <c r="T115" s="16"/>
      <c r="U115" s="21"/>
      <c r="V115" s="21"/>
      <c r="W115" s="6" t="str">
        <f aca="false">IF($G115="","",IFERROR(INDEX(배관집계!$AC$7:$AC$32,MATCH($AC115,배관집계!$AJ$7:$AJ$32,0))&amp;"",""))</f>
        <v/>
      </c>
      <c r="X115" s="6" t="str">
        <f aca="false">IF($G115="","",IFERROR(INDEX(배관집계!$AD$7:$AD$32,MATCH($AC115,배관집계!$AJ$7:$AJ$32,0))&amp;"",""))</f>
        <v/>
      </c>
      <c r="Y115" s="6" t="str">
        <f aca="false">IF($G115="","",IFERROR(INDEX(배관집계!$AE$7:$AE$32,MATCH($AC115,배관집계!$AJ$7:$AJ$32,0))&amp;"",""))</f>
        <v/>
      </c>
      <c r="Z115" s="6" t="str">
        <f aca="false">IF($G115="","",IFERROR(INDEX(배관집계!$AF$7:$AF$32,MATCH($AC115,배관집계!$AJ$7:$AJ$32,0))&amp;"",""))</f>
        <v/>
      </c>
      <c r="AA115" s="6" t="str">
        <f aca="false">IF($G115="","",IFERROR(INDEX(배관집계!$AG$7:$AG$32,MATCH($AC115,배관집계!$AJ$7:$AJ$32,0))&amp;"",""))</f>
        <v/>
      </c>
      <c r="AB115" s="6" t="str">
        <f aca="false">IF($G115="","",IFERROR(INDEX(배관집계!$AH$7:$AH$32,MATCH($AC115,배관집계!$AJ$7:$AJ$32,0))&amp;"",""))</f>
        <v/>
      </c>
      <c r="AC115" s="75" t="str">
        <f aca="false">IF($G115="","",$B115&amp;"|"&amp;$C115&amp;"|"&amp;$E115&amp;"|"&amp;$U115&amp;"|"&amp;$I115)</f>
        <v/>
      </c>
      <c r="AD115" s="76" t="str">
        <f aca="false">IF($G115="","",IF($B115&lt;&gt;"설치","",IF($G115="PIPE","PIPE",IF($G115="VALVE",IF(ISNUMBER(SEARCH("GLOBE",$H115)),"GLOBE",IF(ISNUMBER(SEARCH("GATE",$H115)),"GATE",IF(ISNUMBER(SEARCH("BUTTER",$H115)),"BFLY","VALVE기타"))),IF($G115="FITTING",IF(LEFT($H115,5)="ELBOW",IF($AE115=90,"90EL",IF($AE115=45,"45EL","비규격EL")),IF(LEFT($H115,6)="FLANGE","FLANGE",IF(ISNUMBER(SEARCH("TEE",$H115)),"TEE",""))),"")))))</f>
        <v/>
      </c>
      <c r="AE115" s="76" t="str">
        <f aca="false">IF(AND($G115="FITTING",LEFT($H115,5)="ELBOW"),IFERROR(VALUE(LEFT(MID($H115,7,12),MIN(IFERROR(FIND("L",MID($H115,7,12)),99),IFERROR(FIND("S",MID($H115,7,12)),99),IFERROR(FIND(" ",MID($H115,7,12)),99))-1)),""),"")</f>
        <v/>
      </c>
      <c r="AF115" s="77" t="n">
        <f aca="false">IF($AD115="비규격EL",N($L115)*RADIANS(N($AE115))*보온기준!$F$15*N($I115)*보온기준!$F$16/1000,0)</f>
        <v>0</v>
      </c>
      <c r="AG115" s="76" t="str">
        <f aca="false">IF($G115="","",IF(OR($AA115&lt;&gt;"○",LEFT($F115,3)="STS",LEFT($F115,3)="SUS",$C115="매설"),"Y","N"))</f>
        <v/>
      </c>
    </row>
    <row r="116" customFormat="false" ht="15" hidden="false" customHeight="true" outlineLevel="0" collapsed="false">
      <c r="A116" s="6"/>
      <c r="B116" s="21"/>
      <c r="C116" s="21"/>
      <c r="D116" s="21"/>
      <c r="E116" s="21"/>
      <c r="F116" s="21"/>
      <c r="G116" s="21"/>
      <c r="H116" s="59"/>
      <c r="I116" s="21"/>
      <c r="J116" s="21"/>
      <c r="K116" s="21"/>
      <c r="L116" s="78"/>
      <c r="M116" s="37" t="str">
        <f aca="false">IF($G116&lt;&gt;"PIPE","",IFERROR(1/(1/INDEX(배관단중표!$B$7:$W$41,MATCH($I116,배관단중표!$A$7:$A$41,0),MATCH(IF($J116="SPP","SPP",IF(LEFT($F116,3)="STS",IF(ISNUMBER(SEARCH("316",$F116)),"STS316","STS304"),"SPPS")&amp;"|"&amp;$J116),배관단중표!$B$6:$W$6,0))),"DB확인"))</f>
        <v/>
      </c>
      <c r="N116" s="79"/>
      <c r="O116" s="80"/>
      <c r="P116" s="54" t="str">
        <f aca="false">IF($G116="","",IFERROR(IF(O116&lt;&gt;"",O116,L116*IF(G116="PIPE",M116,N116)),0))</f>
        <v/>
      </c>
      <c r="Q116" s="6" t="str">
        <f aca="false">IF($G116="","",IF(G116="PIPE","P","F"))</f>
        <v/>
      </c>
      <c r="R116" s="35" t="str">
        <f aca="false">IF($G116&lt;&gt;"PIPE","",IFERROR(IF(O116&lt;&gt;"",O116/M116,IF(K116="M",L116,"")),""))</f>
        <v/>
      </c>
      <c r="S116" s="6" t="str">
        <f aca="false">IF($G116&lt;&gt;"PIPE","",IF(AND($AA116="○",OR($W116&lt;&gt;"○",배관기준!$AG$17="N"),$C116&lt;&gt;"매설",LEFT($F116,3)&lt;&gt;"STS",LEFT($F116,3)&lt;&gt;"SUS"),"Y","N"))</f>
        <v/>
      </c>
      <c r="T116" s="16"/>
      <c r="U116" s="21"/>
      <c r="V116" s="21"/>
      <c r="W116" s="6" t="str">
        <f aca="false">IF($G116="","",IFERROR(INDEX(배관집계!$AC$7:$AC$32,MATCH($AC116,배관집계!$AJ$7:$AJ$32,0))&amp;"",""))</f>
        <v/>
      </c>
      <c r="X116" s="6" t="str">
        <f aca="false">IF($G116="","",IFERROR(INDEX(배관집계!$AD$7:$AD$32,MATCH($AC116,배관집계!$AJ$7:$AJ$32,0))&amp;"",""))</f>
        <v/>
      </c>
      <c r="Y116" s="6" t="str">
        <f aca="false">IF($G116="","",IFERROR(INDEX(배관집계!$AE$7:$AE$32,MATCH($AC116,배관집계!$AJ$7:$AJ$32,0))&amp;"",""))</f>
        <v/>
      </c>
      <c r="Z116" s="6" t="str">
        <f aca="false">IF($G116="","",IFERROR(INDEX(배관집계!$AF$7:$AF$32,MATCH($AC116,배관집계!$AJ$7:$AJ$32,0))&amp;"",""))</f>
        <v/>
      </c>
      <c r="AA116" s="6" t="str">
        <f aca="false">IF($G116="","",IFERROR(INDEX(배관집계!$AG$7:$AG$32,MATCH($AC116,배관집계!$AJ$7:$AJ$32,0))&amp;"",""))</f>
        <v/>
      </c>
      <c r="AB116" s="6" t="str">
        <f aca="false">IF($G116="","",IFERROR(INDEX(배관집계!$AH$7:$AH$32,MATCH($AC116,배관집계!$AJ$7:$AJ$32,0))&amp;"",""))</f>
        <v/>
      </c>
      <c r="AC116" s="75" t="str">
        <f aca="false">IF($G116="","",$B116&amp;"|"&amp;$C116&amp;"|"&amp;$E116&amp;"|"&amp;$U116&amp;"|"&amp;$I116)</f>
        <v/>
      </c>
      <c r="AD116" s="76" t="str">
        <f aca="false">IF($G116="","",IF($B116&lt;&gt;"설치","",IF($G116="PIPE","PIPE",IF($G116="VALVE",IF(ISNUMBER(SEARCH("GLOBE",$H116)),"GLOBE",IF(ISNUMBER(SEARCH("GATE",$H116)),"GATE",IF(ISNUMBER(SEARCH("BUTTER",$H116)),"BFLY","VALVE기타"))),IF($G116="FITTING",IF(LEFT($H116,5)="ELBOW",IF($AE116=90,"90EL",IF($AE116=45,"45EL","비규격EL")),IF(LEFT($H116,6)="FLANGE","FLANGE",IF(ISNUMBER(SEARCH("TEE",$H116)),"TEE",""))),"")))))</f>
        <v/>
      </c>
      <c r="AE116" s="76" t="str">
        <f aca="false">IF(AND($G116="FITTING",LEFT($H116,5)="ELBOW"),IFERROR(VALUE(LEFT(MID($H116,7,12),MIN(IFERROR(FIND("L",MID($H116,7,12)),99),IFERROR(FIND("S",MID($H116,7,12)),99),IFERROR(FIND(" ",MID($H116,7,12)),99))-1)),""),"")</f>
        <v/>
      </c>
      <c r="AF116" s="77" t="n">
        <f aca="false">IF($AD116="비규격EL",N($L116)*RADIANS(N($AE116))*보온기준!$F$15*N($I116)*보온기준!$F$16/1000,0)</f>
        <v>0</v>
      </c>
      <c r="AG116" s="76" t="str">
        <f aca="false">IF($G116="","",IF(OR($AA116&lt;&gt;"○",LEFT($F116,3)="STS",LEFT($F116,3)="SUS",$C116="매설"),"Y","N"))</f>
        <v/>
      </c>
    </row>
    <row r="117" customFormat="false" ht="15" hidden="false" customHeight="true" outlineLevel="0" collapsed="false">
      <c r="A117" s="6"/>
      <c r="B117" s="21"/>
      <c r="C117" s="21"/>
      <c r="D117" s="21"/>
      <c r="E117" s="21"/>
      <c r="F117" s="21"/>
      <c r="G117" s="21"/>
      <c r="H117" s="59"/>
      <c r="I117" s="21"/>
      <c r="J117" s="21"/>
      <c r="K117" s="21"/>
      <c r="L117" s="78"/>
      <c r="M117" s="37" t="str">
        <f aca="false">IF($G117&lt;&gt;"PIPE","",IFERROR(1/(1/INDEX(배관단중표!$B$7:$W$41,MATCH($I117,배관단중표!$A$7:$A$41,0),MATCH(IF($J117="SPP","SPP",IF(LEFT($F117,3)="STS",IF(ISNUMBER(SEARCH("316",$F117)),"STS316","STS304"),"SPPS")&amp;"|"&amp;$J117),배관단중표!$B$6:$W$6,0))),"DB확인"))</f>
        <v/>
      </c>
      <c r="N117" s="79"/>
      <c r="O117" s="80"/>
      <c r="P117" s="54" t="str">
        <f aca="false">IF($G117="","",IFERROR(IF(O117&lt;&gt;"",O117,L117*IF(G117="PIPE",M117,N117)),0))</f>
        <v/>
      </c>
      <c r="Q117" s="6" t="str">
        <f aca="false">IF($G117="","",IF(G117="PIPE","P","F"))</f>
        <v/>
      </c>
      <c r="R117" s="35" t="str">
        <f aca="false">IF($G117&lt;&gt;"PIPE","",IFERROR(IF(O117&lt;&gt;"",O117/M117,IF(K117="M",L117,"")),""))</f>
        <v/>
      </c>
      <c r="S117" s="6" t="str">
        <f aca="false">IF($G117&lt;&gt;"PIPE","",IF(AND($AA117="○",OR($W117&lt;&gt;"○",배관기준!$AG$17="N"),$C117&lt;&gt;"매설",LEFT($F117,3)&lt;&gt;"STS",LEFT($F117,3)&lt;&gt;"SUS"),"Y","N"))</f>
        <v/>
      </c>
      <c r="T117" s="16"/>
      <c r="U117" s="21"/>
      <c r="V117" s="21"/>
      <c r="W117" s="6" t="str">
        <f aca="false">IF($G117="","",IFERROR(INDEX(배관집계!$AC$7:$AC$32,MATCH($AC117,배관집계!$AJ$7:$AJ$32,0))&amp;"",""))</f>
        <v/>
      </c>
      <c r="X117" s="6" t="str">
        <f aca="false">IF($G117="","",IFERROR(INDEX(배관집계!$AD$7:$AD$32,MATCH($AC117,배관집계!$AJ$7:$AJ$32,0))&amp;"",""))</f>
        <v/>
      </c>
      <c r="Y117" s="6" t="str">
        <f aca="false">IF($G117="","",IFERROR(INDEX(배관집계!$AE$7:$AE$32,MATCH($AC117,배관집계!$AJ$7:$AJ$32,0))&amp;"",""))</f>
        <v/>
      </c>
      <c r="Z117" s="6" t="str">
        <f aca="false">IF($G117="","",IFERROR(INDEX(배관집계!$AF$7:$AF$32,MATCH($AC117,배관집계!$AJ$7:$AJ$32,0))&amp;"",""))</f>
        <v/>
      </c>
      <c r="AA117" s="6" t="str">
        <f aca="false">IF($G117="","",IFERROR(INDEX(배관집계!$AG$7:$AG$32,MATCH($AC117,배관집계!$AJ$7:$AJ$32,0))&amp;"",""))</f>
        <v/>
      </c>
      <c r="AB117" s="6" t="str">
        <f aca="false">IF($G117="","",IFERROR(INDEX(배관집계!$AH$7:$AH$32,MATCH($AC117,배관집계!$AJ$7:$AJ$32,0))&amp;"",""))</f>
        <v/>
      </c>
      <c r="AC117" s="75" t="str">
        <f aca="false">IF($G117="","",$B117&amp;"|"&amp;$C117&amp;"|"&amp;$E117&amp;"|"&amp;$U117&amp;"|"&amp;$I117)</f>
        <v/>
      </c>
      <c r="AD117" s="76" t="str">
        <f aca="false">IF($G117="","",IF($B117&lt;&gt;"설치","",IF($G117="PIPE","PIPE",IF($G117="VALVE",IF(ISNUMBER(SEARCH("GLOBE",$H117)),"GLOBE",IF(ISNUMBER(SEARCH("GATE",$H117)),"GATE",IF(ISNUMBER(SEARCH("BUTTER",$H117)),"BFLY","VALVE기타"))),IF($G117="FITTING",IF(LEFT($H117,5)="ELBOW",IF($AE117=90,"90EL",IF($AE117=45,"45EL","비규격EL")),IF(LEFT($H117,6)="FLANGE","FLANGE",IF(ISNUMBER(SEARCH("TEE",$H117)),"TEE",""))),"")))))</f>
        <v/>
      </c>
      <c r="AE117" s="76" t="str">
        <f aca="false">IF(AND($G117="FITTING",LEFT($H117,5)="ELBOW"),IFERROR(VALUE(LEFT(MID($H117,7,12),MIN(IFERROR(FIND("L",MID($H117,7,12)),99),IFERROR(FIND("S",MID($H117,7,12)),99),IFERROR(FIND(" ",MID($H117,7,12)),99))-1)),""),"")</f>
        <v/>
      </c>
      <c r="AF117" s="77" t="n">
        <f aca="false">IF($AD117="비규격EL",N($L117)*RADIANS(N($AE117))*보온기준!$F$15*N($I117)*보온기준!$F$16/1000,0)</f>
        <v>0</v>
      </c>
      <c r="AG117" s="76" t="str">
        <f aca="false">IF($G117="","",IF(OR($AA117&lt;&gt;"○",LEFT($F117,3)="STS",LEFT($F117,3)="SUS",$C117="매설"),"Y","N"))</f>
        <v/>
      </c>
    </row>
    <row r="118" customFormat="false" ht="15" hidden="false" customHeight="true" outlineLevel="0" collapsed="false">
      <c r="A118" s="6"/>
      <c r="B118" s="21"/>
      <c r="C118" s="21"/>
      <c r="D118" s="21"/>
      <c r="E118" s="21"/>
      <c r="F118" s="21"/>
      <c r="G118" s="21"/>
      <c r="H118" s="59"/>
      <c r="I118" s="21"/>
      <c r="J118" s="21"/>
      <c r="K118" s="21"/>
      <c r="L118" s="78"/>
      <c r="M118" s="37" t="str">
        <f aca="false">IF($G118&lt;&gt;"PIPE","",IFERROR(1/(1/INDEX(배관단중표!$B$7:$W$41,MATCH($I118,배관단중표!$A$7:$A$41,0),MATCH(IF($J118="SPP","SPP",IF(LEFT($F118,3)="STS",IF(ISNUMBER(SEARCH("316",$F118)),"STS316","STS304"),"SPPS")&amp;"|"&amp;$J118),배관단중표!$B$6:$W$6,0))),"DB확인"))</f>
        <v/>
      </c>
      <c r="N118" s="79"/>
      <c r="O118" s="80"/>
      <c r="P118" s="54" t="str">
        <f aca="false">IF($G118="","",IFERROR(IF(O118&lt;&gt;"",O118,L118*IF(G118="PIPE",M118,N118)),0))</f>
        <v/>
      </c>
      <c r="Q118" s="6" t="str">
        <f aca="false">IF($G118="","",IF(G118="PIPE","P","F"))</f>
        <v/>
      </c>
      <c r="R118" s="35" t="str">
        <f aca="false">IF($G118&lt;&gt;"PIPE","",IFERROR(IF(O118&lt;&gt;"",O118/M118,IF(K118="M",L118,"")),""))</f>
        <v/>
      </c>
      <c r="S118" s="6" t="str">
        <f aca="false">IF($G118&lt;&gt;"PIPE","",IF(AND($AA118="○",OR($W118&lt;&gt;"○",배관기준!$AG$17="N"),$C118&lt;&gt;"매설",LEFT($F118,3)&lt;&gt;"STS",LEFT($F118,3)&lt;&gt;"SUS"),"Y","N"))</f>
        <v/>
      </c>
      <c r="T118" s="16"/>
      <c r="U118" s="21"/>
      <c r="V118" s="21"/>
      <c r="W118" s="6" t="str">
        <f aca="false">IF($G118="","",IFERROR(INDEX(배관집계!$AC$7:$AC$32,MATCH($AC118,배관집계!$AJ$7:$AJ$32,0))&amp;"",""))</f>
        <v/>
      </c>
      <c r="X118" s="6" t="str">
        <f aca="false">IF($G118="","",IFERROR(INDEX(배관집계!$AD$7:$AD$32,MATCH($AC118,배관집계!$AJ$7:$AJ$32,0))&amp;"",""))</f>
        <v/>
      </c>
      <c r="Y118" s="6" t="str">
        <f aca="false">IF($G118="","",IFERROR(INDEX(배관집계!$AE$7:$AE$32,MATCH($AC118,배관집계!$AJ$7:$AJ$32,0))&amp;"",""))</f>
        <v/>
      </c>
      <c r="Z118" s="6" t="str">
        <f aca="false">IF($G118="","",IFERROR(INDEX(배관집계!$AF$7:$AF$32,MATCH($AC118,배관집계!$AJ$7:$AJ$32,0))&amp;"",""))</f>
        <v/>
      </c>
      <c r="AA118" s="6" t="str">
        <f aca="false">IF($G118="","",IFERROR(INDEX(배관집계!$AG$7:$AG$32,MATCH($AC118,배관집계!$AJ$7:$AJ$32,0))&amp;"",""))</f>
        <v/>
      </c>
      <c r="AB118" s="6" t="str">
        <f aca="false">IF($G118="","",IFERROR(INDEX(배관집계!$AH$7:$AH$32,MATCH($AC118,배관집계!$AJ$7:$AJ$32,0))&amp;"",""))</f>
        <v/>
      </c>
      <c r="AC118" s="75" t="str">
        <f aca="false">IF($G118="","",$B118&amp;"|"&amp;$C118&amp;"|"&amp;$E118&amp;"|"&amp;$U118&amp;"|"&amp;$I118)</f>
        <v/>
      </c>
      <c r="AD118" s="76" t="str">
        <f aca="false">IF($G118="","",IF($B118&lt;&gt;"설치","",IF($G118="PIPE","PIPE",IF($G118="VALVE",IF(ISNUMBER(SEARCH("GLOBE",$H118)),"GLOBE",IF(ISNUMBER(SEARCH("GATE",$H118)),"GATE",IF(ISNUMBER(SEARCH("BUTTER",$H118)),"BFLY","VALVE기타"))),IF($G118="FITTING",IF(LEFT($H118,5)="ELBOW",IF($AE118=90,"90EL",IF($AE118=45,"45EL","비규격EL")),IF(LEFT($H118,6)="FLANGE","FLANGE",IF(ISNUMBER(SEARCH("TEE",$H118)),"TEE",""))),"")))))</f>
        <v/>
      </c>
      <c r="AE118" s="76" t="str">
        <f aca="false">IF(AND($G118="FITTING",LEFT($H118,5)="ELBOW"),IFERROR(VALUE(LEFT(MID($H118,7,12),MIN(IFERROR(FIND("L",MID($H118,7,12)),99),IFERROR(FIND("S",MID($H118,7,12)),99),IFERROR(FIND(" ",MID($H118,7,12)),99))-1)),""),"")</f>
        <v/>
      </c>
      <c r="AF118" s="77" t="n">
        <f aca="false">IF($AD118="비규격EL",N($L118)*RADIANS(N($AE118))*보온기준!$F$15*N($I118)*보온기준!$F$16/1000,0)</f>
        <v>0</v>
      </c>
      <c r="AG118" s="76" t="str">
        <f aca="false">IF($G118="","",IF(OR($AA118&lt;&gt;"○",LEFT($F118,3)="STS",LEFT($F118,3)="SUS",$C118="매설"),"Y","N"))</f>
        <v/>
      </c>
    </row>
    <row r="119" customFormat="false" ht="15" hidden="false" customHeight="true" outlineLevel="0" collapsed="false">
      <c r="A119" s="6"/>
      <c r="B119" s="21"/>
      <c r="C119" s="21"/>
      <c r="D119" s="21"/>
      <c r="E119" s="21"/>
      <c r="F119" s="21"/>
      <c r="G119" s="21"/>
      <c r="H119" s="59"/>
      <c r="I119" s="21"/>
      <c r="J119" s="21"/>
      <c r="K119" s="21"/>
      <c r="L119" s="78"/>
      <c r="M119" s="37" t="str">
        <f aca="false">IF($G119&lt;&gt;"PIPE","",IFERROR(1/(1/INDEX(배관단중표!$B$7:$W$41,MATCH($I119,배관단중표!$A$7:$A$41,0),MATCH(IF($J119="SPP","SPP",IF(LEFT($F119,3)="STS",IF(ISNUMBER(SEARCH("316",$F119)),"STS316","STS304"),"SPPS")&amp;"|"&amp;$J119),배관단중표!$B$6:$W$6,0))),"DB확인"))</f>
        <v/>
      </c>
      <c r="N119" s="79"/>
      <c r="O119" s="80"/>
      <c r="P119" s="54" t="str">
        <f aca="false">IF($G119="","",IFERROR(IF(O119&lt;&gt;"",O119,L119*IF(G119="PIPE",M119,N119)),0))</f>
        <v/>
      </c>
      <c r="Q119" s="6" t="str">
        <f aca="false">IF($G119="","",IF(G119="PIPE","P","F"))</f>
        <v/>
      </c>
      <c r="R119" s="35" t="str">
        <f aca="false">IF($G119&lt;&gt;"PIPE","",IFERROR(IF(O119&lt;&gt;"",O119/M119,IF(K119="M",L119,"")),""))</f>
        <v/>
      </c>
      <c r="S119" s="6" t="str">
        <f aca="false">IF($G119&lt;&gt;"PIPE","",IF(AND($AA119="○",OR($W119&lt;&gt;"○",배관기준!$AG$17="N"),$C119&lt;&gt;"매설",LEFT($F119,3)&lt;&gt;"STS",LEFT($F119,3)&lt;&gt;"SUS"),"Y","N"))</f>
        <v/>
      </c>
      <c r="T119" s="16"/>
      <c r="U119" s="21"/>
      <c r="V119" s="21"/>
      <c r="W119" s="6" t="str">
        <f aca="false">IF($G119="","",IFERROR(INDEX(배관집계!$AC$7:$AC$32,MATCH($AC119,배관집계!$AJ$7:$AJ$32,0))&amp;"",""))</f>
        <v/>
      </c>
      <c r="X119" s="6" t="str">
        <f aca="false">IF($G119="","",IFERROR(INDEX(배관집계!$AD$7:$AD$32,MATCH($AC119,배관집계!$AJ$7:$AJ$32,0))&amp;"",""))</f>
        <v/>
      </c>
      <c r="Y119" s="6" t="str">
        <f aca="false">IF($G119="","",IFERROR(INDEX(배관집계!$AE$7:$AE$32,MATCH($AC119,배관집계!$AJ$7:$AJ$32,0))&amp;"",""))</f>
        <v/>
      </c>
      <c r="Z119" s="6" t="str">
        <f aca="false">IF($G119="","",IFERROR(INDEX(배관집계!$AF$7:$AF$32,MATCH($AC119,배관집계!$AJ$7:$AJ$32,0))&amp;"",""))</f>
        <v/>
      </c>
      <c r="AA119" s="6" t="str">
        <f aca="false">IF($G119="","",IFERROR(INDEX(배관집계!$AG$7:$AG$32,MATCH($AC119,배관집계!$AJ$7:$AJ$32,0))&amp;"",""))</f>
        <v/>
      </c>
      <c r="AB119" s="6" t="str">
        <f aca="false">IF($G119="","",IFERROR(INDEX(배관집계!$AH$7:$AH$32,MATCH($AC119,배관집계!$AJ$7:$AJ$32,0))&amp;"",""))</f>
        <v/>
      </c>
      <c r="AC119" s="75" t="str">
        <f aca="false">IF($G119="","",$B119&amp;"|"&amp;$C119&amp;"|"&amp;$E119&amp;"|"&amp;$U119&amp;"|"&amp;$I119)</f>
        <v/>
      </c>
      <c r="AD119" s="76" t="str">
        <f aca="false">IF($G119="","",IF($B119&lt;&gt;"설치","",IF($G119="PIPE","PIPE",IF($G119="VALVE",IF(ISNUMBER(SEARCH("GLOBE",$H119)),"GLOBE",IF(ISNUMBER(SEARCH("GATE",$H119)),"GATE",IF(ISNUMBER(SEARCH("BUTTER",$H119)),"BFLY","VALVE기타"))),IF($G119="FITTING",IF(LEFT($H119,5)="ELBOW",IF($AE119=90,"90EL",IF($AE119=45,"45EL","비규격EL")),IF(LEFT($H119,6)="FLANGE","FLANGE",IF(ISNUMBER(SEARCH("TEE",$H119)),"TEE",""))),"")))))</f>
        <v/>
      </c>
      <c r="AE119" s="76" t="str">
        <f aca="false">IF(AND($G119="FITTING",LEFT($H119,5)="ELBOW"),IFERROR(VALUE(LEFT(MID($H119,7,12),MIN(IFERROR(FIND("L",MID($H119,7,12)),99),IFERROR(FIND("S",MID($H119,7,12)),99),IFERROR(FIND(" ",MID($H119,7,12)),99))-1)),""),"")</f>
        <v/>
      </c>
      <c r="AF119" s="77" t="n">
        <f aca="false">IF($AD119="비규격EL",N($L119)*RADIANS(N($AE119))*보온기준!$F$15*N($I119)*보온기준!$F$16/1000,0)</f>
        <v>0</v>
      </c>
      <c r="AG119" s="76" t="str">
        <f aca="false">IF($G119="","",IF(OR($AA119&lt;&gt;"○",LEFT($F119,3)="STS",LEFT($F119,3)="SUS",$C119="매설"),"Y","N"))</f>
        <v/>
      </c>
    </row>
    <row r="120" customFormat="false" ht="15" hidden="false" customHeight="true" outlineLevel="0" collapsed="false">
      <c r="A120" s="6"/>
      <c r="B120" s="21"/>
      <c r="C120" s="21"/>
      <c r="D120" s="21"/>
      <c r="E120" s="21"/>
      <c r="F120" s="21"/>
      <c r="G120" s="21"/>
      <c r="H120" s="59"/>
      <c r="I120" s="21"/>
      <c r="J120" s="21"/>
      <c r="K120" s="21"/>
      <c r="L120" s="78"/>
      <c r="M120" s="37" t="str">
        <f aca="false">IF($G120&lt;&gt;"PIPE","",IFERROR(1/(1/INDEX(배관단중표!$B$7:$W$41,MATCH($I120,배관단중표!$A$7:$A$41,0),MATCH(IF($J120="SPP","SPP",IF(LEFT($F120,3)="STS",IF(ISNUMBER(SEARCH("316",$F120)),"STS316","STS304"),"SPPS")&amp;"|"&amp;$J120),배관단중표!$B$6:$W$6,0))),"DB확인"))</f>
        <v/>
      </c>
      <c r="N120" s="79"/>
      <c r="O120" s="80"/>
      <c r="P120" s="54" t="str">
        <f aca="false">IF($G120="","",IFERROR(IF(O120&lt;&gt;"",O120,L120*IF(G120="PIPE",M120,N120)),0))</f>
        <v/>
      </c>
      <c r="Q120" s="6" t="str">
        <f aca="false">IF($G120="","",IF(G120="PIPE","P","F"))</f>
        <v/>
      </c>
      <c r="R120" s="35" t="str">
        <f aca="false">IF($G120&lt;&gt;"PIPE","",IFERROR(IF(O120&lt;&gt;"",O120/M120,IF(K120="M",L120,"")),""))</f>
        <v/>
      </c>
      <c r="S120" s="6" t="str">
        <f aca="false">IF($G120&lt;&gt;"PIPE","",IF(AND($AA120="○",OR($W120&lt;&gt;"○",배관기준!$AG$17="N"),$C120&lt;&gt;"매설",LEFT($F120,3)&lt;&gt;"STS",LEFT($F120,3)&lt;&gt;"SUS"),"Y","N"))</f>
        <v/>
      </c>
      <c r="T120" s="16"/>
      <c r="U120" s="21"/>
      <c r="V120" s="21"/>
      <c r="W120" s="6" t="str">
        <f aca="false">IF($G120="","",IFERROR(INDEX(배관집계!$AC$7:$AC$32,MATCH($AC120,배관집계!$AJ$7:$AJ$32,0))&amp;"",""))</f>
        <v/>
      </c>
      <c r="X120" s="6" t="str">
        <f aca="false">IF($G120="","",IFERROR(INDEX(배관집계!$AD$7:$AD$32,MATCH($AC120,배관집계!$AJ$7:$AJ$32,0))&amp;"",""))</f>
        <v/>
      </c>
      <c r="Y120" s="6" t="str">
        <f aca="false">IF($G120="","",IFERROR(INDEX(배관집계!$AE$7:$AE$32,MATCH($AC120,배관집계!$AJ$7:$AJ$32,0))&amp;"",""))</f>
        <v/>
      </c>
      <c r="Z120" s="6" t="str">
        <f aca="false">IF($G120="","",IFERROR(INDEX(배관집계!$AF$7:$AF$32,MATCH($AC120,배관집계!$AJ$7:$AJ$32,0))&amp;"",""))</f>
        <v/>
      </c>
      <c r="AA120" s="6" t="str">
        <f aca="false">IF($G120="","",IFERROR(INDEX(배관집계!$AG$7:$AG$32,MATCH($AC120,배관집계!$AJ$7:$AJ$32,0))&amp;"",""))</f>
        <v/>
      </c>
      <c r="AB120" s="6" t="str">
        <f aca="false">IF($G120="","",IFERROR(INDEX(배관집계!$AH$7:$AH$32,MATCH($AC120,배관집계!$AJ$7:$AJ$32,0))&amp;"",""))</f>
        <v/>
      </c>
      <c r="AC120" s="75" t="str">
        <f aca="false">IF($G120="","",$B120&amp;"|"&amp;$C120&amp;"|"&amp;$E120&amp;"|"&amp;$U120&amp;"|"&amp;$I120)</f>
        <v/>
      </c>
      <c r="AD120" s="76" t="str">
        <f aca="false">IF($G120="","",IF($B120&lt;&gt;"설치","",IF($G120="PIPE","PIPE",IF($G120="VALVE",IF(ISNUMBER(SEARCH("GLOBE",$H120)),"GLOBE",IF(ISNUMBER(SEARCH("GATE",$H120)),"GATE",IF(ISNUMBER(SEARCH("BUTTER",$H120)),"BFLY","VALVE기타"))),IF($G120="FITTING",IF(LEFT($H120,5)="ELBOW",IF($AE120=90,"90EL",IF($AE120=45,"45EL","비규격EL")),IF(LEFT($H120,6)="FLANGE","FLANGE",IF(ISNUMBER(SEARCH("TEE",$H120)),"TEE",""))),"")))))</f>
        <v/>
      </c>
      <c r="AE120" s="76" t="str">
        <f aca="false">IF(AND($G120="FITTING",LEFT($H120,5)="ELBOW"),IFERROR(VALUE(LEFT(MID($H120,7,12),MIN(IFERROR(FIND("L",MID($H120,7,12)),99),IFERROR(FIND("S",MID($H120,7,12)),99),IFERROR(FIND(" ",MID($H120,7,12)),99))-1)),""),"")</f>
        <v/>
      </c>
      <c r="AF120" s="77" t="n">
        <f aca="false">IF($AD120="비규격EL",N($L120)*RADIANS(N($AE120))*보온기준!$F$15*N($I120)*보온기준!$F$16/1000,0)</f>
        <v>0</v>
      </c>
      <c r="AG120" s="76" t="str">
        <f aca="false">IF($G120="","",IF(OR($AA120&lt;&gt;"○",LEFT($F120,3)="STS",LEFT($F120,3)="SUS",$C120="매설"),"Y","N"))</f>
        <v/>
      </c>
    </row>
    <row r="121" customFormat="false" ht="15" hidden="false" customHeight="true" outlineLevel="0" collapsed="false">
      <c r="A121" s="6"/>
      <c r="B121" s="21"/>
      <c r="C121" s="21"/>
      <c r="D121" s="21"/>
      <c r="E121" s="21"/>
      <c r="F121" s="21"/>
      <c r="G121" s="21"/>
      <c r="H121" s="59"/>
      <c r="I121" s="21"/>
      <c r="J121" s="21"/>
      <c r="K121" s="21"/>
      <c r="L121" s="78"/>
      <c r="M121" s="37" t="str">
        <f aca="false">IF($G121&lt;&gt;"PIPE","",IFERROR(1/(1/INDEX(배관단중표!$B$7:$W$41,MATCH($I121,배관단중표!$A$7:$A$41,0),MATCH(IF($J121="SPP","SPP",IF(LEFT($F121,3)="STS",IF(ISNUMBER(SEARCH("316",$F121)),"STS316","STS304"),"SPPS")&amp;"|"&amp;$J121),배관단중표!$B$6:$W$6,0))),"DB확인"))</f>
        <v/>
      </c>
      <c r="N121" s="79"/>
      <c r="O121" s="80"/>
      <c r="P121" s="54" t="str">
        <f aca="false">IF($G121="","",IFERROR(IF(O121&lt;&gt;"",O121,L121*IF(G121="PIPE",M121,N121)),0))</f>
        <v/>
      </c>
      <c r="Q121" s="6" t="str">
        <f aca="false">IF($G121="","",IF(G121="PIPE","P","F"))</f>
        <v/>
      </c>
      <c r="R121" s="35" t="str">
        <f aca="false">IF($G121&lt;&gt;"PIPE","",IFERROR(IF(O121&lt;&gt;"",O121/M121,IF(K121="M",L121,"")),""))</f>
        <v/>
      </c>
      <c r="S121" s="6" t="str">
        <f aca="false">IF($G121&lt;&gt;"PIPE","",IF(AND($AA121="○",OR($W121&lt;&gt;"○",배관기준!$AG$17="N"),$C121&lt;&gt;"매설",LEFT($F121,3)&lt;&gt;"STS",LEFT($F121,3)&lt;&gt;"SUS"),"Y","N"))</f>
        <v/>
      </c>
      <c r="T121" s="16"/>
      <c r="U121" s="21"/>
      <c r="V121" s="21"/>
      <c r="W121" s="6" t="str">
        <f aca="false">IF($G121="","",IFERROR(INDEX(배관집계!$AC$7:$AC$32,MATCH($AC121,배관집계!$AJ$7:$AJ$32,0))&amp;"",""))</f>
        <v/>
      </c>
      <c r="X121" s="6" t="str">
        <f aca="false">IF($G121="","",IFERROR(INDEX(배관집계!$AD$7:$AD$32,MATCH($AC121,배관집계!$AJ$7:$AJ$32,0))&amp;"",""))</f>
        <v/>
      </c>
      <c r="Y121" s="6" t="str">
        <f aca="false">IF($G121="","",IFERROR(INDEX(배관집계!$AE$7:$AE$32,MATCH($AC121,배관집계!$AJ$7:$AJ$32,0))&amp;"",""))</f>
        <v/>
      </c>
      <c r="Z121" s="6" t="str">
        <f aca="false">IF($G121="","",IFERROR(INDEX(배관집계!$AF$7:$AF$32,MATCH($AC121,배관집계!$AJ$7:$AJ$32,0))&amp;"",""))</f>
        <v/>
      </c>
      <c r="AA121" s="6" t="str">
        <f aca="false">IF($G121="","",IFERROR(INDEX(배관집계!$AG$7:$AG$32,MATCH($AC121,배관집계!$AJ$7:$AJ$32,0))&amp;"",""))</f>
        <v/>
      </c>
      <c r="AB121" s="6" t="str">
        <f aca="false">IF($G121="","",IFERROR(INDEX(배관집계!$AH$7:$AH$32,MATCH($AC121,배관집계!$AJ$7:$AJ$32,0))&amp;"",""))</f>
        <v/>
      </c>
      <c r="AC121" s="75" t="str">
        <f aca="false">IF($G121="","",$B121&amp;"|"&amp;$C121&amp;"|"&amp;$E121&amp;"|"&amp;$U121&amp;"|"&amp;$I121)</f>
        <v/>
      </c>
      <c r="AD121" s="76" t="str">
        <f aca="false">IF($G121="","",IF($B121&lt;&gt;"설치","",IF($G121="PIPE","PIPE",IF($G121="VALVE",IF(ISNUMBER(SEARCH("GLOBE",$H121)),"GLOBE",IF(ISNUMBER(SEARCH("GATE",$H121)),"GATE",IF(ISNUMBER(SEARCH("BUTTER",$H121)),"BFLY","VALVE기타"))),IF($G121="FITTING",IF(LEFT($H121,5)="ELBOW",IF($AE121=90,"90EL",IF($AE121=45,"45EL","비규격EL")),IF(LEFT($H121,6)="FLANGE","FLANGE",IF(ISNUMBER(SEARCH("TEE",$H121)),"TEE",""))),"")))))</f>
        <v/>
      </c>
      <c r="AE121" s="76" t="str">
        <f aca="false">IF(AND($G121="FITTING",LEFT($H121,5)="ELBOW"),IFERROR(VALUE(LEFT(MID($H121,7,12),MIN(IFERROR(FIND("L",MID($H121,7,12)),99),IFERROR(FIND("S",MID($H121,7,12)),99),IFERROR(FIND(" ",MID($H121,7,12)),99))-1)),""),"")</f>
        <v/>
      </c>
      <c r="AF121" s="77" t="n">
        <f aca="false">IF($AD121="비규격EL",N($L121)*RADIANS(N($AE121))*보온기준!$F$15*N($I121)*보온기준!$F$16/1000,0)</f>
        <v>0</v>
      </c>
      <c r="AG121" s="76" t="str">
        <f aca="false">IF($G121="","",IF(OR($AA121&lt;&gt;"○",LEFT($F121,3)="STS",LEFT($F121,3)="SUS",$C121="매설"),"Y","N"))</f>
        <v/>
      </c>
    </row>
    <row r="122" customFormat="false" ht="15" hidden="false" customHeight="true" outlineLevel="0" collapsed="false">
      <c r="A122" s="6"/>
      <c r="B122" s="21"/>
      <c r="C122" s="21"/>
      <c r="D122" s="21"/>
      <c r="E122" s="21"/>
      <c r="F122" s="21"/>
      <c r="G122" s="21"/>
      <c r="H122" s="59"/>
      <c r="I122" s="21"/>
      <c r="J122" s="21"/>
      <c r="K122" s="21"/>
      <c r="L122" s="78"/>
      <c r="M122" s="37" t="str">
        <f aca="false">IF($G122&lt;&gt;"PIPE","",IFERROR(1/(1/INDEX(배관단중표!$B$7:$W$41,MATCH($I122,배관단중표!$A$7:$A$41,0),MATCH(IF($J122="SPP","SPP",IF(LEFT($F122,3)="STS",IF(ISNUMBER(SEARCH("316",$F122)),"STS316","STS304"),"SPPS")&amp;"|"&amp;$J122),배관단중표!$B$6:$W$6,0))),"DB확인"))</f>
        <v/>
      </c>
      <c r="N122" s="79"/>
      <c r="O122" s="80"/>
      <c r="P122" s="54" t="str">
        <f aca="false">IF($G122="","",IFERROR(IF(O122&lt;&gt;"",O122,L122*IF(G122="PIPE",M122,N122)),0))</f>
        <v/>
      </c>
      <c r="Q122" s="6" t="str">
        <f aca="false">IF($G122="","",IF(G122="PIPE","P","F"))</f>
        <v/>
      </c>
      <c r="R122" s="35" t="str">
        <f aca="false">IF($G122&lt;&gt;"PIPE","",IFERROR(IF(O122&lt;&gt;"",O122/M122,IF(K122="M",L122,"")),""))</f>
        <v/>
      </c>
      <c r="S122" s="6" t="str">
        <f aca="false">IF($G122&lt;&gt;"PIPE","",IF(AND($AA122="○",OR($W122&lt;&gt;"○",배관기준!$AG$17="N"),$C122&lt;&gt;"매설",LEFT($F122,3)&lt;&gt;"STS",LEFT($F122,3)&lt;&gt;"SUS"),"Y","N"))</f>
        <v/>
      </c>
      <c r="T122" s="16"/>
      <c r="U122" s="21"/>
      <c r="V122" s="21"/>
      <c r="W122" s="6" t="str">
        <f aca="false">IF($G122="","",IFERROR(INDEX(배관집계!$AC$7:$AC$32,MATCH($AC122,배관집계!$AJ$7:$AJ$32,0))&amp;"",""))</f>
        <v/>
      </c>
      <c r="X122" s="6" t="str">
        <f aca="false">IF($G122="","",IFERROR(INDEX(배관집계!$AD$7:$AD$32,MATCH($AC122,배관집계!$AJ$7:$AJ$32,0))&amp;"",""))</f>
        <v/>
      </c>
      <c r="Y122" s="6" t="str">
        <f aca="false">IF($G122="","",IFERROR(INDEX(배관집계!$AE$7:$AE$32,MATCH($AC122,배관집계!$AJ$7:$AJ$32,0))&amp;"",""))</f>
        <v/>
      </c>
      <c r="Z122" s="6" t="str">
        <f aca="false">IF($G122="","",IFERROR(INDEX(배관집계!$AF$7:$AF$32,MATCH($AC122,배관집계!$AJ$7:$AJ$32,0))&amp;"",""))</f>
        <v/>
      </c>
      <c r="AA122" s="6" t="str">
        <f aca="false">IF($G122="","",IFERROR(INDEX(배관집계!$AG$7:$AG$32,MATCH($AC122,배관집계!$AJ$7:$AJ$32,0))&amp;"",""))</f>
        <v/>
      </c>
      <c r="AB122" s="6" t="str">
        <f aca="false">IF($G122="","",IFERROR(INDEX(배관집계!$AH$7:$AH$32,MATCH($AC122,배관집계!$AJ$7:$AJ$32,0))&amp;"",""))</f>
        <v/>
      </c>
      <c r="AC122" s="75" t="str">
        <f aca="false">IF($G122="","",$B122&amp;"|"&amp;$C122&amp;"|"&amp;$E122&amp;"|"&amp;$U122&amp;"|"&amp;$I122)</f>
        <v/>
      </c>
      <c r="AD122" s="76" t="str">
        <f aca="false">IF($G122="","",IF($B122&lt;&gt;"설치","",IF($G122="PIPE","PIPE",IF($G122="VALVE",IF(ISNUMBER(SEARCH("GLOBE",$H122)),"GLOBE",IF(ISNUMBER(SEARCH("GATE",$H122)),"GATE",IF(ISNUMBER(SEARCH("BUTTER",$H122)),"BFLY","VALVE기타"))),IF($G122="FITTING",IF(LEFT($H122,5)="ELBOW",IF($AE122=90,"90EL",IF($AE122=45,"45EL","비규격EL")),IF(LEFT($H122,6)="FLANGE","FLANGE",IF(ISNUMBER(SEARCH("TEE",$H122)),"TEE",""))),"")))))</f>
        <v/>
      </c>
      <c r="AE122" s="76" t="str">
        <f aca="false">IF(AND($G122="FITTING",LEFT($H122,5)="ELBOW"),IFERROR(VALUE(LEFT(MID($H122,7,12),MIN(IFERROR(FIND("L",MID($H122,7,12)),99),IFERROR(FIND("S",MID($H122,7,12)),99),IFERROR(FIND(" ",MID($H122,7,12)),99))-1)),""),"")</f>
        <v/>
      </c>
      <c r="AF122" s="77" t="n">
        <f aca="false">IF($AD122="비규격EL",N($L122)*RADIANS(N($AE122))*보온기준!$F$15*N($I122)*보온기준!$F$16/1000,0)</f>
        <v>0</v>
      </c>
      <c r="AG122" s="76" t="str">
        <f aca="false">IF($G122="","",IF(OR($AA122&lt;&gt;"○",LEFT($F122,3)="STS",LEFT($F122,3)="SUS",$C122="매설"),"Y","N"))</f>
        <v/>
      </c>
    </row>
    <row r="123" customFormat="false" ht="15" hidden="false" customHeight="true" outlineLevel="0" collapsed="false">
      <c r="A123" s="6"/>
      <c r="B123" s="21"/>
      <c r="C123" s="21"/>
      <c r="D123" s="21"/>
      <c r="E123" s="21"/>
      <c r="F123" s="21"/>
      <c r="G123" s="21"/>
      <c r="H123" s="59"/>
      <c r="I123" s="21"/>
      <c r="J123" s="21"/>
      <c r="K123" s="21"/>
      <c r="L123" s="78"/>
      <c r="M123" s="37" t="str">
        <f aca="false">IF($G123&lt;&gt;"PIPE","",IFERROR(1/(1/INDEX(배관단중표!$B$7:$W$41,MATCH($I123,배관단중표!$A$7:$A$41,0),MATCH(IF($J123="SPP","SPP",IF(LEFT($F123,3)="STS",IF(ISNUMBER(SEARCH("316",$F123)),"STS316","STS304"),"SPPS")&amp;"|"&amp;$J123),배관단중표!$B$6:$W$6,0))),"DB확인"))</f>
        <v/>
      </c>
      <c r="N123" s="79"/>
      <c r="O123" s="80"/>
      <c r="P123" s="54" t="str">
        <f aca="false">IF($G123="","",IFERROR(IF(O123&lt;&gt;"",O123,L123*IF(G123="PIPE",M123,N123)),0))</f>
        <v/>
      </c>
      <c r="Q123" s="6" t="str">
        <f aca="false">IF($G123="","",IF(G123="PIPE","P","F"))</f>
        <v/>
      </c>
      <c r="R123" s="35" t="str">
        <f aca="false">IF($G123&lt;&gt;"PIPE","",IFERROR(IF(O123&lt;&gt;"",O123/M123,IF(K123="M",L123,"")),""))</f>
        <v/>
      </c>
      <c r="S123" s="6" t="str">
        <f aca="false">IF($G123&lt;&gt;"PIPE","",IF(AND($AA123="○",OR($W123&lt;&gt;"○",배관기준!$AG$17="N"),$C123&lt;&gt;"매설",LEFT($F123,3)&lt;&gt;"STS",LEFT($F123,3)&lt;&gt;"SUS"),"Y","N"))</f>
        <v/>
      </c>
      <c r="T123" s="16"/>
      <c r="U123" s="21"/>
      <c r="V123" s="21"/>
      <c r="W123" s="6" t="str">
        <f aca="false">IF($G123="","",IFERROR(INDEX(배관집계!$AC$7:$AC$32,MATCH($AC123,배관집계!$AJ$7:$AJ$32,0))&amp;"",""))</f>
        <v/>
      </c>
      <c r="X123" s="6" t="str">
        <f aca="false">IF($G123="","",IFERROR(INDEX(배관집계!$AD$7:$AD$32,MATCH($AC123,배관집계!$AJ$7:$AJ$32,0))&amp;"",""))</f>
        <v/>
      </c>
      <c r="Y123" s="6" t="str">
        <f aca="false">IF($G123="","",IFERROR(INDEX(배관집계!$AE$7:$AE$32,MATCH($AC123,배관집계!$AJ$7:$AJ$32,0))&amp;"",""))</f>
        <v/>
      </c>
      <c r="Z123" s="6" t="str">
        <f aca="false">IF($G123="","",IFERROR(INDEX(배관집계!$AF$7:$AF$32,MATCH($AC123,배관집계!$AJ$7:$AJ$32,0))&amp;"",""))</f>
        <v/>
      </c>
      <c r="AA123" s="6" t="str">
        <f aca="false">IF($G123="","",IFERROR(INDEX(배관집계!$AG$7:$AG$32,MATCH($AC123,배관집계!$AJ$7:$AJ$32,0))&amp;"",""))</f>
        <v/>
      </c>
      <c r="AB123" s="6" t="str">
        <f aca="false">IF($G123="","",IFERROR(INDEX(배관집계!$AH$7:$AH$32,MATCH($AC123,배관집계!$AJ$7:$AJ$32,0))&amp;"",""))</f>
        <v/>
      </c>
      <c r="AC123" s="75" t="str">
        <f aca="false">IF($G123="","",$B123&amp;"|"&amp;$C123&amp;"|"&amp;$E123&amp;"|"&amp;$U123&amp;"|"&amp;$I123)</f>
        <v/>
      </c>
      <c r="AD123" s="76" t="str">
        <f aca="false">IF($G123="","",IF($B123&lt;&gt;"설치","",IF($G123="PIPE","PIPE",IF($G123="VALVE",IF(ISNUMBER(SEARCH("GLOBE",$H123)),"GLOBE",IF(ISNUMBER(SEARCH("GATE",$H123)),"GATE",IF(ISNUMBER(SEARCH("BUTTER",$H123)),"BFLY","VALVE기타"))),IF($G123="FITTING",IF(LEFT($H123,5)="ELBOW",IF($AE123=90,"90EL",IF($AE123=45,"45EL","비규격EL")),IF(LEFT($H123,6)="FLANGE","FLANGE",IF(ISNUMBER(SEARCH("TEE",$H123)),"TEE",""))),"")))))</f>
        <v/>
      </c>
      <c r="AE123" s="76" t="str">
        <f aca="false">IF(AND($G123="FITTING",LEFT($H123,5)="ELBOW"),IFERROR(VALUE(LEFT(MID($H123,7,12),MIN(IFERROR(FIND("L",MID($H123,7,12)),99),IFERROR(FIND("S",MID($H123,7,12)),99),IFERROR(FIND(" ",MID($H123,7,12)),99))-1)),""),"")</f>
        <v/>
      </c>
      <c r="AF123" s="77" t="n">
        <f aca="false">IF($AD123="비규격EL",N($L123)*RADIANS(N($AE123))*보온기준!$F$15*N($I123)*보온기준!$F$16/1000,0)</f>
        <v>0</v>
      </c>
      <c r="AG123" s="76" t="str">
        <f aca="false">IF($G123="","",IF(OR($AA123&lt;&gt;"○",LEFT($F123,3)="STS",LEFT($F123,3)="SUS",$C123="매설"),"Y","N"))</f>
        <v/>
      </c>
    </row>
    <row r="124" customFormat="false" ht="15" hidden="false" customHeight="true" outlineLevel="0" collapsed="false">
      <c r="A124" s="6"/>
      <c r="B124" s="21"/>
      <c r="C124" s="21"/>
      <c r="D124" s="21"/>
      <c r="E124" s="21"/>
      <c r="F124" s="21"/>
      <c r="G124" s="21"/>
      <c r="H124" s="59"/>
      <c r="I124" s="21"/>
      <c r="J124" s="21"/>
      <c r="K124" s="21"/>
      <c r="L124" s="78"/>
      <c r="M124" s="37" t="str">
        <f aca="false">IF($G124&lt;&gt;"PIPE","",IFERROR(1/(1/INDEX(배관단중표!$B$7:$W$41,MATCH($I124,배관단중표!$A$7:$A$41,0),MATCH(IF($J124="SPP","SPP",IF(LEFT($F124,3)="STS",IF(ISNUMBER(SEARCH("316",$F124)),"STS316","STS304"),"SPPS")&amp;"|"&amp;$J124),배관단중표!$B$6:$W$6,0))),"DB확인"))</f>
        <v/>
      </c>
      <c r="N124" s="79"/>
      <c r="O124" s="80"/>
      <c r="P124" s="54" t="str">
        <f aca="false">IF($G124="","",IFERROR(IF(O124&lt;&gt;"",O124,L124*IF(G124="PIPE",M124,N124)),0))</f>
        <v/>
      </c>
      <c r="Q124" s="6" t="str">
        <f aca="false">IF($G124="","",IF(G124="PIPE","P","F"))</f>
        <v/>
      </c>
      <c r="R124" s="35" t="str">
        <f aca="false">IF($G124&lt;&gt;"PIPE","",IFERROR(IF(O124&lt;&gt;"",O124/M124,IF(K124="M",L124,"")),""))</f>
        <v/>
      </c>
      <c r="S124" s="6" t="str">
        <f aca="false">IF($G124&lt;&gt;"PIPE","",IF(AND($AA124="○",OR($W124&lt;&gt;"○",배관기준!$AG$17="N"),$C124&lt;&gt;"매설",LEFT($F124,3)&lt;&gt;"STS",LEFT($F124,3)&lt;&gt;"SUS"),"Y","N"))</f>
        <v/>
      </c>
      <c r="T124" s="16"/>
      <c r="U124" s="21"/>
      <c r="V124" s="21"/>
      <c r="W124" s="6" t="str">
        <f aca="false">IF($G124="","",IFERROR(INDEX(배관집계!$AC$7:$AC$32,MATCH($AC124,배관집계!$AJ$7:$AJ$32,0))&amp;"",""))</f>
        <v/>
      </c>
      <c r="X124" s="6" t="str">
        <f aca="false">IF($G124="","",IFERROR(INDEX(배관집계!$AD$7:$AD$32,MATCH($AC124,배관집계!$AJ$7:$AJ$32,0))&amp;"",""))</f>
        <v/>
      </c>
      <c r="Y124" s="6" t="str">
        <f aca="false">IF($G124="","",IFERROR(INDEX(배관집계!$AE$7:$AE$32,MATCH($AC124,배관집계!$AJ$7:$AJ$32,0))&amp;"",""))</f>
        <v/>
      </c>
      <c r="Z124" s="6" t="str">
        <f aca="false">IF($G124="","",IFERROR(INDEX(배관집계!$AF$7:$AF$32,MATCH($AC124,배관집계!$AJ$7:$AJ$32,0))&amp;"",""))</f>
        <v/>
      </c>
      <c r="AA124" s="6" t="str">
        <f aca="false">IF($G124="","",IFERROR(INDEX(배관집계!$AG$7:$AG$32,MATCH($AC124,배관집계!$AJ$7:$AJ$32,0))&amp;"",""))</f>
        <v/>
      </c>
      <c r="AB124" s="6" t="str">
        <f aca="false">IF($G124="","",IFERROR(INDEX(배관집계!$AH$7:$AH$32,MATCH($AC124,배관집계!$AJ$7:$AJ$32,0))&amp;"",""))</f>
        <v/>
      </c>
      <c r="AC124" s="75" t="str">
        <f aca="false">IF($G124="","",$B124&amp;"|"&amp;$C124&amp;"|"&amp;$E124&amp;"|"&amp;$U124&amp;"|"&amp;$I124)</f>
        <v/>
      </c>
      <c r="AD124" s="76" t="str">
        <f aca="false">IF($G124="","",IF($B124&lt;&gt;"설치","",IF($G124="PIPE","PIPE",IF($G124="VALVE",IF(ISNUMBER(SEARCH("GLOBE",$H124)),"GLOBE",IF(ISNUMBER(SEARCH("GATE",$H124)),"GATE",IF(ISNUMBER(SEARCH("BUTTER",$H124)),"BFLY","VALVE기타"))),IF($G124="FITTING",IF(LEFT($H124,5)="ELBOW",IF($AE124=90,"90EL",IF($AE124=45,"45EL","비규격EL")),IF(LEFT($H124,6)="FLANGE","FLANGE",IF(ISNUMBER(SEARCH("TEE",$H124)),"TEE",""))),"")))))</f>
        <v/>
      </c>
      <c r="AE124" s="76" t="str">
        <f aca="false">IF(AND($G124="FITTING",LEFT($H124,5)="ELBOW"),IFERROR(VALUE(LEFT(MID($H124,7,12),MIN(IFERROR(FIND("L",MID($H124,7,12)),99),IFERROR(FIND("S",MID($H124,7,12)),99),IFERROR(FIND(" ",MID($H124,7,12)),99))-1)),""),"")</f>
        <v/>
      </c>
      <c r="AF124" s="77" t="n">
        <f aca="false">IF($AD124="비규격EL",N($L124)*RADIANS(N($AE124))*보온기준!$F$15*N($I124)*보온기준!$F$16/1000,0)</f>
        <v>0</v>
      </c>
      <c r="AG124" s="76" t="str">
        <f aca="false">IF($G124="","",IF(OR($AA124&lt;&gt;"○",LEFT($F124,3)="STS",LEFT($F124,3)="SUS",$C124="매설"),"Y","N"))</f>
        <v/>
      </c>
    </row>
    <row r="125" customFormat="false" ht="15" hidden="false" customHeight="true" outlineLevel="0" collapsed="false">
      <c r="A125" s="6"/>
      <c r="B125" s="21"/>
      <c r="C125" s="21"/>
      <c r="D125" s="21"/>
      <c r="E125" s="21"/>
      <c r="F125" s="21"/>
      <c r="G125" s="21"/>
      <c r="H125" s="59"/>
      <c r="I125" s="21"/>
      <c r="J125" s="21"/>
      <c r="K125" s="21"/>
      <c r="L125" s="78"/>
      <c r="M125" s="37" t="str">
        <f aca="false">IF($G125&lt;&gt;"PIPE","",IFERROR(1/(1/INDEX(배관단중표!$B$7:$W$41,MATCH($I125,배관단중표!$A$7:$A$41,0),MATCH(IF($J125="SPP","SPP",IF(LEFT($F125,3)="STS",IF(ISNUMBER(SEARCH("316",$F125)),"STS316","STS304"),"SPPS")&amp;"|"&amp;$J125),배관단중표!$B$6:$W$6,0))),"DB확인"))</f>
        <v/>
      </c>
      <c r="N125" s="79"/>
      <c r="O125" s="80"/>
      <c r="P125" s="54" t="str">
        <f aca="false">IF($G125="","",IFERROR(IF(O125&lt;&gt;"",O125,L125*IF(G125="PIPE",M125,N125)),0))</f>
        <v/>
      </c>
      <c r="Q125" s="6" t="str">
        <f aca="false">IF($G125="","",IF(G125="PIPE","P","F"))</f>
        <v/>
      </c>
      <c r="R125" s="35" t="str">
        <f aca="false">IF($G125&lt;&gt;"PIPE","",IFERROR(IF(O125&lt;&gt;"",O125/M125,IF(K125="M",L125,"")),""))</f>
        <v/>
      </c>
      <c r="S125" s="6" t="str">
        <f aca="false">IF($G125&lt;&gt;"PIPE","",IF(AND($AA125="○",OR($W125&lt;&gt;"○",배관기준!$AG$17="N"),$C125&lt;&gt;"매설",LEFT($F125,3)&lt;&gt;"STS",LEFT($F125,3)&lt;&gt;"SUS"),"Y","N"))</f>
        <v/>
      </c>
      <c r="T125" s="16"/>
      <c r="U125" s="21"/>
      <c r="V125" s="21"/>
      <c r="W125" s="6" t="str">
        <f aca="false">IF($G125="","",IFERROR(INDEX(배관집계!$AC$7:$AC$32,MATCH($AC125,배관집계!$AJ$7:$AJ$32,0))&amp;"",""))</f>
        <v/>
      </c>
      <c r="X125" s="6" t="str">
        <f aca="false">IF($G125="","",IFERROR(INDEX(배관집계!$AD$7:$AD$32,MATCH($AC125,배관집계!$AJ$7:$AJ$32,0))&amp;"",""))</f>
        <v/>
      </c>
      <c r="Y125" s="6" t="str">
        <f aca="false">IF($G125="","",IFERROR(INDEX(배관집계!$AE$7:$AE$32,MATCH($AC125,배관집계!$AJ$7:$AJ$32,0))&amp;"",""))</f>
        <v/>
      </c>
      <c r="Z125" s="6" t="str">
        <f aca="false">IF($G125="","",IFERROR(INDEX(배관집계!$AF$7:$AF$32,MATCH($AC125,배관집계!$AJ$7:$AJ$32,0))&amp;"",""))</f>
        <v/>
      </c>
      <c r="AA125" s="6" t="str">
        <f aca="false">IF($G125="","",IFERROR(INDEX(배관집계!$AG$7:$AG$32,MATCH($AC125,배관집계!$AJ$7:$AJ$32,0))&amp;"",""))</f>
        <v/>
      </c>
      <c r="AB125" s="6" t="str">
        <f aca="false">IF($G125="","",IFERROR(INDEX(배관집계!$AH$7:$AH$32,MATCH($AC125,배관집계!$AJ$7:$AJ$32,0))&amp;"",""))</f>
        <v/>
      </c>
      <c r="AC125" s="75" t="str">
        <f aca="false">IF($G125="","",$B125&amp;"|"&amp;$C125&amp;"|"&amp;$E125&amp;"|"&amp;$U125&amp;"|"&amp;$I125)</f>
        <v/>
      </c>
      <c r="AD125" s="76" t="str">
        <f aca="false">IF($G125="","",IF($B125&lt;&gt;"설치","",IF($G125="PIPE","PIPE",IF($G125="VALVE",IF(ISNUMBER(SEARCH("GLOBE",$H125)),"GLOBE",IF(ISNUMBER(SEARCH("GATE",$H125)),"GATE",IF(ISNUMBER(SEARCH("BUTTER",$H125)),"BFLY","VALVE기타"))),IF($G125="FITTING",IF(LEFT($H125,5)="ELBOW",IF($AE125=90,"90EL",IF($AE125=45,"45EL","비규격EL")),IF(LEFT($H125,6)="FLANGE","FLANGE",IF(ISNUMBER(SEARCH("TEE",$H125)),"TEE",""))),"")))))</f>
        <v/>
      </c>
      <c r="AE125" s="76" t="str">
        <f aca="false">IF(AND($G125="FITTING",LEFT($H125,5)="ELBOW"),IFERROR(VALUE(LEFT(MID($H125,7,12),MIN(IFERROR(FIND("L",MID($H125,7,12)),99),IFERROR(FIND("S",MID($H125,7,12)),99),IFERROR(FIND(" ",MID($H125,7,12)),99))-1)),""),"")</f>
        <v/>
      </c>
      <c r="AF125" s="77" t="n">
        <f aca="false">IF($AD125="비규격EL",N($L125)*RADIANS(N($AE125))*보온기준!$F$15*N($I125)*보온기준!$F$16/1000,0)</f>
        <v>0</v>
      </c>
      <c r="AG125" s="76" t="str">
        <f aca="false">IF($G125="","",IF(OR($AA125&lt;&gt;"○",LEFT($F125,3)="STS",LEFT($F125,3)="SUS",$C125="매설"),"Y","N"))</f>
        <v/>
      </c>
    </row>
    <row r="126" customFormat="false" ht="15" hidden="false" customHeight="true" outlineLevel="0" collapsed="false">
      <c r="A126" s="6"/>
      <c r="B126" s="21"/>
      <c r="C126" s="21"/>
      <c r="D126" s="21"/>
      <c r="E126" s="21"/>
      <c r="F126" s="21"/>
      <c r="G126" s="21"/>
      <c r="H126" s="59"/>
      <c r="I126" s="21"/>
      <c r="J126" s="21"/>
      <c r="K126" s="21"/>
      <c r="L126" s="78"/>
      <c r="M126" s="37" t="str">
        <f aca="false">IF($G126&lt;&gt;"PIPE","",IFERROR(1/(1/INDEX(배관단중표!$B$7:$W$41,MATCH($I126,배관단중표!$A$7:$A$41,0),MATCH(IF($J126="SPP","SPP",IF(LEFT($F126,3)="STS",IF(ISNUMBER(SEARCH("316",$F126)),"STS316","STS304"),"SPPS")&amp;"|"&amp;$J126),배관단중표!$B$6:$W$6,0))),"DB확인"))</f>
        <v/>
      </c>
      <c r="N126" s="79"/>
      <c r="O126" s="80"/>
      <c r="P126" s="54" t="str">
        <f aca="false">IF($G126="","",IFERROR(IF(O126&lt;&gt;"",O126,L126*IF(G126="PIPE",M126,N126)),0))</f>
        <v/>
      </c>
      <c r="Q126" s="6" t="str">
        <f aca="false">IF($G126="","",IF(G126="PIPE","P","F"))</f>
        <v/>
      </c>
      <c r="R126" s="35" t="str">
        <f aca="false">IF($G126&lt;&gt;"PIPE","",IFERROR(IF(O126&lt;&gt;"",O126/M126,IF(K126="M",L126,"")),""))</f>
        <v/>
      </c>
      <c r="S126" s="6" t="str">
        <f aca="false">IF($G126&lt;&gt;"PIPE","",IF(AND($AA126="○",OR($W126&lt;&gt;"○",배관기준!$AG$17="N"),$C126&lt;&gt;"매설",LEFT($F126,3)&lt;&gt;"STS",LEFT($F126,3)&lt;&gt;"SUS"),"Y","N"))</f>
        <v/>
      </c>
      <c r="T126" s="16"/>
      <c r="U126" s="21"/>
      <c r="V126" s="21"/>
      <c r="W126" s="6" t="str">
        <f aca="false">IF($G126="","",IFERROR(INDEX(배관집계!$AC$7:$AC$32,MATCH($AC126,배관집계!$AJ$7:$AJ$32,0))&amp;"",""))</f>
        <v/>
      </c>
      <c r="X126" s="6" t="str">
        <f aca="false">IF($G126="","",IFERROR(INDEX(배관집계!$AD$7:$AD$32,MATCH($AC126,배관집계!$AJ$7:$AJ$32,0))&amp;"",""))</f>
        <v/>
      </c>
      <c r="Y126" s="6" t="str">
        <f aca="false">IF($G126="","",IFERROR(INDEX(배관집계!$AE$7:$AE$32,MATCH($AC126,배관집계!$AJ$7:$AJ$32,0))&amp;"",""))</f>
        <v/>
      </c>
      <c r="Z126" s="6" t="str">
        <f aca="false">IF($G126="","",IFERROR(INDEX(배관집계!$AF$7:$AF$32,MATCH($AC126,배관집계!$AJ$7:$AJ$32,0))&amp;"",""))</f>
        <v/>
      </c>
      <c r="AA126" s="6" t="str">
        <f aca="false">IF($G126="","",IFERROR(INDEX(배관집계!$AG$7:$AG$32,MATCH($AC126,배관집계!$AJ$7:$AJ$32,0))&amp;"",""))</f>
        <v/>
      </c>
      <c r="AB126" s="6" t="str">
        <f aca="false">IF($G126="","",IFERROR(INDEX(배관집계!$AH$7:$AH$32,MATCH($AC126,배관집계!$AJ$7:$AJ$32,0))&amp;"",""))</f>
        <v/>
      </c>
      <c r="AC126" s="75" t="str">
        <f aca="false">IF($G126="","",$B126&amp;"|"&amp;$C126&amp;"|"&amp;$E126&amp;"|"&amp;$U126&amp;"|"&amp;$I126)</f>
        <v/>
      </c>
      <c r="AD126" s="76" t="str">
        <f aca="false">IF($G126="","",IF($B126&lt;&gt;"설치","",IF($G126="PIPE","PIPE",IF($G126="VALVE",IF(ISNUMBER(SEARCH("GLOBE",$H126)),"GLOBE",IF(ISNUMBER(SEARCH("GATE",$H126)),"GATE",IF(ISNUMBER(SEARCH("BUTTER",$H126)),"BFLY","VALVE기타"))),IF($G126="FITTING",IF(LEFT($H126,5)="ELBOW",IF($AE126=90,"90EL",IF($AE126=45,"45EL","비규격EL")),IF(LEFT($H126,6)="FLANGE","FLANGE",IF(ISNUMBER(SEARCH("TEE",$H126)),"TEE",""))),"")))))</f>
        <v/>
      </c>
      <c r="AE126" s="76" t="str">
        <f aca="false">IF(AND($G126="FITTING",LEFT($H126,5)="ELBOW"),IFERROR(VALUE(LEFT(MID($H126,7,12),MIN(IFERROR(FIND("L",MID($H126,7,12)),99),IFERROR(FIND("S",MID($H126,7,12)),99),IFERROR(FIND(" ",MID($H126,7,12)),99))-1)),""),"")</f>
        <v/>
      </c>
      <c r="AF126" s="77" t="n">
        <f aca="false">IF($AD126="비규격EL",N($L126)*RADIANS(N($AE126))*보온기준!$F$15*N($I126)*보온기준!$F$16/1000,0)</f>
        <v>0</v>
      </c>
      <c r="AG126" s="76" t="str">
        <f aca="false">IF($G126="","",IF(OR($AA126&lt;&gt;"○",LEFT($F126,3)="STS",LEFT($F126,3)="SUS",$C126="매설"),"Y","N"))</f>
        <v/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1" t="s">
        <v>762</v>
      </c>
      <c r="I127" s="10"/>
      <c r="J127" s="10"/>
      <c r="K127" s="10"/>
      <c r="L127" s="10"/>
      <c r="M127" s="10"/>
      <c r="N127" s="10"/>
      <c r="O127" s="10"/>
      <c r="P127" s="60" t="n">
        <f aca="false">SUM(P7:P126)</f>
        <v>5297.10721</v>
      </c>
      <c r="Q127" s="10"/>
      <c r="R127" s="10"/>
      <c r="S127" s="10"/>
      <c r="T127" s="10"/>
      <c r="U127" s="10"/>
      <c r="V127" s="10"/>
    </row>
    <row r="128" customFormat="false" ht="15" hidden="false" customHeight="true" outlineLevel="0" collapsed="false">
      <c r="H128" s="16" t="s">
        <v>763</v>
      </c>
      <c r="P128" s="54" t="n">
        <f aca="false">SUMIFS(P7:P126,Q7:Q126,"P",B7:B126,"설치")</f>
        <v>1999.80721</v>
      </c>
    </row>
    <row r="129" customFormat="false" ht="15" hidden="false" customHeight="true" outlineLevel="0" collapsed="false">
      <c r="H129" s="16" t="s">
        <v>764</v>
      </c>
      <c r="P129" s="54" t="n">
        <f aca="false">SUMIFS(P7:P126,Q7:Q126,"F",B7:B126,"설치")</f>
        <v>3297.3</v>
      </c>
    </row>
    <row r="131" customFormat="false" ht="15" hidden="false" customHeight="true" outlineLevel="0" collapsed="false">
      <c r="A131" s="3" t="s">
        <v>765</v>
      </c>
    </row>
    <row r="132" customFormat="false" ht="15" hidden="false" customHeight="true" outlineLevel="0" collapsed="false">
      <c r="A132" s="3" t="s">
        <v>766</v>
      </c>
    </row>
  </sheetData>
  <dataValidations count="7">
    <dataValidation allowBlank="true" errorStyle="stop" operator="between" showDropDown="false" showErrorMessage="false" showInputMessage="false" sqref="B7:B126" type="list">
      <formula1>"설치,철거"</formula1>
      <formula2>0</formula2>
    </dataValidation>
    <dataValidation allowBlank="true" errorStyle="stop" operator="between" showDropDown="false" showErrorMessage="false" showInputMessage="false" sqref="C7:C126" type="list">
      <formula1>"옥외,옥내,매설,기계실"</formula1>
      <formula2>0</formula2>
    </dataValidation>
    <dataValidation allowBlank="true" errorStyle="stop" operator="between" showDropDown="false" showErrorMessage="false" showInputMessage="false" sqref="E7:E126" type="list">
      <formula1>"5kg/cm2미만,5kg/cm2이상"</formula1>
      <formula2>0</formula2>
    </dataValidation>
    <dataValidation allowBlank="true" errorStyle="stop" operator="between" showDropDown="false" showErrorMessage="false" showInputMessage="false" sqref="G7:G126" type="list">
      <formula1>"PIPE,FITTING,VALVE,BOLT"</formula1>
      <formula2>0</formula2>
    </dataValidation>
    <dataValidation allowBlank="true" errorStyle="stop" operator="between" showDropDown="false" showErrorMessage="false" showInputMessage="false" sqref="J7:J126" type="list">
      <formula1>"SPP,SCH5,SCH10,SCH20,SCH40,SCH60,SCH80,SCH120,SCH160"</formula1>
      <formula2>0</formula2>
    </dataValidation>
    <dataValidation allowBlank="true" errorStyle="stop" operator="between" showDropDown="false" showErrorMessage="false" showInputMessage="false" sqref="K7:K126" type="list">
      <formula1>"M,EA,KG,SET"</formula1>
      <formula2>0</formula2>
    </dataValidation>
    <dataValidation allowBlank="true" errorStyle="stop" operator="between" showDropDown="false" showErrorMessage="false" showInputMessage="false" sqref="S7:S12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8" min="6" style="1" width="9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4" min="13" style="1" width="9"/>
  </cols>
  <sheetData>
    <row r="1" customFormat="false" ht="21" hidden="false" customHeight="true" outlineLevel="0" collapsed="false">
      <c r="A1" s="30" t="s">
        <v>767</v>
      </c>
    </row>
    <row r="2" customFormat="false" ht="15" hidden="false" customHeight="true" outlineLevel="0" collapsed="false">
      <c r="A2" s="3" t="s">
        <v>768</v>
      </c>
    </row>
    <row r="3" customFormat="false" ht="15" hidden="false" customHeight="true" outlineLevel="0" collapsed="false">
      <c r="A3" s="3" t="s">
        <v>769</v>
      </c>
    </row>
    <row r="6" customFormat="false" ht="39.75" hidden="false" customHeight="true" outlineLevel="0" collapsed="false">
      <c r="A6" s="31" t="s">
        <v>117</v>
      </c>
      <c r="B6" s="31" t="s">
        <v>770</v>
      </c>
      <c r="C6" s="31" t="s">
        <v>771</v>
      </c>
      <c r="D6" s="31" t="s">
        <v>772</v>
      </c>
      <c r="E6" s="31" t="s">
        <v>773</v>
      </c>
      <c r="F6" s="31" t="s">
        <v>774</v>
      </c>
      <c r="G6" s="31" t="s">
        <v>775</v>
      </c>
      <c r="H6" s="31" t="s">
        <v>776</v>
      </c>
      <c r="I6" s="31" t="s">
        <v>777</v>
      </c>
      <c r="J6" s="31" t="s">
        <v>778</v>
      </c>
      <c r="K6" s="31" t="s">
        <v>779</v>
      </c>
      <c r="L6" s="4" t="s">
        <v>780</v>
      </c>
      <c r="M6" s="4" t="s">
        <v>232</v>
      </c>
      <c r="N6" s="31" t="s">
        <v>696</v>
      </c>
    </row>
    <row r="7" customFormat="false" ht="15" hidden="false" customHeight="true" outlineLevel="0" collapsed="false">
      <c r="A7" s="6" t="n">
        <f aca="false">IF(OR(배관기본물량!$G7="",배관기본물량!$B7&lt;&gt;"설치"),"",배관기본물량!A7)</f>
        <v>1</v>
      </c>
      <c r="B7" s="16" t="str">
        <f aca="false">IF(OR(배관기본물량!$G7="",배관기본물량!$B7&lt;&gt;"설치"),"",배관기본물량!H7)</f>
        <v>PIPE</v>
      </c>
      <c r="C7" s="6" t="n">
        <f aca="false">IF(OR(배관기본물량!$G7="",배관기본물량!$B7&lt;&gt;"설치"),"",IF(배관기본물량!I7="","",배관기본물량!I7))</f>
        <v>15</v>
      </c>
      <c r="D7" s="6" t="str">
        <f aca="false">IF(OR(배관기본물량!$G7="",배관기본물량!$B7&lt;&gt;"설치"),"",배관기본물량!F7&amp;"")</f>
        <v>STPG370S</v>
      </c>
      <c r="E7" s="6" t="str">
        <f aca="false">IF(OR(배관기본물량!$G7="",배관기본물량!$B7&lt;&gt;"설치"),"",배관기본물량!K7&amp;"")</f>
        <v>M</v>
      </c>
      <c r="F7" s="35" t="n">
        <f aca="false">IF(OR(배관기본물량!$G7="",배관기본물량!$B7&lt;&gt;"설치"),"",IF(배관기본물량!L7="","",배관기본물량!L7))</f>
        <v>1.837</v>
      </c>
      <c r="G7" s="37" t="n">
        <f aca="false">IF(OR(배관기본물량!$G7="",배관기본물량!$B7&lt;&gt;"설치"),"",IF(배관기본물량!G7="PIPE",배관기본물량!M7,IF(배관기본물량!N7="","",배관기본물량!N7)))</f>
        <v>1.31</v>
      </c>
      <c r="H7" s="35" t="n">
        <f aca="false">IF(OR(배관기본물량!$G7="",배관기본물량!$B7&lt;&gt;"설치"),"",IF(배관기본물량!G7="PIPE",N(배관기본물량!R7),N(배관기본물량!L7)))</f>
        <v>1.837</v>
      </c>
      <c r="I7" s="54" t="n">
        <f aca="false">IF(OR(배관기본물량!$G7="",배관기본물량!$B7&lt;&gt;"설치"),"",배관기본물량!P7)</f>
        <v>2.40647</v>
      </c>
      <c r="J7" s="34" t="n">
        <f aca="false">IF(OR(배관기본물량!$G7="",배관기본물량!$B7&lt;&gt;"설치"),"",IF(배관기본물량!G7="PIPE",IF(AND(N(배관기본물량!I7)&gt;0,N(배관기본물량!I7)&gt;=배관기준!$AG$15),ROUNDUP(H7/배관기준!$AG$16,0)*배관기준!$AG$16,ROUNDUP(H7*(1+M7),0)),ROUND(H7*(1+M7),0)))</f>
        <v>2</v>
      </c>
      <c r="K7" s="54" t="n">
        <f aca="false">IF(OR(배관기본물량!$G7="",배관기본물량!$B7&lt;&gt;"설치"),"",IF(N(H7)&gt;0,IF(ISNUMBER(G7),J7*G7,0),I7*(1+M7)))</f>
        <v>2.62</v>
      </c>
      <c r="L7" s="16" t="str">
        <f aca="false">IF(OR(배관기본물량!$G7="",배관기본물량!$B7&lt;&gt;"설치"),"",IF(배관기본물량!V7&lt;&gt;"",배관기본물량!V7,IF(배관기본물량!G7="PIPE",IF(OR(LEFT(배관기본물량!F7,3)="STS",LEFT(배관기본물량!F7,3)="SUS"),"STS 강관",IF(N(배관기본물량!I7)&lt;=50,"강관(50A이하)","강관(50A초과)")),"배관 FITTING류(VALVE 外)")))</f>
        <v>강관(50A이하)</v>
      </c>
      <c r="M7" s="58" t="n">
        <f aca="false">IF(OR(배관기본물량!$G7="",배관기본물량!$B7&lt;&gt;"설치"),"",IFERROR(INDEX(제작기준!$B$5:$B$30,MATCH(L7,제작기준!$A$5:$A$30,0)),0))</f>
        <v>0.05</v>
      </c>
      <c r="N7" s="6" t="str">
        <f aca="false">IF(OR(배관기본물량!$G7="",배관기본물량!$B7&lt;&gt;"설치"),"",배관기본물량!$AB7)</f>
        <v>C/C</v>
      </c>
    </row>
    <row r="8" customFormat="false" ht="15" hidden="false" customHeight="true" outlineLevel="0" collapsed="false">
      <c r="A8" s="6" t="n">
        <f aca="false">IF(OR(배관기본물량!$G8="",배관기본물량!$B8&lt;&gt;"설치"),"",배관기본물량!A8)</f>
        <v>2</v>
      </c>
      <c r="B8" s="16" t="str">
        <f aca="false">IF(OR(배관기본물량!$G8="",배관기본물량!$B8&lt;&gt;"설치"),"",배관기본물량!H8)</f>
        <v>PIPE</v>
      </c>
      <c r="C8" s="6" t="n">
        <f aca="false">IF(OR(배관기본물량!$G8="",배관기본물량!$B8&lt;&gt;"설치"),"",IF(배관기본물량!I8="","",배관기본물량!I8))</f>
        <v>50</v>
      </c>
      <c r="D8" s="6" t="str">
        <f aca="false">IF(OR(배관기본물량!$G8="",배관기본물량!$B8&lt;&gt;"설치"),"",배관기본물량!F8&amp;"")</f>
        <v>STPG370S</v>
      </c>
      <c r="E8" s="6" t="str">
        <f aca="false">IF(OR(배관기본물량!$G8="",배관기본물량!$B8&lt;&gt;"설치"),"",배관기본물량!K8&amp;"")</f>
        <v>M</v>
      </c>
      <c r="F8" s="35" t="n">
        <f aca="false">IF(OR(배관기본물량!$G8="",배관기본물량!$B8&lt;&gt;"설치"),"",IF(배관기본물량!L8="","",배관기본물량!L8))</f>
        <v>17.658</v>
      </c>
      <c r="G8" s="37" t="n">
        <f aca="false">IF(OR(배관기본물량!$G8="",배관기본물량!$B8&lt;&gt;"설치"),"",IF(배관기본물량!G8="PIPE",배관기본물량!M8,IF(배관기본물량!N8="","",배관기본물량!N8)))</f>
        <v>5.44</v>
      </c>
      <c r="H8" s="35" t="n">
        <f aca="false">IF(OR(배관기본물량!$G8="",배관기본물량!$B8&lt;&gt;"설치"),"",IF(배관기본물량!G8="PIPE",N(배관기본물량!R8),N(배관기본물량!L8)))</f>
        <v>17.658</v>
      </c>
      <c r="I8" s="54" t="n">
        <f aca="false">IF(OR(배관기본물량!$G8="",배관기본물량!$B8&lt;&gt;"설치"),"",배관기본물량!P8)</f>
        <v>96.05952</v>
      </c>
      <c r="J8" s="34" t="n">
        <f aca="false">IF(OR(배관기본물량!$G8="",배관기본물량!$B8&lt;&gt;"설치"),"",IF(배관기본물량!G8="PIPE",IF(AND(N(배관기본물량!I8)&gt;0,N(배관기본물량!I8)&gt;=배관기준!$AG$15),ROUNDUP(H8/배관기준!$AG$16,0)*배관기준!$AG$16,ROUNDUP(H8*(1+M8),0)),ROUND(H8*(1+M8),0)))</f>
        <v>19</v>
      </c>
      <c r="K8" s="54" t="n">
        <f aca="false">IF(OR(배관기본물량!$G8="",배관기본물량!$B8&lt;&gt;"설치"),"",IF(N(H8)&gt;0,IF(ISNUMBER(G8),J8*G8,0),I8*(1+M8)))</f>
        <v>103.36</v>
      </c>
      <c r="L8" s="16" t="str">
        <f aca="false">IF(OR(배관기본물량!$G8="",배관기본물량!$B8&lt;&gt;"설치"),"",IF(배관기본물량!V8&lt;&gt;"",배관기본물량!V8,IF(배관기본물량!G8="PIPE",IF(OR(LEFT(배관기본물량!F8,3)="STS",LEFT(배관기본물량!F8,3)="SUS"),"STS 강관",IF(N(배관기본물량!I8)&lt;=50,"강관(50A이하)","강관(50A초과)")),"배관 FITTING류(VALVE 外)")))</f>
        <v>강관(50A이하)</v>
      </c>
      <c r="M8" s="58" t="n">
        <f aca="false">IF(OR(배관기본물량!$G8="",배관기본물량!$B8&lt;&gt;"설치"),"",IFERROR(INDEX(제작기준!$B$5:$B$30,MATCH(L8,제작기준!$A$5:$A$30,0)),0))</f>
        <v>0.05</v>
      </c>
      <c r="N8" s="6" t="str">
        <f aca="false">IF(OR(배관기본물량!$G8="",배관기본물량!$B8&lt;&gt;"설치"),"",배관기본물량!$AB8)</f>
        <v>C/C</v>
      </c>
    </row>
    <row r="9" customFormat="false" ht="15" hidden="false" customHeight="true" outlineLevel="0" collapsed="false">
      <c r="A9" s="6" t="n">
        <f aca="false">IF(OR(배관기본물량!$G9="",배관기본물량!$B9&lt;&gt;"설치"),"",배관기본물량!A9)</f>
        <v>3</v>
      </c>
      <c r="B9" s="16" t="str">
        <f aca="false">IF(OR(배관기본물량!$G9="",배관기본물량!$B9&lt;&gt;"설치"),"",배관기본물량!H9)</f>
        <v>PIPE</v>
      </c>
      <c r="C9" s="6" t="n">
        <f aca="false">IF(OR(배관기본물량!$G9="",배관기본물량!$B9&lt;&gt;"설치"),"",IF(배관기본물량!I9="","",배관기본물량!I9))</f>
        <v>80</v>
      </c>
      <c r="D9" s="6" t="str">
        <f aca="false">IF(OR(배관기본물량!$G9="",배관기본물량!$B9&lt;&gt;"설치"),"",배관기본물량!F9&amp;"")</f>
        <v>STPG370S</v>
      </c>
      <c r="E9" s="6" t="str">
        <f aca="false">IF(OR(배관기본물량!$G9="",배관기본물량!$B9&lt;&gt;"설치"),"",배관기본물량!K9&amp;"")</f>
        <v>M</v>
      </c>
      <c r="F9" s="35" t="n">
        <f aca="false">IF(OR(배관기본물량!$G9="",배관기본물량!$B9&lt;&gt;"설치"),"",IF(배관기본물량!L9="","",배관기본물량!L9))</f>
        <v>6.18</v>
      </c>
      <c r="G9" s="37" t="n">
        <f aca="false">IF(OR(배관기본물량!$G9="",배관기본물량!$B9&lt;&gt;"설치"),"",IF(배관기본물량!G9="PIPE",배관기본물량!M9,IF(배관기본물량!N9="","",배관기본물량!N9)))</f>
        <v>11.3</v>
      </c>
      <c r="H9" s="35" t="n">
        <f aca="false">IF(OR(배관기본물량!$G9="",배관기본물량!$B9&lt;&gt;"설치"),"",IF(배관기본물량!G9="PIPE",N(배관기본물량!R9),N(배관기본물량!L9)))</f>
        <v>6.18</v>
      </c>
      <c r="I9" s="54" t="n">
        <f aca="false">IF(OR(배관기본물량!$G9="",배관기본물량!$B9&lt;&gt;"설치"),"",배관기본물량!P9)</f>
        <v>69.834</v>
      </c>
      <c r="J9" s="34" t="n">
        <f aca="false">IF(OR(배관기본물량!$G9="",배관기본물량!$B9&lt;&gt;"설치"),"",IF(배관기본물량!G9="PIPE",IF(AND(N(배관기본물량!I9)&gt;0,N(배관기본물량!I9)&gt;=배관기준!$AG$15),ROUNDUP(H9/배관기준!$AG$16,0)*배관기준!$AG$16,ROUNDUP(H9*(1+M9),0)),ROUND(H9*(1+M9),0)))</f>
        <v>7</v>
      </c>
      <c r="K9" s="54" t="n">
        <f aca="false">IF(OR(배관기본물량!$G9="",배관기본물량!$B9&lt;&gt;"설치"),"",IF(N(H9)&gt;0,IF(ISNUMBER(G9),J9*G9,0),I9*(1+M9)))</f>
        <v>79.1</v>
      </c>
      <c r="L9" s="16" t="str">
        <f aca="false">IF(OR(배관기본물량!$G9="",배관기본물량!$B9&lt;&gt;"설치"),"",IF(배관기본물량!V9&lt;&gt;"",배관기본물량!V9,IF(배관기본물량!G9="PIPE",IF(OR(LEFT(배관기본물량!F9,3)="STS",LEFT(배관기본물량!F9,3)="SUS"),"STS 강관",IF(N(배관기본물량!I9)&lt;=50,"강관(50A이하)","강관(50A초과)")),"배관 FITTING류(VALVE 外)")))</f>
        <v>강관(50A초과)</v>
      </c>
      <c r="M9" s="58" t="n">
        <f aca="false">IF(OR(배관기본물량!$G9="",배관기본물량!$B9&lt;&gt;"설치"),"",IFERROR(INDEX(제작기준!$B$5:$B$30,MATCH(L9,제작기준!$A$5:$A$30,0)),0))</f>
        <v>0.025</v>
      </c>
      <c r="N9" s="6" t="str">
        <f aca="false">IF(OR(배관기본물량!$G9="",배관기본물량!$B9&lt;&gt;"설치"),"",배관기본물량!$AB9)</f>
        <v>C/C</v>
      </c>
    </row>
    <row r="10" customFormat="false" ht="15" hidden="false" customHeight="true" outlineLevel="0" collapsed="false">
      <c r="A10" s="6" t="n">
        <f aca="false">IF(OR(배관기본물량!$G10="",배관기본물량!$B10&lt;&gt;"설치"),"",배관기본물량!A10)</f>
        <v>4</v>
      </c>
      <c r="B10" s="16" t="str">
        <f aca="false">IF(OR(배관기본물량!$G10="",배관기본물량!$B10&lt;&gt;"설치"),"",배관기본물량!H10)</f>
        <v>PIPE</v>
      </c>
      <c r="C10" s="6" t="n">
        <f aca="false">IF(OR(배관기본물량!$G10="",배관기본물량!$B10&lt;&gt;"설치"),"",IF(배관기본물량!I10="","",배관기본물량!I10))</f>
        <v>150</v>
      </c>
      <c r="D10" s="6" t="str">
        <f aca="false">IF(OR(배관기본물량!$G10="",배관기본물량!$B10&lt;&gt;"설치"),"",배관기본물량!F10&amp;"")</f>
        <v>STPG370S</v>
      </c>
      <c r="E10" s="6" t="str">
        <f aca="false">IF(OR(배관기본물량!$G10="",배관기본물량!$B10&lt;&gt;"설치"),"",배관기본물량!K10&amp;"")</f>
        <v>M</v>
      </c>
      <c r="F10" s="35" t="n">
        <f aca="false">IF(OR(배관기본물량!$G10="",배관기본물량!$B10&lt;&gt;"설치"),"",IF(배관기본물량!L10="","",배관기본물량!L10))</f>
        <v>20.701</v>
      </c>
      <c r="G10" s="37" t="n">
        <f aca="false">IF(OR(배관기본물량!$G10="",배관기본물량!$B10&lt;&gt;"설치"),"",IF(배관기본물량!G10="PIPE",배관기본물량!M10,IF(배관기본물량!N10="","",배관기본물량!N10)))</f>
        <v>27.7</v>
      </c>
      <c r="H10" s="35" t="n">
        <f aca="false">IF(OR(배관기본물량!$G10="",배관기본물량!$B10&lt;&gt;"설치"),"",IF(배관기본물량!G10="PIPE",N(배관기본물량!R10),N(배관기본물량!L10)))</f>
        <v>20.701</v>
      </c>
      <c r="I10" s="54" t="n">
        <f aca="false">IF(OR(배관기본물량!$G10="",배관기본물량!$B10&lt;&gt;"설치"),"",배관기본물량!P10)</f>
        <v>573.4177</v>
      </c>
      <c r="J10" s="34" t="n">
        <f aca="false">IF(OR(배관기본물량!$G10="",배관기본물량!$B10&lt;&gt;"설치"),"",IF(배관기본물량!G10="PIPE",IF(AND(N(배관기본물량!I10)&gt;0,N(배관기본물량!I10)&gt;=배관기준!$AG$15),ROUNDUP(H10/배관기준!$AG$16,0)*배관기준!$AG$16,ROUNDUP(H10*(1+M10),0)),ROUND(H10*(1+M10),0)))</f>
        <v>22</v>
      </c>
      <c r="K10" s="54" t="n">
        <f aca="false">IF(OR(배관기본물량!$G10="",배관기본물량!$B10&lt;&gt;"설치"),"",IF(N(H10)&gt;0,IF(ISNUMBER(G10),J10*G10,0),I10*(1+M10)))</f>
        <v>609.4</v>
      </c>
      <c r="L10" s="16" t="str">
        <f aca="false">IF(OR(배관기본물량!$G10="",배관기본물량!$B10&lt;&gt;"설치"),"",IF(배관기본물량!V10&lt;&gt;"",배관기본물량!V10,IF(배관기본물량!G10="PIPE",IF(OR(LEFT(배관기본물량!F10,3)="STS",LEFT(배관기본물량!F10,3)="SUS"),"STS 강관",IF(N(배관기본물량!I10)&lt;=50,"강관(50A이하)","강관(50A초과)")),"배관 FITTING류(VALVE 外)")))</f>
        <v>강관(50A초과)</v>
      </c>
      <c r="M10" s="58" t="n">
        <f aca="false">IF(OR(배관기본물량!$G10="",배관기본물량!$B10&lt;&gt;"설치"),"",IFERROR(INDEX(제작기준!$B$5:$B$30,MATCH(L10,제작기준!$A$5:$A$30,0)),0))</f>
        <v>0.025</v>
      </c>
      <c r="N10" s="6" t="str">
        <f aca="false">IF(OR(배관기본물량!$G10="",배관기본물량!$B10&lt;&gt;"설치"),"",배관기본물량!$AB10)</f>
        <v>C/C</v>
      </c>
    </row>
    <row r="11" customFormat="false" ht="15" hidden="false" customHeight="true" outlineLevel="0" collapsed="false">
      <c r="A11" s="6" t="n">
        <f aca="false">IF(OR(배관기본물량!$G11="",배관기본물량!$B11&lt;&gt;"설치"),"",배관기본물량!A11)</f>
        <v>5</v>
      </c>
      <c r="B11" s="16" t="str">
        <f aca="false">IF(OR(배관기본물량!$G11="",배관기본물량!$B11&lt;&gt;"설치"),"",배관기본물량!H11)</f>
        <v>PIPE</v>
      </c>
      <c r="C11" s="6" t="n">
        <f aca="false">IF(OR(배관기본물량!$G11="",배관기본물량!$B11&lt;&gt;"설치"),"",IF(배관기본물량!I11="","",배관기본물량!I11))</f>
        <v>200</v>
      </c>
      <c r="D11" s="6" t="str">
        <f aca="false">IF(OR(배관기본물량!$G11="",배관기본물량!$B11&lt;&gt;"설치"),"",배관기본물량!F11&amp;"")</f>
        <v>STPG370S</v>
      </c>
      <c r="E11" s="6" t="str">
        <f aca="false">IF(OR(배관기본물량!$G11="",배관기본물량!$B11&lt;&gt;"설치"),"",배관기본물량!K11&amp;"")</f>
        <v>M</v>
      </c>
      <c r="F11" s="35" t="n">
        <f aca="false">IF(OR(배관기본물량!$G11="",배관기본물량!$B11&lt;&gt;"설치"),"",IF(배관기본물량!L11="","",배관기본물량!L11))</f>
        <v>9.1142</v>
      </c>
      <c r="G11" s="37" t="n">
        <f aca="false">IF(OR(배관기본물량!$G11="",배관기본물량!$B11&lt;&gt;"설치"),"",IF(배관기본물량!G11="PIPE",배관기본물량!M11,IF(배관기본물량!N11="","",배관기본물량!N11)))</f>
        <v>42.1</v>
      </c>
      <c r="H11" s="35" t="n">
        <f aca="false">IF(OR(배관기본물량!$G11="",배관기본물량!$B11&lt;&gt;"설치"),"",IF(배관기본물량!G11="PIPE",N(배관기본물량!R11),N(배관기본물량!L11)))</f>
        <v>9.1142</v>
      </c>
      <c r="I11" s="54" t="n">
        <f aca="false">IF(OR(배관기본물량!$G11="",배관기본물량!$B11&lt;&gt;"설치"),"",배관기본물량!P11)</f>
        <v>383.70782</v>
      </c>
      <c r="J11" s="34" t="n">
        <f aca="false">IF(OR(배관기본물량!$G11="",배관기본물량!$B11&lt;&gt;"설치"),"",IF(배관기본물량!G11="PIPE",IF(AND(N(배관기본물량!I11)&gt;0,N(배관기본물량!I11)&gt;=배관기준!$AG$15),ROUNDUP(H11/배관기준!$AG$16,0)*배관기준!$AG$16,ROUNDUP(H11*(1+M11),0)),ROUND(H11*(1+M11),0)))</f>
        <v>10</v>
      </c>
      <c r="K11" s="54" t="n">
        <f aca="false">IF(OR(배관기본물량!$G11="",배관기본물량!$B11&lt;&gt;"설치"),"",IF(N(H11)&gt;0,IF(ISNUMBER(G11),J11*G11,0),I11*(1+M11)))</f>
        <v>421</v>
      </c>
      <c r="L11" s="16" t="str">
        <f aca="false">IF(OR(배관기본물량!$G11="",배관기본물량!$B11&lt;&gt;"설치"),"",IF(배관기본물량!V11&lt;&gt;"",배관기본물량!V11,IF(배관기본물량!G11="PIPE",IF(OR(LEFT(배관기본물량!F11,3)="STS",LEFT(배관기본물량!F11,3)="SUS"),"STS 강관",IF(N(배관기본물량!I11)&lt;=50,"강관(50A이하)","강관(50A초과)")),"배관 FITTING류(VALVE 外)")))</f>
        <v>강관(50A초과)</v>
      </c>
      <c r="M11" s="58" t="n">
        <f aca="false">IF(OR(배관기본물량!$G11="",배관기본물량!$B11&lt;&gt;"설치"),"",IFERROR(INDEX(제작기준!$B$5:$B$30,MATCH(L11,제작기준!$A$5:$A$30,0)),0))</f>
        <v>0.025</v>
      </c>
      <c r="N11" s="6" t="str">
        <f aca="false">IF(OR(배관기본물량!$G11="",배관기본물량!$B11&lt;&gt;"설치"),"",배관기본물량!$AB11)</f>
        <v>C/C</v>
      </c>
    </row>
    <row r="12" customFormat="false" ht="15" hidden="false" customHeight="true" outlineLevel="0" collapsed="false">
      <c r="A12" s="6" t="n">
        <f aca="false">IF(OR(배관기본물량!$G12="",배관기본물량!$B12&lt;&gt;"설치"),"",배관기본물량!A12)</f>
        <v>6</v>
      </c>
      <c r="B12" s="16" t="str">
        <f aca="false">IF(OR(배관기본물량!$G12="",배관기본물량!$B12&lt;&gt;"설치"),"",배관기본물량!H12)</f>
        <v>PIPE</v>
      </c>
      <c r="C12" s="6" t="n">
        <f aca="false">IF(OR(배관기본물량!$G12="",배관기본물량!$B12&lt;&gt;"설치"),"",IF(배관기본물량!I12="","",배관기본물량!I12))</f>
        <v>250</v>
      </c>
      <c r="D12" s="6" t="str">
        <f aca="false">IF(OR(배관기본물량!$G12="",배관기본물량!$B12&lt;&gt;"설치"),"",배관기본물량!F12&amp;"")</f>
        <v>STPG370S</v>
      </c>
      <c r="E12" s="6" t="str">
        <f aca="false">IF(OR(배관기본물량!$G12="",배관기본물량!$B12&lt;&gt;"설치"),"",배관기본물량!K12&amp;"")</f>
        <v>M</v>
      </c>
      <c r="F12" s="35" t="n">
        <f aca="false">IF(OR(배관기본물량!$G12="",배관기본물량!$B12&lt;&gt;"설치"),"",IF(배관기본물량!L12="","",배관기본물량!L12))</f>
        <v>8.666</v>
      </c>
      <c r="G12" s="37" t="n">
        <f aca="false">IF(OR(배관기본물량!$G12="",배관기본물량!$B12&lt;&gt;"설치"),"",IF(배관기본물량!G12="PIPE",배관기본물량!M12,IF(배관기본물량!N12="","",배관기본물량!N12)))</f>
        <v>59.2</v>
      </c>
      <c r="H12" s="35" t="n">
        <f aca="false">IF(OR(배관기본물량!$G12="",배관기본물량!$B12&lt;&gt;"설치"),"",IF(배관기본물량!G12="PIPE",N(배관기본물량!R12),N(배관기본물량!L12)))</f>
        <v>8.666</v>
      </c>
      <c r="I12" s="54" t="n">
        <f aca="false">IF(OR(배관기본물량!$G12="",배관기본물량!$B12&lt;&gt;"설치"),"",배관기본물량!P12)</f>
        <v>513.0272</v>
      </c>
      <c r="J12" s="34" t="n">
        <f aca="false">IF(OR(배관기본물량!$G12="",배관기본물량!$B12&lt;&gt;"설치"),"",IF(배관기본물량!G12="PIPE",IF(AND(N(배관기본물량!I12)&gt;0,N(배관기본물량!I12)&gt;=배관기준!$AG$15),ROUNDUP(H12/배관기준!$AG$16,0)*배관기준!$AG$16,ROUNDUP(H12*(1+M12),0)),ROUND(H12*(1+M12),0)))</f>
        <v>9</v>
      </c>
      <c r="K12" s="54" t="n">
        <f aca="false">IF(OR(배관기본물량!$G12="",배관기본물량!$B12&lt;&gt;"설치"),"",IF(N(H12)&gt;0,IF(ISNUMBER(G12),J12*G12,0),I12*(1+M12)))</f>
        <v>532.8</v>
      </c>
      <c r="L12" s="16" t="str">
        <f aca="false">IF(OR(배관기본물량!$G12="",배관기본물량!$B12&lt;&gt;"설치"),"",IF(배관기본물량!V12&lt;&gt;"",배관기본물량!V12,IF(배관기본물량!G12="PIPE",IF(OR(LEFT(배관기본물량!F12,3)="STS",LEFT(배관기본물량!F12,3)="SUS"),"STS 강관",IF(N(배관기본물량!I12)&lt;=50,"강관(50A이하)","강관(50A초과)")),"배관 FITTING류(VALVE 外)")))</f>
        <v>강관(50A초과)</v>
      </c>
      <c r="M12" s="58" t="n">
        <f aca="false">IF(OR(배관기본물량!$G12="",배관기본물량!$B12&lt;&gt;"설치"),"",IFERROR(INDEX(제작기준!$B$5:$B$30,MATCH(L12,제작기준!$A$5:$A$30,0)),0))</f>
        <v>0.025</v>
      </c>
      <c r="N12" s="6" t="str">
        <f aca="false">IF(OR(배관기본물량!$G12="",배관기본물량!$B12&lt;&gt;"설치"),"",배관기본물량!$AB12)</f>
        <v>C/C</v>
      </c>
    </row>
    <row r="13" customFormat="false" ht="15" hidden="false" customHeight="true" outlineLevel="0" collapsed="false">
      <c r="A13" s="6" t="n">
        <f aca="false">IF(OR(배관기본물량!$G13="",배관기본물량!$B13&lt;&gt;"설치"),"",배관기본물량!A13)</f>
        <v>7</v>
      </c>
      <c r="B13" s="16" t="str">
        <f aca="false">IF(OR(배관기본물량!$G13="",배관기본물량!$B13&lt;&gt;"설치"),"",배관기본물량!H13)</f>
        <v>PIPE</v>
      </c>
      <c r="C13" s="6" t="n">
        <f aca="false">IF(OR(배관기본물량!$G13="",배관기본물량!$B13&lt;&gt;"설치"),"",IF(배관기본물량!I13="","",배관기본물량!I13))</f>
        <v>300</v>
      </c>
      <c r="D13" s="6" t="str">
        <f aca="false">IF(OR(배관기본물량!$G13="",배관기본물량!$B13&lt;&gt;"설치"),"",배관기본물량!F13&amp;"")</f>
        <v>STPG370S</v>
      </c>
      <c r="E13" s="6" t="str">
        <f aca="false">IF(OR(배관기본물량!$G13="",배관기본물량!$B13&lt;&gt;"설치"),"",배관기본물량!K13&amp;"")</f>
        <v>M</v>
      </c>
      <c r="F13" s="35" t="n">
        <f aca="false">IF(OR(배관기본물량!$G13="",배관기본물량!$B13&lt;&gt;"설치"),"",IF(배관기본물량!L13="","",배관기본물량!L13))</f>
        <v>4.615</v>
      </c>
      <c r="G13" s="37" t="n">
        <f aca="false">IF(OR(배관기본물량!$G13="",배관기본물량!$B13&lt;&gt;"설치"),"",IF(배관기본물량!G13="PIPE",배관기본물량!M13,IF(배관기본물량!N13="","",배관기본물량!N13)))</f>
        <v>78.3</v>
      </c>
      <c r="H13" s="35" t="n">
        <f aca="false">IF(OR(배관기본물량!$G13="",배관기본물량!$B13&lt;&gt;"설치"),"",IF(배관기본물량!G13="PIPE",N(배관기본물량!R13),N(배관기본물량!L13)))</f>
        <v>4.615</v>
      </c>
      <c r="I13" s="54" t="n">
        <f aca="false">IF(OR(배관기본물량!$G13="",배관기본물량!$B13&lt;&gt;"설치"),"",배관기본물량!P13)</f>
        <v>361.3545</v>
      </c>
      <c r="J13" s="34" t="n">
        <f aca="false">IF(OR(배관기본물량!$G13="",배관기본물량!$B13&lt;&gt;"설치"),"",IF(배관기본물량!G13="PIPE",IF(AND(N(배관기본물량!I13)&gt;0,N(배관기본물량!I13)&gt;=배관기준!$AG$15),ROUNDUP(H13/배관기준!$AG$16,0)*배관기준!$AG$16,ROUNDUP(H13*(1+M13),0)),ROUND(H13*(1+M13),0)))</f>
        <v>5</v>
      </c>
      <c r="K13" s="54" t="n">
        <f aca="false">IF(OR(배관기본물량!$G13="",배관기본물량!$B13&lt;&gt;"설치"),"",IF(N(H13)&gt;0,IF(ISNUMBER(G13),J13*G13,0),I13*(1+M13)))</f>
        <v>391.5</v>
      </c>
      <c r="L13" s="16" t="str">
        <f aca="false">IF(OR(배관기본물량!$G13="",배관기본물량!$B13&lt;&gt;"설치"),"",IF(배관기본물량!V13&lt;&gt;"",배관기본물량!V13,IF(배관기본물량!G13="PIPE",IF(OR(LEFT(배관기본물량!F13,3)="STS",LEFT(배관기본물량!F13,3)="SUS"),"STS 강관",IF(N(배관기본물량!I13)&lt;=50,"강관(50A이하)","강관(50A초과)")),"배관 FITTING류(VALVE 外)")))</f>
        <v>강관(50A초과)</v>
      </c>
      <c r="M13" s="58" t="n">
        <f aca="false">IF(OR(배관기본물량!$G13="",배관기본물량!$B13&lt;&gt;"설치"),"",IFERROR(INDEX(제작기준!$B$5:$B$30,MATCH(L13,제작기준!$A$5:$A$30,0)),0))</f>
        <v>0.025</v>
      </c>
      <c r="N13" s="6" t="str">
        <f aca="false">IF(OR(배관기본물량!$G13="",배관기본물량!$B13&lt;&gt;"설치"),"",배관기본물량!$AB13)</f>
        <v>C/C</v>
      </c>
    </row>
    <row r="14" customFormat="false" ht="15" hidden="false" customHeight="true" outlineLevel="0" collapsed="false">
      <c r="A14" s="6" t="n">
        <f aca="false">IF(OR(배관기본물량!$G14="",배관기본물량!$B14&lt;&gt;"설치"),"",배관기본물량!A14)</f>
        <v>8</v>
      </c>
      <c r="B14" s="16" t="str">
        <f aca="false">IF(OR(배관기본물량!$G14="",배관기본물량!$B14&lt;&gt;"설치"),"",배관기본물량!H14)</f>
        <v>ELBOW 90 SW</v>
      </c>
      <c r="C14" s="6" t="n">
        <f aca="false">IF(OR(배관기본물량!$G14="",배관기본물량!$B14&lt;&gt;"설치"),"",IF(배관기본물량!I14="","",배관기본물량!I14))</f>
        <v>15</v>
      </c>
      <c r="D14" s="6" t="str">
        <f aca="false">IF(OR(배관기본물량!$G14="",배관기본물량!$B14&lt;&gt;"설치"),"",배관기본물량!F14&amp;"")</f>
        <v>A105</v>
      </c>
      <c r="E14" s="6" t="str">
        <f aca="false">IF(OR(배관기본물량!$G14="",배관기본물량!$B14&lt;&gt;"설치"),"",배관기본물량!K14&amp;"")</f>
        <v>EA</v>
      </c>
      <c r="F14" s="35" t="n">
        <f aca="false">IF(OR(배관기본물량!$G14="",배관기본물량!$B14&lt;&gt;"설치"),"",IF(배관기본물량!L14="","",배관기본물량!L14))</f>
        <v>6</v>
      </c>
      <c r="G14" s="37" t="n">
        <f aca="false">IF(OR(배관기본물량!$G14="",배관기본물량!$B14&lt;&gt;"설치"),"",IF(배관기본물량!G14="PIPE",배관기본물량!M14,IF(배관기본물량!N14="","",배관기본물량!N14)))</f>
        <v>0.1</v>
      </c>
      <c r="H14" s="35" t="n">
        <f aca="false">IF(OR(배관기본물량!$G14="",배관기본물량!$B14&lt;&gt;"설치"),"",IF(배관기본물량!G14="PIPE",N(배관기본물량!R14),N(배관기본물량!L14)))</f>
        <v>6</v>
      </c>
      <c r="I14" s="54" t="n">
        <f aca="false">IF(OR(배관기본물량!$G14="",배관기본물량!$B14&lt;&gt;"설치"),"",배관기본물량!P14)</f>
        <v>0.6</v>
      </c>
      <c r="J14" s="34" t="n">
        <f aca="false">IF(OR(배관기본물량!$G14="",배관기본물량!$B14&lt;&gt;"설치"),"",IF(배관기본물량!G14="PIPE",IF(AND(N(배관기본물량!I14)&gt;0,N(배관기본물량!I14)&gt;=배관기준!$AG$15),ROUNDUP(H14/배관기준!$AG$16,0)*배관기준!$AG$16,ROUNDUP(H14*(1+M14),0)),ROUND(H14*(1+M14),0)))</f>
        <v>6</v>
      </c>
      <c r="K14" s="54" t="n">
        <f aca="false">IF(OR(배관기본물량!$G14="",배관기본물량!$B14&lt;&gt;"설치"),"",IF(N(H14)&gt;0,IF(ISNUMBER(G14),J14*G14,0),I14*(1+M14)))</f>
        <v>0.6</v>
      </c>
      <c r="L14" s="16" t="str">
        <f aca="false">IF(OR(배관기본물량!$G14="",배관기본물량!$B14&lt;&gt;"설치"),"",IF(배관기본물량!V14&lt;&gt;"",배관기본물량!V14,IF(배관기본물량!G14="PIPE",IF(OR(LEFT(배관기본물량!F14,3)="STS",LEFT(배관기본물량!F14,3)="SUS"),"STS 강관",IF(N(배관기본물량!I14)&lt;=50,"강관(50A이하)","강관(50A초과)")),"배관 FITTING류(VALVE 外)")))</f>
        <v>배관 FITTING류(VALVE 外)</v>
      </c>
      <c r="M14" s="58" t="n">
        <f aca="false">IF(OR(배관기본물량!$G14="",배관기본물량!$B14&lt;&gt;"설치"),"",IFERROR(INDEX(제작기준!$B$5:$B$30,MATCH(L14,제작기준!$A$5:$A$30,0)),0))</f>
        <v>0.015</v>
      </c>
      <c r="N14" s="6" t="str">
        <f aca="false">IF(OR(배관기본물량!$G14="",배관기본물량!$B14&lt;&gt;"설치"),"",배관기본물량!$AB14)</f>
        <v>C/C</v>
      </c>
    </row>
    <row r="15" customFormat="false" ht="15" hidden="false" customHeight="true" outlineLevel="0" collapsed="false">
      <c r="A15" s="6" t="n">
        <f aca="false">IF(OR(배관기본물량!$G15="",배관기본물량!$B15&lt;&gt;"설치"),"",배관기본물량!A15)</f>
        <v>9</v>
      </c>
      <c r="B15" s="16" t="str">
        <f aca="false">IF(OR(배관기본물량!$G15="",배관기본물량!$B15&lt;&gt;"설치"),"",배관기본물량!H15)</f>
        <v>ELBOW 45LR SMS BW</v>
      </c>
      <c r="C15" s="6" t="n">
        <f aca="false">IF(OR(배관기본물량!$G15="",배관기본물량!$B15&lt;&gt;"설치"),"",IF(배관기본물량!I15="","",배관기본물량!I15))</f>
        <v>50</v>
      </c>
      <c r="D15" s="6" t="str">
        <f aca="false">IF(OR(배관기본물량!$G15="",배관기본물량!$B15&lt;&gt;"설치"),"",배관기본물량!F15&amp;"")</f>
        <v>STPT370S</v>
      </c>
      <c r="E15" s="6" t="str">
        <f aca="false">IF(OR(배관기본물량!$G15="",배관기본물량!$B15&lt;&gt;"설치"),"",배관기본물량!K15&amp;"")</f>
        <v>EA</v>
      </c>
      <c r="F15" s="35" t="n">
        <f aca="false">IF(OR(배관기본물량!$G15="",배관기본물량!$B15&lt;&gt;"설치"),"",IF(배관기본물량!L15="","",배관기본물량!L15))</f>
        <v>3</v>
      </c>
      <c r="G15" s="37" t="n">
        <f aca="false">IF(OR(배관기본물량!$G15="",배관기본물량!$B15&lt;&gt;"설치"),"",IF(배관기본물량!G15="PIPE",배관기본물량!M15,IF(배관기본물량!N15="","",배관기본물량!N15)))</f>
        <v>0.3</v>
      </c>
      <c r="H15" s="35" t="n">
        <f aca="false">IF(OR(배관기본물량!$G15="",배관기본물량!$B15&lt;&gt;"설치"),"",IF(배관기본물량!G15="PIPE",N(배관기본물량!R15),N(배관기본물량!L15)))</f>
        <v>3</v>
      </c>
      <c r="I15" s="54" t="n">
        <f aca="false">IF(OR(배관기본물량!$G15="",배관기본물량!$B15&lt;&gt;"설치"),"",배관기본물량!P15)</f>
        <v>0.9</v>
      </c>
      <c r="J15" s="34" t="n">
        <f aca="false">IF(OR(배관기본물량!$G15="",배관기본물량!$B15&lt;&gt;"설치"),"",IF(배관기본물량!G15="PIPE",IF(AND(N(배관기본물량!I15)&gt;0,N(배관기본물량!I15)&gt;=배관기준!$AG$15),ROUNDUP(H15/배관기준!$AG$16,0)*배관기준!$AG$16,ROUNDUP(H15*(1+M15),0)),ROUND(H15*(1+M15),0)))</f>
        <v>3</v>
      </c>
      <c r="K15" s="54" t="n">
        <f aca="false">IF(OR(배관기본물량!$G15="",배관기본물량!$B15&lt;&gt;"설치"),"",IF(N(H15)&gt;0,IF(ISNUMBER(G15),J15*G15,0),I15*(1+M15)))</f>
        <v>0.9</v>
      </c>
      <c r="L15" s="16" t="str">
        <f aca="false">IF(OR(배관기본물량!$G15="",배관기본물량!$B15&lt;&gt;"설치"),"",IF(배관기본물량!V15&lt;&gt;"",배관기본물량!V15,IF(배관기본물량!G15="PIPE",IF(OR(LEFT(배관기본물량!F15,3)="STS",LEFT(배관기본물량!F15,3)="SUS"),"STS 강관",IF(N(배관기본물량!I15)&lt;=50,"강관(50A이하)","강관(50A초과)")),"배관 FITTING류(VALVE 外)")))</f>
        <v>배관 FITTING류(VALVE 外)</v>
      </c>
      <c r="M15" s="58" t="n">
        <f aca="false">IF(OR(배관기본물량!$G15="",배관기본물량!$B15&lt;&gt;"설치"),"",IFERROR(INDEX(제작기준!$B$5:$B$30,MATCH(L15,제작기준!$A$5:$A$30,0)),0))</f>
        <v>0.015</v>
      </c>
      <c r="N15" s="6" t="str">
        <f aca="false">IF(OR(배관기본물량!$G15="",배관기본물량!$B15&lt;&gt;"설치"),"",배관기본물량!$AB15)</f>
        <v>C/C</v>
      </c>
    </row>
    <row r="16" customFormat="false" ht="15" hidden="false" customHeight="true" outlineLevel="0" collapsed="false">
      <c r="A16" s="6" t="n">
        <f aca="false">IF(OR(배관기본물량!$G16="",배관기본물량!$B16&lt;&gt;"설치"),"",배관기본물량!A16)</f>
        <v>10</v>
      </c>
      <c r="B16" s="16" t="str">
        <f aca="false">IF(OR(배관기본물량!$G16="",배관기본물량!$B16&lt;&gt;"설치"),"",배관기본물량!H16)</f>
        <v>ELBOW 90LR SMLS BW</v>
      </c>
      <c r="C16" s="6" t="n">
        <f aca="false">IF(OR(배관기본물량!$G16="",배관기본물량!$B16&lt;&gt;"설치"),"",IF(배관기본물량!I16="","",배관기본물량!I16))</f>
        <v>50</v>
      </c>
      <c r="D16" s="6" t="str">
        <f aca="false">IF(OR(배관기본물량!$G16="",배관기본물량!$B16&lt;&gt;"설치"),"",배관기본물량!F16&amp;"")</f>
        <v>STPT370S</v>
      </c>
      <c r="E16" s="6" t="str">
        <f aca="false">IF(OR(배관기본물량!$G16="",배관기본물량!$B16&lt;&gt;"설치"),"",배관기본물량!K16&amp;"")</f>
        <v>EA</v>
      </c>
      <c r="F16" s="35" t="n">
        <f aca="false">IF(OR(배관기본물량!$G16="",배관기본물량!$B16&lt;&gt;"설치"),"",IF(배관기본물량!L16="","",배관기본물량!L16))</f>
        <v>10</v>
      </c>
      <c r="G16" s="37" t="n">
        <f aca="false">IF(OR(배관기본물량!$G16="",배관기본물량!$B16&lt;&gt;"설치"),"",IF(배관기본물량!G16="PIPE",배관기본물량!M16,IF(배관기본물량!N16="","",배관기본물량!N16)))</f>
        <v>0.7</v>
      </c>
      <c r="H16" s="35" t="n">
        <f aca="false">IF(OR(배관기본물량!$G16="",배관기본물량!$B16&lt;&gt;"설치"),"",IF(배관기본물량!G16="PIPE",N(배관기본물량!R16),N(배관기본물량!L16)))</f>
        <v>10</v>
      </c>
      <c r="I16" s="54" t="n">
        <f aca="false">IF(OR(배관기본물량!$G16="",배관기본물량!$B16&lt;&gt;"설치"),"",배관기본물량!P16)</f>
        <v>7</v>
      </c>
      <c r="J16" s="34" t="n">
        <f aca="false">IF(OR(배관기본물량!$G16="",배관기본물량!$B16&lt;&gt;"설치"),"",IF(배관기본물량!G16="PIPE",IF(AND(N(배관기본물량!I16)&gt;0,N(배관기본물량!I16)&gt;=배관기준!$AG$15),ROUNDUP(H16/배관기준!$AG$16,0)*배관기준!$AG$16,ROUNDUP(H16*(1+M16),0)),ROUND(H16*(1+M16),0)))</f>
        <v>10</v>
      </c>
      <c r="K16" s="54" t="n">
        <f aca="false">IF(OR(배관기본물량!$G16="",배관기본물량!$B16&lt;&gt;"설치"),"",IF(N(H16)&gt;0,IF(ISNUMBER(G16),J16*G16,0),I16*(1+M16)))</f>
        <v>7</v>
      </c>
      <c r="L16" s="16" t="str">
        <f aca="false">IF(OR(배관기본물량!$G16="",배관기본물량!$B16&lt;&gt;"설치"),"",IF(배관기본물량!V16&lt;&gt;"",배관기본물량!V16,IF(배관기본물량!G16="PIPE",IF(OR(LEFT(배관기본물량!F16,3)="STS",LEFT(배관기본물량!F16,3)="SUS"),"STS 강관",IF(N(배관기본물량!I16)&lt;=50,"강관(50A이하)","강관(50A초과)")),"배관 FITTING류(VALVE 外)")))</f>
        <v>배관 FITTING류(VALVE 外)</v>
      </c>
      <c r="M16" s="58" t="n">
        <f aca="false">IF(OR(배관기본물량!$G16="",배관기본물량!$B16&lt;&gt;"설치"),"",IFERROR(INDEX(제작기준!$B$5:$B$30,MATCH(L16,제작기준!$A$5:$A$30,0)),0))</f>
        <v>0.015</v>
      </c>
      <c r="N16" s="6" t="str">
        <f aca="false">IF(OR(배관기본물량!$G16="",배관기본물량!$B16&lt;&gt;"설치"),"",배관기본물량!$AB16)</f>
        <v>C/C</v>
      </c>
    </row>
    <row r="17" customFormat="false" ht="15" hidden="false" customHeight="true" outlineLevel="0" collapsed="false">
      <c r="A17" s="6" t="n">
        <f aca="false">IF(OR(배관기본물량!$G17="",배관기본물량!$B17&lt;&gt;"설치"),"",배관기본물량!A17)</f>
        <v>11</v>
      </c>
      <c r="B17" s="16" t="str">
        <f aca="false">IF(OR(배관기본물량!$G17="",배관기본물량!$B17&lt;&gt;"설치"),"",배관기본물량!H17)</f>
        <v>ELBOW 41.7LR SMLS BW</v>
      </c>
      <c r="C17" s="6" t="n">
        <f aca="false">IF(OR(배관기본물량!$G17="",배관기본물량!$B17&lt;&gt;"설치"),"",IF(배관기본물량!I17="","",배관기본물량!I17))</f>
        <v>80</v>
      </c>
      <c r="D17" s="6" t="str">
        <f aca="false">IF(OR(배관기본물량!$G17="",배관기본물량!$B17&lt;&gt;"설치"),"",배관기본물량!F17&amp;"")</f>
        <v>STPT370S</v>
      </c>
      <c r="E17" s="6" t="str">
        <f aca="false">IF(OR(배관기본물량!$G17="",배관기본물량!$B17&lt;&gt;"설치"),"",배관기본물량!K17&amp;"")</f>
        <v>EA</v>
      </c>
      <c r="F17" s="35" t="n">
        <f aca="false">IF(OR(배관기본물량!$G17="",배관기본물량!$B17&lt;&gt;"설치"),"",IF(배관기본물량!L17="","",배관기본물량!L17))</f>
        <v>1</v>
      </c>
      <c r="G17" s="37" t="n">
        <f aca="false">IF(OR(배관기본물량!$G17="",배관기본물량!$B17&lt;&gt;"설치"),"",IF(배관기본물량!G17="PIPE",배관기본물량!M17,IF(배관기본물량!N17="","",배관기본물량!N17)))</f>
        <v>1</v>
      </c>
      <c r="H17" s="35" t="n">
        <f aca="false">IF(OR(배관기본물량!$G17="",배관기본물량!$B17&lt;&gt;"설치"),"",IF(배관기본물량!G17="PIPE",N(배관기본물량!R17),N(배관기본물량!L17)))</f>
        <v>1</v>
      </c>
      <c r="I17" s="54" t="n">
        <f aca="false">IF(OR(배관기본물량!$G17="",배관기본물량!$B17&lt;&gt;"설치"),"",배관기본물량!P17)</f>
        <v>1</v>
      </c>
      <c r="J17" s="34" t="n">
        <f aca="false">IF(OR(배관기본물량!$G17="",배관기본물량!$B17&lt;&gt;"설치"),"",IF(배관기본물량!G17="PIPE",IF(AND(N(배관기본물량!I17)&gt;0,N(배관기본물량!I17)&gt;=배관기준!$AG$15),ROUNDUP(H17/배관기준!$AG$16,0)*배관기준!$AG$16,ROUNDUP(H17*(1+M17),0)),ROUND(H17*(1+M17),0)))</f>
        <v>1</v>
      </c>
      <c r="K17" s="54" t="n">
        <f aca="false">IF(OR(배관기본물량!$G17="",배관기본물량!$B17&lt;&gt;"설치"),"",IF(N(H17)&gt;0,IF(ISNUMBER(G17),J17*G17,0),I17*(1+M17)))</f>
        <v>1</v>
      </c>
      <c r="L17" s="16" t="str">
        <f aca="false">IF(OR(배관기본물량!$G17="",배관기본물량!$B17&lt;&gt;"설치"),"",IF(배관기본물량!V17&lt;&gt;"",배관기본물량!V17,IF(배관기본물량!G17="PIPE",IF(OR(LEFT(배관기본물량!F17,3)="STS",LEFT(배관기본물량!F17,3)="SUS"),"STS 강관",IF(N(배관기본물량!I17)&lt;=50,"강관(50A이하)","강관(50A초과)")),"배관 FITTING류(VALVE 外)")))</f>
        <v>배관 FITTING류(VALVE 外)</v>
      </c>
      <c r="M17" s="58" t="n">
        <f aca="false">IF(OR(배관기본물량!$G17="",배관기본물량!$B17&lt;&gt;"설치"),"",IFERROR(INDEX(제작기준!$B$5:$B$30,MATCH(L17,제작기준!$A$5:$A$30,0)),0))</f>
        <v>0.015</v>
      </c>
      <c r="N17" s="6" t="str">
        <f aca="false">IF(OR(배관기본물량!$G17="",배관기본물량!$B17&lt;&gt;"설치"),"",배관기본물량!$AB17)</f>
        <v>C/C</v>
      </c>
    </row>
    <row r="18" customFormat="false" ht="15" hidden="false" customHeight="true" outlineLevel="0" collapsed="false">
      <c r="A18" s="6" t="n">
        <f aca="false">IF(OR(배관기본물량!$G18="",배관기본물량!$B18&lt;&gt;"설치"),"",배관기본물량!A18)</f>
        <v>12</v>
      </c>
      <c r="B18" s="16" t="str">
        <f aca="false">IF(OR(배관기본물량!$G18="",배관기본물량!$B18&lt;&gt;"설치"),"",배관기본물량!H18)</f>
        <v>ELBOW 90LR SMLS BW</v>
      </c>
      <c r="C18" s="6" t="n">
        <f aca="false">IF(OR(배관기본물량!$G18="",배관기본물량!$B18&lt;&gt;"설치"),"",IF(배관기본물량!I18="","",배관기본물량!I18))</f>
        <v>80</v>
      </c>
      <c r="D18" s="6" t="str">
        <f aca="false">IF(OR(배관기본물량!$G18="",배관기본물량!$B18&lt;&gt;"설치"),"",배관기본물량!F18&amp;"")</f>
        <v>STPT370S</v>
      </c>
      <c r="E18" s="6" t="str">
        <f aca="false">IF(OR(배관기본물량!$G18="",배관기본물량!$B18&lt;&gt;"설치"),"",배관기본물량!K18&amp;"")</f>
        <v>EA</v>
      </c>
      <c r="F18" s="35" t="n">
        <f aca="false">IF(OR(배관기본물량!$G18="",배관기본물량!$B18&lt;&gt;"설치"),"",IF(배관기본물량!L18="","",배관기본물량!L18))</f>
        <v>2</v>
      </c>
      <c r="G18" s="37" t="n">
        <f aca="false">IF(OR(배관기본물량!$G18="",배관기본물량!$B18&lt;&gt;"설치"),"",IF(배관기본물량!G18="PIPE",배관기본물량!M18,IF(배관기본물량!N18="","",배관기본물량!N18)))</f>
        <v>2</v>
      </c>
      <c r="H18" s="35" t="n">
        <f aca="false">IF(OR(배관기본물량!$G18="",배관기본물량!$B18&lt;&gt;"설치"),"",IF(배관기본물량!G18="PIPE",N(배관기본물량!R18),N(배관기본물량!L18)))</f>
        <v>2</v>
      </c>
      <c r="I18" s="54" t="n">
        <f aca="false">IF(OR(배관기본물량!$G18="",배관기본물량!$B18&lt;&gt;"설치"),"",배관기본물량!P18)</f>
        <v>4</v>
      </c>
      <c r="J18" s="34" t="n">
        <f aca="false">IF(OR(배관기본물량!$G18="",배관기본물량!$B18&lt;&gt;"설치"),"",IF(배관기본물량!G18="PIPE",IF(AND(N(배관기본물량!I18)&gt;0,N(배관기본물량!I18)&gt;=배관기준!$AG$15),ROUNDUP(H18/배관기준!$AG$16,0)*배관기준!$AG$16,ROUNDUP(H18*(1+M18),0)),ROUND(H18*(1+M18),0)))</f>
        <v>2</v>
      </c>
      <c r="K18" s="54" t="n">
        <f aca="false">IF(OR(배관기본물량!$G18="",배관기본물량!$B18&lt;&gt;"설치"),"",IF(N(H18)&gt;0,IF(ISNUMBER(G18),J18*G18,0),I18*(1+M18)))</f>
        <v>4</v>
      </c>
      <c r="L18" s="16" t="str">
        <f aca="false">IF(OR(배관기본물량!$G18="",배관기본물량!$B18&lt;&gt;"설치"),"",IF(배관기본물량!V18&lt;&gt;"",배관기본물량!V18,IF(배관기본물량!G18="PIPE",IF(OR(LEFT(배관기본물량!F18,3)="STS",LEFT(배관기본물량!F18,3)="SUS"),"STS 강관",IF(N(배관기본물량!I18)&lt;=50,"강관(50A이하)","강관(50A초과)")),"배관 FITTING류(VALVE 外)")))</f>
        <v>배관 FITTING류(VALVE 外)</v>
      </c>
      <c r="M18" s="58" t="n">
        <f aca="false">IF(OR(배관기본물량!$G18="",배관기본물량!$B18&lt;&gt;"설치"),"",IFERROR(INDEX(제작기준!$B$5:$B$30,MATCH(L18,제작기준!$A$5:$A$30,0)),0))</f>
        <v>0.015</v>
      </c>
      <c r="N18" s="6" t="str">
        <f aca="false">IF(OR(배관기본물량!$G18="",배관기본물량!$B18&lt;&gt;"설치"),"",배관기본물량!$AB18)</f>
        <v>C/C</v>
      </c>
    </row>
    <row r="19" customFormat="false" ht="15" hidden="false" customHeight="true" outlineLevel="0" collapsed="false">
      <c r="A19" s="6" t="n">
        <f aca="false">IF(OR(배관기본물량!$G19="",배관기본물량!$B19&lt;&gt;"설치"),"",배관기본물량!A19)</f>
        <v>13</v>
      </c>
      <c r="B19" s="16" t="str">
        <f aca="false">IF(OR(배관기본물량!$G19="",배관기본물량!$B19&lt;&gt;"설치"),"",배관기본물량!H19)</f>
        <v>ELBOW 45LR SMLS BW</v>
      </c>
      <c r="C19" s="6" t="n">
        <f aca="false">IF(OR(배관기본물량!$G19="",배관기본물량!$B19&lt;&gt;"설치"),"",IF(배관기본물량!I19="","",배관기본물량!I19))</f>
        <v>150</v>
      </c>
      <c r="D19" s="6" t="str">
        <f aca="false">IF(OR(배관기본물량!$G19="",배관기본물량!$B19&lt;&gt;"설치"),"",배관기본물량!F19&amp;"")</f>
        <v>STPT370S</v>
      </c>
      <c r="E19" s="6" t="str">
        <f aca="false">IF(OR(배관기본물량!$G19="",배관기본물량!$B19&lt;&gt;"설치"),"",배관기본물량!K19&amp;"")</f>
        <v>EA</v>
      </c>
      <c r="F19" s="35" t="n">
        <f aca="false">IF(OR(배관기본물량!$G19="",배관기본물량!$B19&lt;&gt;"설치"),"",IF(배관기본물량!L19="","",배관기본물량!L19))</f>
        <v>2</v>
      </c>
      <c r="G19" s="37" t="n">
        <f aca="false">IF(OR(배관기본물량!$G19="",배관기본물량!$B19&lt;&gt;"설치"),"",IF(배관기본물량!G19="PIPE",배관기본물량!M19,IF(배관기본물량!N19="","",배관기본물량!N19)))</f>
        <v>3.9</v>
      </c>
      <c r="H19" s="35" t="n">
        <f aca="false">IF(OR(배관기본물량!$G19="",배관기본물량!$B19&lt;&gt;"설치"),"",IF(배관기본물량!G19="PIPE",N(배관기본물량!R19),N(배관기본물량!L19)))</f>
        <v>2</v>
      </c>
      <c r="I19" s="54" t="n">
        <f aca="false">IF(OR(배관기본물량!$G19="",배관기본물량!$B19&lt;&gt;"설치"),"",배관기본물량!P19)</f>
        <v>7.8</v>
      </c>
      <c r="J19" s="34" t="n">
        <f aca="false">IF(OR(배관기본물량!$G19="",배관기본물량!$B19&lt;&gt;"설치"),"",IF(배관기본물량!G19="PIPE",IF(AND(N(배관기본물량!I19)&gt;0,N(배관기본물량!I19)&gt;=배관기준!$AG$15),ROUNDUP(H19/배관기준!$AG$16,0)*배관기준!$AG$16,ROUNDUP(H19*(1+M19),0)),ROUND(H19*(1+M19),0)))</f>
        <v>2</v>
      </c>
      <c r="K19" s="54" t="n">
        <f aca="false">IF(OR(배관기본물량!$G19="",배관기본물량!$B19&lt;&gt;"설치"),"",IF(N(H19)&gt;0,IF(ISNUMBER(G19),J19*G19,0),I19*(1+M19)))</f>
        <v>7.8</v>
      </c>
      <c r="L19" s="16" t="str">
        <f aca="false">IF(OR(배관기본물량!$G19="",배관기본물량!$B19&lt;&gt;"설치"),"",IF(배관기본물량!V19&lt;&gt;"",배관기본물량!V19,IF(배관기본물량!G19="PIPE",IF(OR(LEFT(배관기본물량!F19,3)="STS",LEFT(배관기본물량!F19,3)="SUS"),"STS 강관",IF(N(배관기본물량!I19)&lt;=50,"강관(50A이하)","강관(50A초과)")),"배관 FITTING류(VALVE 外)")))</f>
        <v>배관 FITTING류(VALVE 外)</v>
      </c>
      <c r="M19" s="58" t="n">
        <f aca="false">IF(OR(배관기본물량!$G19="",배관기본물량!$B19&lt;&gt;"설치"),"",IFERROR(INDEX(제작기준!$B$5:$B$30,MATCH(L19,제작기준!$A$5:$A$30,0)),0))</f>
        <v>0.015</v>
      </c>
      <c r="N19" s="6" t="str">
        <f aca="false">IF(OR(배관기본물량!$G19="",배관기본물량!$B19&lt;&gt;"설치"),"",배관기본물량!$AB19)</f>
        <v>C/C</v>
      </c>
    </row>
    <row r="20" customFormat="false" ht="15" hidden="false" customHeight="true" outlineLevel="0" collapsed="false">
      <c r="A20" s="6" t="n">
        <f aca="false">IF(OR(배관기본물량!$G20="",배관기본물량!$B20&lt;&gt;"설치"),"",배관기본물량!A20)</f>
        <v>14</v>
      </c>
      <c r="B20" s="16" t="str">
        <f aca="false">IF(OR(배관기본물량!$G20="",배관기본물량!$B20&lt;&gt;"설치"),"",배관기본물량!H20)</f>
        <v>ELBOW 90LR SMLS BW</v>
      </c>
      <c r="C20" s="6" t="n">
        <f aca="false">IF(OR(배관기본물량!$G20="",배관기본물량!$B20&lt;&gt;"설치"),"",IF(배관기본물량!I20="","",배관기본물량!I20))</f>
        <v>150</v>
      </c>
      <c r="D20" s="6" t="str">
        <f aca="false">IF(OR(배관기본물량!$G20="",배관기본물량!$B20&lt;&gt;"설치"),"",배관기본물량!F20&amp;"")</f>
        <v>STPT370S</v>
      </c>
      <c r="E20" s="6" t="str">
        <f aca="false">IF(OR(배관기본물량!$G20="",배관기본물량!$B20&lt;&gt;"설치"),"",배관기본물량!K20&amp;"")</f>
        <v>EA</v>
      </c>
      <c r="F20" s="35" t="n">
        <f aca="false">IF(OR(배관기본물량!$G20="",배관기본물량!$B20&lt;&gt;"설치"),"",IF(배관기본물량!L20="","",배관기본물량!L20))</f>
        <v>3</v>
      </c>
      <c r="G20" s="37" t="n">
        <f aca="false">IF(OR(배관기본물량!$G20="",배관기본물량!$B20&lt;&gt;"설치"),"",IF(배관기본물량!G20="PIPE",배관기본물량!M20,IF(배관기본물량!N20="","",배관기본물량!N20)))</f>
        <v>9.9</v>
      </c>
      <c r="H20" s="35" t="n">
        <f aca="false">IF(OR(배관기본물량!$G20="",배관기본물량!$B20&lt;&gt;"설치"),"",IF(배관기본물량!G20="PIPE",N(배관기본물량!R20),N(배관기본물량!L20)))</f>
        <v>3</v>
      </c>
      <c r="I20" s="54" t="n">
        <f aca="false">IF(OR(배관기본물량!$G20="",배관기본물량!$B20&lt;&gt;"설치"),"",배관기본물량!P20)</f>
        <v>29.7</v>
      </c>
      <c r="J20" s="34" t="n">
        <f aca="false">IF(OR(배관기본물량!$G20="",배관기본물량!$B20&lt;&gt;"설치"),"",IF(배관기본물량!G20="PIPE",IF(AND(N(배관기본물량!I20)&gt;0,N(배관기본물량!I20)&gt;=배관기준!$AG$15),ROUNDUP(H20/배관기준!$AG$16,0)*배관기준!$AG$16,ROUNDUP(H20*(1+M20),0)),ROUND(H20*(1+M20),0)))</f>
        <v>3</v>
      </c>
      <c r="K20" s="54" t="n">
        <f aca="false">IF(OR(배관기본물량!$G20="",배관기본물량!$B20&lt;&gt;"설치"),"",IF(N(H20)&gt;0,IF(ISNUMBER(G20),J20*G20,0),I20*(1+M20)))</f>
        <v>29.7</v>
      </c>
      <c r="L20" s="16" t="str">
        <f aca="false">IF(OR(배관기본물량!$G20="",배관기본물량!$B20&lt;&gt;"설치"),"",IF(배관기본물량!V20&lt;&gt;"",배관기본물량!V20,IF(배관기본물량!G20="PIPE",IF(OR(LEFT(배관기본물량!F20,3)="STS",LEFT(배관기본물량!F20,3)="SUS"),"STS 강관",IF(N(배관기본물량!I20)&lt;=50,"강관(50A이하)","강관(50A초과)")),"배관 FITTING류(VALVE 外)")))</f>
        <v>배관 FITTING류(VALVE 外)</v>
      </c>
      <c r="M20" s="58" t="n">
        <f aca="false">IF(OR(배관기본물량!$G20="",배관기본물량!$B20&lt;&gt;"설치"),"",IFERROR(INDEX(제작기준!$B$5:$B$30,MATCH(L20,제작기준!$A$5:$A$30,0)),0))</f>
        <v>0.015</v>
      </c>
      <c r="N20" s="6" t="str">
        <f aca="false">IF(OR(배관기본물량!$G20="",배관기본물량!$B20&lt;&gt;"설치"),"",배관기본물량!$AB20)</f>
        <v>C/C</v>
      </c>
    </row>
    <row r="21" customFormat="false" ht="15" hidden="false" customHeight="true" outlineLevel="0" collapsed="false">
      <c r="A21" s="6" t="n">
        <f aca="false">IF(OR(배관기본물량!$G21="",배관기본물량!$B21&lt;&gt;"설치"),"",배관기본물량!A21)</f>
        <v>15</v>
      </c>
      <c r="B21" s="16" t="str">
        <f aca="false">IF(OR(배관기본물량!$G21="",배관기본물량!$B21&lt;&gt;"설치"),"",배관기본물량!H21)</f>
        <v>ELBOW 90SR SMLS BW</v>
      </c>
      <c r="C21" s="6" t="n">
        <f aca="false">IF(OR(배관기본물량!$G21="",배관기본물량!$B21&lt;&gt;"설치"),"",IF(배관기본물량!I21="","",배관기본물량!I21))</f>
        <v>150</v>
      </c>
      <c r="D21" s="6" t="str">
        <f aca="false">IF(OR(배관기본물량!$G21="",배관기본물량!$B21&lt;&gt;"설치"),"",배관기본물량!F21&amp;"")</f>
        <v>STPT370S</v>
      </c>
      <c r="E21" s="6" t="str">
        <f aca="false">IF(OR(배관기본물량!$G21="",배관기본물량!$B21&lt;&gt;"설치"),"",배관기본물량!K21&amp;"")</f>
        <v>EA</v>
      </c>
      <c r="F21" s="35" t="n">
        <f aca="false">IF(OR(배관기본물량!$G21="",배관기본물량!$B21&lt;&gt;"설치"),"",IF(배관기본물량!L21="","",배관기본물량!L21))</f>
        <v>5</v>
      </c>
      <c r="G21" s="37" t="n">
        <f aca="false">IF(OR(배관기본물량!$G21="",배관기본물량!$B21&lt;&gt;"설치"),"",IF(배관기본물량!G21="PIPE",배관기본물량!M21,IF(배관기본물량!N21="","",배관기본물량!N21)))</f>
        <v>9.9</v>
      </c>
      <c r="H21" s="35" t="n">
        <f aca="false">IF(OR(배관기본물량!$G21="",배관기본물량!$B21&lt;&gt;"설치"),"",IF(배관기본물량!G21="PIPE",N(배관기본물량!R21),N(배관기본물량!L21)))</f>
        <v>5</v>
      </c>
      <c r="I21" s="54" t="n">
        <f aca="false">IF(OR(배관기본물량!$G21="",배관기본물량!$B21&lt;&gt;"설치"),"",배관기본물량!P21)</f>
        <v>49.5</v>
      </c>
      <c r="J21" s="34" t="n">
        <f aca="false">IF(OR(배관기본물량!$G21="",배관기본물량!$B21&lt;&gt;"설치"),"",IF(배관기본물량!G21="PIPE",IF(AND(N(배관기본물량!I21)&gt;0,N(배관기본물량!I21)&gt;=배관기준!$AG$15),ROUNDUP(H21/배관기준!$AG$16,0)*배관기준!$AG$16,ROUNDUP(H21*(1+M21),0)),ROUND(H21*(1+M21),0)))</f>
        <v>5</v>
      </c>
      <c r="K21" s="54" t="n">
        <f aca="false">IF(OR(배관기본물량!$G21="",배관기본물량!$B21&lt;&gt;"설치"),"",IF(N(H21)&gt;0,IF(ISNUMBER(G21),J21*G21,0),I21*(1+M21)))</f>
        <v>49.5</v>
      </c>
      <c r="L21" s="16" t="str">
        <f aca="false">IF(OR(배관기본물량!$G21="",배관기본물량!$B21&lt;&gt;"설치"),"",IF(배관기본물량!V21&lt;&gt;"",배관기본물량!V21,IF(배관기본물량!G21="PIPE",IF(OR(LEFT(배관기본물량!F21,3)="STS",LEFT(배관기본물량!F21,3)="SUS"),"STS 강관",IF(N(배관기본물량!I21)&lt;=50,"강관(50A이하)","강관(50A초과)")),"배관 FITTING류(VALVE 外)")))</f>
        <v>배관 FITTING류(VALVE 外)</v>
      </c>
      <c r="M21" s="58" t="n">
        <f aca="false">IF(OR(배관기본물량!$G21="",배관기본물량!$B21&lt;&gt;"설치"),"",IFERROR(INDEX(제작기준!$B$5:$B$30,MATCH(L21,제작기준!$A$5:$A$30,0)),0))</f>
        <v>0.015</v>
      </c>
      <c r="N21" s="6" t="str">
        <f aca="false">IF(OR(배관기본물량!$G21="",배관기본물량!$B21&lt;&gt;"설치"),"",배관기본물량!$AB21)</f>
        <v>C/C</v>
      </c>
    </row>
    <row r="22" customFormat="false" ht="15" hidden="false" customHeight="true" outlineLevel="0" collapsed="false">
      <c r="A22" s="6" t="n">
        <f aca="false">IF(OR(배관기본물량!$G22="",배관기본물량!$B22&lt;&gt;"설치"),"",배관기본물량!A22)</f>
        <v>16</v>
      </c>
      <c r="B22" s="16" t="str">
        <f aca="false">IF(OR(배관기본물량!$G22="",배관기본물량!$B22&lt;&gt;"설치"),"",배관기본물량!H22)</f>
        <v>ELBOW 17.6LR SMLS BW</v>
      </c>
      <c r="C22" s="6" t="n">
        <f aca="false">IF(OR(배관기본물량!$G22="",배관기본물량!$B22&lt;&gt;"설치"),"",IF(배관기본물량!I22="","",배관기본물량!I22))</f>
        <v>200</v>
      </c>
      <c r="D22" s="6" t="str">
        <f aca="false">IF(OR(배관기본물량!$G22="",배관기본물량!$B22&lt;&gt;"설치"),"",배관기본물량!F22&amp;"")</f>
        <v>STPT370S</v>
      </c>
      <c r="E22" s="6" t="str">
        <f aca="false">IF(OR(배관기본물량!$G22="",배관기본물량!$B22&lt;&gt;"설치"),"",배관기본물량!K22&amp;"")</f>
        <v>EA</v>
      </c>
      <c r="F22" s="35" t="n">
        <f aca="false">IF(OR(배관기본물량!$G22="",배관기본물량!$B22&lt;&gt;"설치"),"",IF(배관기본물량!L22="","",배관기본물량!L22))</f>
        <v>2</v>
      </c>
      <c r="G22" s="37" t="n">
        <f aca="false">IF(OR(배관기본물량!$G22="",배관기본물량!$B22&lt;&gt;"설치"),"",IF(배관기본물량!G22="PIPE",배관기본물량!M22,IF(배관기본물량!N22="","",배관기본물량!N22)))</f>
        <v>10.1</v>
      </c>
      <c r="H22" s="35" t="n">
        <f aca="false">IF(OR(배관기본물량!$G22="",배관기본물량!$B22&lt;&gt;"설치"),"",IF(배관기본물량!G22="PIPE",N(배관기본물량!R22),N(배관기본물량!L22)))</f>
        <v>2</v>
      </c>
      <c r="I22" s="54" t="n">
        <f aca="false">IF(OR(배관기본물량!$G22="",배관기본물량!$B22&lt;&gt;"설치"),"",배관기본물량!P22)</f>
        <v>20.2</v>
      </c>
      <c r="J22" s="34" t="n">
        <f aca="false">IF(OR(배관기본물량!$G22="",배관기본물량!$B22&lt;&gt;"설치"),"",IF(배관기본물량!G22="PIPE",IF(AND(N(배관기본물량!I22)&gt;0,N(배관기본물량!I22)&gt;=배관기준!$AG$15),ROUNDUP(H22/배관기준!$AG$16,0)*배관기준!$AG$16,ROUNDUP(H22*(1+M22),0)),ROUND(H22*(1+M22),0)))</f>
        <v>2</v>
      </c>
      <c r="K22" s="54" t="n">
        <f aca="false">IF(OR(배관기본물량!$G22="",배관기본물량!$B22&lt;&gt;"설치"),"",IF(N(H22)&gt;0,IF(ISNUMBER(G22),J22*G22,0),I22*(1+M22)))</f>
        <v>20.2</v>
      </c>
      <c r="L22" s="16" t="str">
        <f aca="false">IF(OR(배관기본물량!$G22="",배관기본물량!$B22&lt;&gt;"설치"),"",IF(배관기본물량!V22&lt;&gt;"",배관기본물량!V22,IF(배관기본물량!G22="PIPE",IF(OR(LEFT(배관기본물량!F22,3)="STS",LEFT(배관기본물량!F22,3)="SUS"),"STS 강관",IF(N(배관기본물량!I22)&lt;=50,"강관(50A이하)","강관(50A초과)")),"배관 FITTING류(VALVE 外)")))</f>
        <v>배관 FITTING류(VALVE 外)</v>
      </c>
      <c r="M22" s="58" t="n">
        <f aca="false">IF(OR(배관기본물량!$G22="",배관기본물량!$B22&lt;&gt;"설치"),"",IFERROR(INDEX(제작기준!$B$5:$B$30,MATCH(L22,제작기준!$A$5:$A$30,0)),0))</f>
        <v>0.015</v>
      </c>
      <c r="N22" s="6" t="str">
        <f aca="false">IF(OR(배관기본물량!$G22="",배관기본물량!$B22&lt;&gt;"설치"),"",배관기본물량!$AB22)</f>
        <v>C/C</v>
      </c>
    </row>
    <row r="23" customFormat="false" ht="15" hidden="false" customHeight="true" outlineLevel="0" collapsed="false">
      <c r="A23" s="6" t="n">
        <f aca="false">IF(OR(배관기본물량!$G23="",배관기본물량!$B23&lt;&gt;"설치"),"",배관기본물량!A23)</f>
        <v>17</v>
      </c>
      <c r="B23" s="16" t="str">
        <f aca="false">IF(OR(배관기본물량!$G23="",배관기본물량!$B23&lt;&gt;"설치"),"",배관기본물량!H23)</f>
        <v>ELBOW 40LR SMLS BW</v>
      </c>
      <c r="C23" s="6" t="n">
        <f aca="false">IF(OR(배관기본물량!$G23="",배관기본물량!$B23&lt;&gt;"설치"),"",IF(배관기본물량!I23="","",배관기본물량!I23))</f>
        <v>200</v>
      </c>
      <c r="D23" s="6" t="str">
        <f aca="false">IF(OR(배관기본물량!$G23="",배관기본물량!$B23&lt;&gt;"설치"),"",배관기본물량!F23&amp;"")</f>
        <v>STPT370S</v>
      </c>
      <c r="E23" s="6" t="str">
        <f aca="false">IF(OR(배관기본물량!$G23="",배관기본물량!$B23&lt;&gt;"설치"),"",배관기본물량!K23&amp;"")</f>
        <v>EA</v>
      </c>
      <c r="F23" s="35" t="n">
        <f aca="false">IF(OR(배관기본물량!$G23="",배관기본물량!$B23&lt;&gt;"설치"),"",IF(배관기본물량!L23="","",배관기본물량!L23))</f>
        <v>2</v>
      </c>
      <c r="G23" s="37" t="n">
        <f aca="false">IF(OR(배관기본물량!$G23="",배관기본물량!$B23&lt;&gt;"설치"),"",IF(배관기본물량!G23="PIPE",배관기본물량!M23,IF(배관기본물량!N23="","",배관기본물량!N23)))</f>
        <v>10.1</v>
      </c>
      <c r="H23" s="35" t="n">
        <f aca="false">IF(OR(배관기본물량!$G23="",배관기본물량!$B23&lt;&gt;"설치"),"",IF(배관기본물량!G23="PIPE",N(배관기본물량!R23),N(배관기본물량!L23)))</f>
        <v>2</v>
      </c>
      <c r="I23" s="54" t="n">
        <f aca="false">IF(OR(배관기본물량!$G23="",배관기본물량!$B23&lt;&gt;"설치"),"",배관기본물량!P23)</f>
        <v>20.2</v>
      </c>
      <c r="J23" s="34" t="n">
        <f aca="false">IF(OR(배관기본물량!$G23="",배관기본물량!$B23&lt;&gt;"설치"),"",IF(배관기본물량!G23="PIPE",IF(AND(N(배관기본물량!I23)&gt;0,N(배관기본물량!I23)&gt;=배관기준!$AG$15),ROUNDUP(H23/배관기준!$AG$16,0)*배관기준!$AG$16,ROUNDUP(H23*(1+M23),0)),ROUND(H23*(1+M23),0)))</f>
        <v>2</v>
      </c>
      <c r="K23" s="54" t="n">
        <f aca="false">IF(OR(배관기본물량!$G23="",배관기본물량!$B23&lt;&gt;"설치"),"",IF(N(H23)&gt;0,IF(ISNUMBER(G23),J23*G23,0),I23*(1+M23)))</f>
        <v>20.2</v>
      </c>
      <c r="L23" s="16" t="str">
        <f aca="false">IF(OR(배관기본물량!$G23="",배관기본물량!$B23&lt;&gt;"설치"),"",IF(배관기본물량!V23&lt;&gt;"",배관기본물량!V23,IF(배관기본물량!G23="PIPE",IF(OR(LEFT(배관기본물량!F23,3)="STS",LEFT(배관기본물량!F23,3)="SUS"),"STS 강관",IF(N(배관기본물량!I23)&lt;=50,"강관(50A이하)","강관(50A초과)")),"배관 FITTING류(VALVE 外)")))</f>
        <v>배관 FITTING류(VALVE 外)</v>
      </c>
      <c r="M23" s="58" t="n">
        <f aca="false">IF(OR(배관기본물량!$G23="",배관기본물량!$B23&lt;&gt;"설치"),"",IFERROR(INDEX(제작기준!$B$5:$B$30,MATCH(L23,제작기준!$A$5:$A$30,0)),0))</f>
        <v>0.015</v>
      </c>
      <c r="N23" s="6" t="str">
        <f aca="false">IF(OR(배관기본물량!$G23="",배관기본물량!$B23&lt;&gt;"설치"),"",배관기본물량!$AB23)</f>
        <v>C/C</v>
      </c>
    </row>
    <row r="24" customFormat="false" ht="15" hidden="false" customHeight="true" outlineLevel="0" collapsed="false">
      <c r="A24" s="6" t="n">
        <f aca="false">IF(OR(배관기본물량!$G24="",배관기본물량!$B24&lt;&gt;"설치"),"",배관기본물량!A24)</f>
        <v>18</v>
      </c>
      <c r="B24" s="16" t="str">
        <f aca="false">IF(OR(배관기본물량!$G24="",배관기본물량!$B24&lt;&gt;"설치"),"",배관기본물량!H24)</f>
        <v>ELBOW 90LR SMLS BW</v>
      </c>
      <c r="C24" s="6" t="n">
        <f aca="false">IF(OR(배관기본물량!$G24="",배관기본물량!$B24&lt;&gt;"설치"),"",IF(배관기본물량!I24="","",배관기본물량!I24))</f>
        <v>200</v>
      </c>
      <c r="D24" s="6" t="str">
        <f aca="false">IF(OR(배관기본물량!$G24="",배관기본물량!$B24&lt;&gt;"설치"),"",배관기본물량!F24&amp;"")</f>
        <v>STPT370S</v>
      </c>
      <c r="E24" s="6" t="str">
        <f aca="false">IF(OR(배관기본물량!$G24="",배관기본물량!$B24&lt;&gt;"설치"),"",배관기본물량!K24&amp;"")</f>
        <v>EA</v>
      </c>
      <c r="F24" s="35" t="n">
        <f aca="false">IF(OR(배관기본물량!$G24="",배관기본물량!$B24&lt;&gt;"설치"),"",IF(배관기본물량!L24="","",배관기본물량!L24))</f>
        <v>2</v>
      </c>
      <c r="G24" s="37" t="n">
        <f aca="false">IF(OR(배관기본물량!$G24="",배관기본물량!$B24&lt;&gt;"설치"),"",IF(배관기본물량!G24="PIPE",배관기본물량!M24,IF(배관기본물량!N24="","",배관기본물량!N24)))</f>
        <v>20.2</v>
      </c>
      <c r="H24" s="35" t="n">
        <f aca="false">IF(OR(배관기본물량!$G24="",배관기본물량!$B24&lt;&gt;"설치"),"",IF(배관기본물량!G24="PIPE",N(배관기본물량!R24),N(배관기본물량!L24)))</f>
        <v>2</v>
      </c>
      <c r="I24" s="54" t="n">
        <f aca="false">IF(OR(배관기본물량!$G24="",배관기본물량!$B24&lt;&gt;"설치"),"",배관기본물량!P24)</f>
        <v>40.4</v>
      </c>
      <c r="J24" s="34" t="n">
        <f aca="false">IF(OR(배관기본물량!$G24="",배관기본물량!$B24&lt;&gt;"설치"),"",IF(배관기본물량!G24="PIPE",IF(AND(N(배관기본물량!I24)&gt;0,N(배관기본물량!I24)&gt;=배관기준!$AG$15),ROUNDUP(H24/배관기준!$AG$16,0)*배관기준!$AG$16,ROUNDUP(H24*(1+M24),0)),ROUND(H24*(1+M24),0)))</f>
        <v>2</v>
      </c>
      <c r="K24" s="54" t="n">
        <f aca="false">IF(OR(배관기본물량!$G24="",배관기본물량!$B24&lt;&gt;"설치"),"",IF(N(H24)&gt;0,IF(ISNUMBER(G24),J24*G24,0),I24*(1+M24)))</f>
        <v>40.4</v>
      </c>
      <c r="L24" s="16" t="str">
        <f aca="false">IF(OR(배관기본물량!$G24="",배관기본물량!$B24&lt;&gt;"설치"),"",IF(배관기본물량!V24&lt;&gt;"",배관기본물량!V24,IF(배관기본물량!G24="PIPE",IF(OR(LEFT(배관기본물량!F24,3)="STS",LEFT(배관기본물량!F24,3)="SUS"),"STS 강관",IF(N(배관기본물량!I24)&lt;=50,"강관(50A이하)","강관(50A초과)")),"배관 FITTING류(VALVE 外)")))</f>
        <v>배관 FITTING류(VALVE 外)</v>
      </c>
      <c r="M24" s="58" t="n">
        <f aca="false">IF(OR(배관기본물량!$G24="",배관기본물량!$B24&lt;&gt;"설치"),"",IFERROR(INDEX(제작기준!$B$5:$B$30,MATCH(L24,제작기준!$A$5:$A$30,0)),0))</f>
        <v>0.015</v>
      </c>
      <c r="N24" s="6" t="str">
        <f aca="false">IF(OR(배관기본물량!$G24="",배관기본물량!$B24&lt;&gt;"설치"),"",배관기본물량!$AB24)</f>
        <v>C/C</v>
      </c>
    </row>
    <row r="25" customFormat="false" ht="15" hidden="false" customHeight="true" outlineLevel="0" collapsed="false">
      <c r="A25" s="6" t="n">
        <f aca="false">IF(OR(배관기본물량!$G25="",배관기본물량!$B25&lt;&gt;"설치"),"",배관기본물량!A25)</f>
        <v>19</v>
      </c>
      <c r="B25" s="16" t="str">
        <f aca="false">IF(OR(배관기본물량!$G25="",배관기본물량!$B25&lt;&gt;"설치"),"",배관기본물량!H25)</f>
        <v>ELBOW 45LR SMLS BW</v>
      </c>
      <c r="C25" s="6" t="n">
        <f aca="false">IF(OR(배관기본물량!$G25="",배관기본물량!$B25&lt;&gt;"설치"),"",IF(배관기본물량!I25="","",배관기본물량!I25))</f>
        <v>250</v>
      </c>
      <c r="D25" s="6" t="str">
        <f aca="false">IF(OR(배관기본물량!$G25="",배관기본물량!$B25&lt;&gt;"설치"),"",배관기본물량!F25&amp;"")</f>
        <v>STPT370S</v>
      </c>
      <c r="E25" s="6" t="str">
        <f aca="false">IF(OR(배관기본물량!$G25="",배관기본물량!$B25&lt;&gt;"설치"),"",배관기본물량!K25&amp;"")</f>
        <v>EA</v>
      </c>
      <c r="F25" s="35" t="n">
        <f aca="false">IF(OR(배관기본물량!$G25="",배관기본물량!$B25&lt;&gt;"설치"),"",IF(배관기본물량!L25="","",배관기본물량!L25))</f>
        <v>2</v>
      </c>
      <c r="G25" s="37" t="n">
        <f aca="false">IF(OR(배관기본물량!$G25="",배관기본물량!$B25&lt;&gt;"설치"),"",IF(배관기본물량!G25="PIPE",배관기본물량!M25,IF(배관기본물량!N25="","",배관기본물량!N25)))</f>
        <v>17.7</v>
      </c>
      <c r="H25" s="35" t="n">
        <f aca="false">IF(OR(배관기본물량!$G25="",배관기본물량!$B25&lt;&gt;"설치"),"",IF(배관기본물량!G25="PIPE",N(배관기본물량!R25),N(배관기본물량!L25)))</f>
        <v>2</v>
      </c>
      <c r="I25" s="54" t="n">
        <f aca="false">IF(OR(배관기본물량!$G25="",배관기본물량!$B25&lt;&gt;"설치"),"",배관기본물량!P25)</f>
        <v>35.4</v>
      </c>
      <c r="J25" s="34" t="n">
        <f aca="false">IF(OR(배관기본물량!$G25="",배관기본물량!$B25&lt;&gt;"설치"),"",IF(배관기본물량!G25="PIPE",IF(AND(N(배관기본물량!I25)&gt;0,N(배관기본물량!I25)&gt;=배관기준!$AG$15),ROUNDUP(H25/배관기준!$AG$16,0)*배관기준!$AG$16,ROUNDUP(H25*(1+M25),0)),ROUND(H25*(1+M25),0)))</f>
        <v>2</v>
      </c>
      <c r="K25" s="54" t="n">
        <f aca="false">IF(OR(배관기본물량!$G25="",배관기본물량!$B25&lt;&gt;"설치"),"",IF(N(H25)&gt;0,IF(ISNUMBER(G25),J25*G25,0),I25*(1+M25)))</f>
        <v>35.4</v>
      </c>
      <c r="L25" s="16" t="str">
        <f aca="false">IF(OR(배관기본물량!$G25="",배관기본물량!$B25&lt;&gt;"설치"),"",IF(배관기본물량!V25&lt;&gt;"",배관기본물량!V25,IF(배관기본물량!G25="PIPE",IF(OR(LEFT(배관기본물량!F25,3)="STS",LEFT(배관기본물량!F25,3)="SUS"),"STS 강관",IF(N(배관기본물량!I25)&lt;=50,"강관(50A이하)","강관(50A초과)")),"배관 FITTING류(VALVE 外)")))</f>
        <v>배관 FITTING류(VALVE 外)</v>
      </c>
      <c r="M25" s="58" t="n">
        <f aca="false">IF(OR(배관기본물량!$G25="",배관기본물량!$B25&lt;&gt;"설치"),"",IFERROR(INDEX(제작기준!$B$5:$B$30,MATCH(L25,제작기준!$A$5:$A$30,0)),0))</f>
        <v>0.015</v>
      </c>
      <c r="N25" s="6" t="str">
        <f aca="false">IF(OR(배관기본물량!$G25="",배관기본물량!$B25&lt;&gt;"설치"),"",배관기본물량!$AB25)</f>
        <v>C/C</v>
      </c>
    </row>
    <row r="26" customFormat="false" ht="15" hidden="false" customHeight="true" outlineLevel="0" collapsed="false">
      <c r="A26" s="6" t="n">
        <f aca="false">IF(OR(배관기본물량!$G26="",배관기본물량!$B26&lt;&gt;"설치"),"",배관기본물량!A26)</f>
        <v>20</v>
      </c>
      <c r="B26" s="16" t="str">
        <f aca="false">IF(OR(배관기본물량!$G26="",배관기본물량!$B26&lt;&gt;"설치"),"",배관기본물량!H26)</f>
        <v>ELBOW 55LR SMLS BW</v>
      </c>
      <c r="C26" s="6" t="n">
        <f aca="false">IF(OR(배관기본물량!$G26="",배관기본물량!$B26&lt;&gt;"설치"),"",IF(배관기본물량!I26="","",배관기본물량!I26))</f>
        <v>250</v>
      </c>
      <c r="D26" s="6" t="str">
        <f aca="false">IF(OR(배관기본물량!$G26="",배관기본물량!$B26&lt;&gt;"설치"),"",배관기본물량!F26&amp;"")</f>
        <v>STPT370S</v>
      </c>
      <c r="E26" s="6" t="str">
        <f aca="false">IF(OR(배관기본물량!$G26="",배관기본물량!$B26&lt;&gt;"설치"),"",배관기본물량!K26&amp;"")</f>
        <v>EA</v>
      </c>
      <c r="F26" s="35" t="n">
        <f aca="false">IF(OR(배관기본물량!$G26="",배관기본물량!$B26&lt;&gt;"설치"),"",IF(배관기본물량!L26="","",배관기본물량!L26))</f>
        <v>1</v>
      </c>
      <c r="G26" s="37" t="n">
        <f aca="false">IF(OR(배관기본물량!$G26="",배관기본물량!$B26&lt;&gt;"설치"),"",IF(배관기본물량!G26="PIPE",배관기본물량!M26,IF(배관기본물량!N26="","",배관기본물량!N26)))</f>
        <v>17.7</v>
      </c>
      <c r="H26" s="35" t="n">
        <f aca="false">IF(OR(배관기본물량!$G26="",배관기본물량!$B26&lt;&gt;"설치"),"",IF(배관기본물량!G26="PIPE",N(배관기본물량!R26),N(배관기본물량!L26)))</f>
        <v>1</v>
      </c>
      <c r="I26" s="54" t="n">
        <f aca="false">IF(OR(배관기본물량!$G26="",배관기본물량!$B26&lt;&gt;"설치"),"",배관기본물량!P26)</f>
        <v>17.7</v>
      </c>
      <c r="J26" s="34" t="n">
        <f aca="false">IF(OR(배관기본물량!$G26="",배관기본물량!$B26&lt;&gt;"설치"),"",IF(배관기본물량!G26="PIPE",IF(AND(N(배관기본물량!I26)&gt;0,N(배관기본물량!I26)&gt;=배관기준!$AG$15),ROUNDUP(H26/배관기준!$AG$16,0)*배관기준!$AG$16,ROUNDUP(H26*(1+M26),0)),ROUND(H26*(1+M26),0)))</f>
        <v>1</v>
      </c>
      <c r="K26" s="54" t="n">
        <f aca="false">IF(OR(배관기본물량!$G26="",배관기본물량!$B26&lt;&gt;"설치"),"",IF(N(H26)&gt;0,IF(ISNUMBER(G26),J26*G26,0),I26*(1+M26)))</f>
        <v>17.7</v>
      </c>
      <c r="L26" s="16" t="str">
        <f aca="false">IF(OR(배관기본물량!$G26="",배관기본물량!$B26&lt;&gt;"설치"),"",IF(배관기본물량!V26&lt;&gt;"",배관기본물량!V26,IF(배관기본물량!G26="PIPE",IF(OR(LEFT(배관기본물량!F26,3)="STS",LEFT(배관기본물량!F26,3)="SUS"),"STS 강관",IF(N(배관기본물량!I26)&lt;=50,"강관(50A이하)","강관(50A초과)")),"배관 FITTING류(VALVE 外)")))</f>
        <v>배관 FITTING류(VALVE 外)</v>
      </c>
      <c r="M26" s="58" t="n">
        <f aca="false">IF(OR(배관기본물량!$G26="",배관기본물량!$B26&lt;&gt;"설치"),"",IFERROR(INDEX(제작기준!$B$5:$B$30,MATCH(L26,제작기준!$A$5:$A$30,0)),0))</f>
        <v>0.015</v>
      </c>
      <c r="N26" s="6" t="str">
        <f aca="false">IF(OR(배관기본물량!$G26="",배관기본물량!$B26&lt;&gt;"설치"),"",배관기본물량!$AB26)</f>
        <v>C/C</v>
      </c>
    </row>
    <row r="27" customFormat="false" ht="15" hidden="false" customHeight="true" outlineLevel="0" collapsed="false">
      <c r="A27" s="6" t="n">
        <f aca="false">IF(OR(배관기본물량!$G27="",배관기본물량!$B27&lt;&gt;"설치"),"",배관기본물량!A27)</f>
        <v>21</v>
      </c>
      <c r="B27" s="16" t="str">
        <f aca="false">IF(OR(배관기본물량!$G27="",배관기본물량!$B27&lt;&gt;"설치"),"",배관기본물량!H27)</f>
        <v>ELBOW 70LR SMLS BW</v>
      </c>
      <c r="C27" s="6" t="n">
        <f aca="false">IF(OR(배관기본물량!$G27="",배관기본물량!$B27&lt;&gt;"설치"),"",IF(배관기본물량!I27="","",배관기본물량!I27))</f>
        <v>250</v>
      </c>
      <c r="D27" s="6" t="str">
        <f aca="false">IF(OR(배관기본물량!$G27="",배관기본물량!$B27&lt;&gt;"설치"),"",배관기본물량!F27&amp;"")</f>
        <v>STPT370S</v>
      </c>
      <c r="E27" s="6" t="str">
        <f aca="false">IF(OR(배관기본물량!$G27="",배관기본물량!$B27&lt;&gt;"설치"),"",배관기본물량!K27&amp;"")</f>
        <v>EA</v>
      </c>
      <c r="F27" s="35" t="n">
        <f aca="false">IF(OR(배관기본물량!$G27="",배관기본물량!$B27&lt;&gt;"설치"),"",IF(배관기본물량!L27="","",배관기본물량!L27))</f>
        <v>2</v>
      </c>
      <c r="G27" s="37" t="n">
        <f aca="false">IF(OR(배관기본물량!$G27="",배관기본물량!$B27&lt;&gt;"설치"),"",IF(배관기본물량!G27="PIPE",배관기본물량!M27,IF(배관기본물량!N27="","",배관기본물량!N27)))</f>
        <v>18.2</v>
      </c>
      <c r="H27" s="35" t="n">
        <f aca="false">IF(OR(배관기본물량!$G27="",배관기본물량!$B27&lt;&gt;"설치"),"",IF(배관기본물량!G27="PIPE",N(배관기본물량!R27),N(배관기본물량!L27)))</f>
        <v>2</v>
      </c>
      <c r="I27" s="54" t="n">
        <f aca="false">IF(OR(배관기본물량!$G27="",배관기본물량!$B27&lt;&gt;"설치"),"",배관기본물량!P27)</f>
        <v>36.4</v>
      </c>
      <c r="J27" s="34" t="n">
        <f aca="false">IF(OR(배관기본물량!$G27="",배관기본물량!$B27&lt;&gt;"설치"),"",IF(배관기본물량!G27="PIPE",IF(AND(N(배관기본물량!I27)&gt;0,N(배관기본물량!I27)&gt;=배관기준!$AG$15),ROUNDUP(H27/배관기준!$AG$16,0)*배관기준!$AG$16,ROUNDUP(H27*(1+M27),0)),ROUND(H27*(1+M27),0)))</f>
        <v>2</v>
      </c>
      <c r="K27" s="54" t="n">
        <f aca="false">IF(OR(배관기본물량!$G27="",배관기본물량!$B27&lt;&gt;"설치"),"",IF(N(H27)&gt;0,IF(ISNUMBER(G27),J27*G27,0),I27*(1+M27)))</f>
        <v>36.4</v>
      </c>
      <c r="L27" s="16" t="str">
        <f aca="false">IF(OR(배관기본물량!$G27="",배관기본물량!$B27&lt;&gt;"설치"),"",IF(배관기본물량!V27&lt;&gt;"",배관기본물량!V27,IF(배관기본물량!G27="PIPE",IF(OR(LEFT(배관기본물량!F27,3)="STS",LEFT(배관기본물량!F27,3)="SUS"),"STS 강관",IF(N(배관기본물량!I27)&lt;=50,"강관(50A이하)","강관(50A초과)")),"배관 FITTING류(VALVE 外)")))</f>
        <v>배관 FITTING류(VALVE 外)</v>
      </c>
      <c r="M27" s="58" t="n">
        <f aca="false">IF(OR(배관기본물량!$G27="",배관기본물량!$B27&lt;&gt;"설치"),"",IFERROR(INDEX(제작기준!$B$5:$B$30,MATCH(L27,제작기준!$A$5:$A$30,0)),0))</f>
        <v>0.015</v>
      </c>
      <c r="N27" s="6" t="str">
        <f aca="false">IF(OR(배관기본물량!$G27="",배관기본물량!$B27&lt;&gt;"설치"),"",배관기본물량!$AB27)</f>
        <v>C/C</v>
      </c>
    </row>
    <row r="28" customFormat="false" ht="15" hidden="false" customHeight="true" outlineLevel="0" collapsed="false">
      <c r="A28" s="6" t="n">
        <f aca="false">IF(OR(배관기본물량!$G28="",배관기본물량!$B28&lt;&gt;"설치"),"",배관기본물량!A28)</f>
        <v>22</v>
      </c>
      <c r="B28" s="16" t="str">
        <f aca="false">IF(OR(배관기본물량!$G28="",배관기본물량!$B28&lt;&gt;"설치"),"",배관기본물량!H28)</f>
        <v>ELBOW 90LR SMLS BW</v>
      </c>
      <c r="C28" s="6" t="n">
        <f aca="false">IF(OR(배관기본물량!$G28="",배관기본물량!$B28&lt;&gt;"설치"),"",IF(배관기본물량!I28="","",배관기본물량!I28))</f>
        <v>250</v>
      </c>
      <c r="D28" s="6" t="str">
        <f aca="false">IF(OR(배관기본물량!$G28="",배관기본물량!$B28&lt;&gt;"설치"),"",배관기본물량!F28&amp;"")</f>
        <v>STPT370S</v>
      </c>
      <c r="E28" s="6" t="str">
        <f aca="false">IF(OR(배관기본물량!$G28="",배관기본물량!$B28&lt;&gt;"설치"),"",배관기본물량!K28&amp;"")</f>
        <v>EA</v>
      </c>
      <c r="F28" s="35" t="n">
        <f aca="false">IF(OR(배관기본물량!$G28="",배관기본물량!$B28&lt;&gt;"설치"),"",IF(배관기본물량!L28="","",배관기본물량!L28))</f>
        <v>1</v>
      </c>
      <c r="G28" s="37" t="n">
        <f aca="false">IF(OR(배관기본물량!$G28="",배관기본물량!$B28&lt;&gt;"설치"),"",IF(배관기본물량!G28="PIPE",배관기본물량!M28,IF(배관기본물량!N28="","",배관기본물량!N28)))</f>
        <v>20.2</v>
      </c>
      <c r="H28" s="35" t="n">
        <f aca="false">IF(OR(배관기본물량!$G28="",배관기본물량!$B28&lt;&gt;"설치"),"",IF(배관기본물량!G28="PIPE",N(배관기본물량!R28),N(배관기본물량!L28)))</f>
        <v>1</v>
      </c>
      <c r="I28" s="54" t="n">
        <f aca="false">IF(OR(배관기본물량!$G28="",배관기본물량!$B28&lt;&gt;"설치"),"",배관기본물량!P28)</f>
        <v>20.2</v>
      </c>
      <c r="J28" s="34" t="n">
        <f aca="false">IF(OR(배관기본물량!$G28="",배관기본물량!$B28&lt;&gt;"설치"),"",IF(배관기본물량!G28="PIPE",IF(AND(N(배관기본물량!I28)&gt;0,N(배관기본물량!I28)&gt;=배관기준!$AG$15),ROUNDUP(H28/배관기준!$AG$16,0)*배관기준!$AG$16,ROUNDUP(H28*(1+M28),0)),ROUND(H28*(1+M28),0)))</f>
        <v>1</v>
      </c>
      <c r="K28" s="54" t="n">
        <f aca="false">IF(OR(배관기본물량!$G28="",배관기본물량!$B28&lt;&gt;"설치"),"",IF(N(H28)&gt;0,IF(ISNUMBER(G28),J28*G28,0),I28*(1+M28)))</f>
        <v>20.2</v>
      </c>
      <c r="L28" s="16" t="str">
        <f aca="false">IF(OR(배관기본물량!$G28="",배관기본물량!$B28&lt;&gt;"설치"),"",IF(배관기본물량!V28&lt;&gt;"",배관기본물량!V28,IF(배관기본물량!G28="PIPE",IF(OR(LEFT(배관기본물량!F28,3)="STS",LEFT(배관기본물량!F28,3)="SUS"),"STS 강관",IF(N(배관기본물량!I28)&lt;=50,"강관(50A이하)","강관(50A초과)")),"배관 FITTING류(VALVE 外)")))</f>
        <v>배관 FITTING류(VALVE 外)</v>
      </c>
      <c r="M28" s="58" t="n">
        <f aca="false">IF(OR(배관기본물량!$G28="",배관기본물량!$B28&lt;&gt;"설치"),"",IFERROR(INDEX(제작기준!$B$5:$B$30,MATCH(L28,제작기준!$A$5:$A$30,0)),0))</f>
        <v>0.015</v>
      </c>
      <c r="N28" s="6" t="str">
        <f aca="false">IF(OR(배관기본물량!$G28="",배관기본물량!$B28&lt;&gt;"설치"),"",배관기본물량!$AB28)</f>
        <v>C/C</v>
      </c>
    </row>
    <row r="29" customFormat="false" ht="15" hidden="false" customHeight="true" outlineLevel="0" collapsed="false">
      <c r="A29" s="6" t="n">
        <f aca="false">IF(OR(배관기본물량!$G29="",배관기본물량!$B29&lt;&gt;"설치"),"",배관기본물량!A29)</f>
        <v>23</v>
      </c>
      <c r="B29" s="16" t="str">
        <f aca="false">IF(OR(배관기본물량!$G29="",배관기본물량!$B29&lt;&gt;"설치"),"",배관기본물량!H29)</f>
        <v>ELBOW 45LR SMLS BW</v>
      </c>
      <c r="C29" s="6" t="n">
        <f aca="false">IF(OR(배관기본물량!$G29="",배관기본물량!$B29&lt;&gt;"설치"),"",IF(배관기본물량!I29="","",배관기본물량!I29))</f>
        <v>300</v>
      </c>
      <c r="D29" s="6" t="str">
        <f aca="false">IF(OR(배관기본물량!$G29="",배관기본물량!$B29&lt;&gt;"설치"),"",배관기본물량!F29&amp;"")</f>
        <v>STPT370S</v>
      </c>
      <c r="E29" s="6" t="str">
        <f aca="false">IF(OR(배관기본물량!$G29="",배관기본물량!$B29&lt;&gt;"설치"),"",배관기본물량!K29&amp;"")</f>
        <v>EA</v>
      </c>
      <c r="F29" s="35" t="n">
        <f aca="false">IF(OR(배관기본물량!$G29="",배관기본물량!$B29&lt;&gt;"설치"),"",IF(배관기본물량!L29="","",배관기본물량!L29))</f>
        <v>1</v>
      </c>
      <c r="G29" s="37" t="n">
        <f aca="false">IF(OR(배관기본물량!$G29="",배관기본물량!$B29&lt;&gt;"설치"),"",IF(배관기본물량!G29="PIPE",배관기본물량!M29,IF(배관기본물량!N29="","",배관기본물량!N29)))</f>
        <v>28</v>
      </c>
      <c r="H29" s="35" t="n">
        <f aca="false">IF(OR(배관기본물량!$G29="",배관기본물량!$B29&lt;&gt;"설치"),"",IF(배관기본물량!G29="PIPE",N(배관기본물량!R29),N(배관기본물량!L29)))</f>
        <v>1</v>
      </c>
      <c r="I29" s="54" t="n">
        <f aca="false">IF(OR(배관기본물량!$G29="",배관기본물량!$B29&lt;&gt;"설치"),"",배관기본물량!P29)</f>
        <v>28</v>
      </c>
      <c r="J29" s="34" t="n">
        <f aca="false">IF(OR(배관기본물량!$G29="",배관기본물량!$B29&lt;&gt;"설치"),"",IF(배관기본물량!G29="PIPE",IF(AND(N(배관기본물량!I29)&gt;0,N(배관기본물량!I29)&gt;=배관기준!$AG$15),ROUNDUP(H29/배관기준!$AG$16,0)*배관기준!$AG$16,ROUNDUP(H29*(1+M29),0)),ROUND(H29*(1+M29),0)))</f>
        <v>1</v>
      </c>
      <c r="K29" s="54" t="n">
        <f aca="false">IF(OR(배관기본물량!$G29="",배관기본물량!$B29&lt;&gt;"설치"),"",IF(N(H29)&gt;0,IF(ISNUMBER(G29),J29*G29,0),I29*(1+M29)))</f>
        <v>28</v>
      </c>
      <c r="L29" s="16" t="str">
        <f aca="false">IF(OR(배관기본물량!$G29="",배관기본물량!$B29&lt;&gt;"설치"),"",IF(배관기본물량!V29&lt;&gt;"",배관기본물량!V29,IF(배관기본물량!G29="PIPE",IF(OR(LEFT(배관기본물량!F29,3)="STS",LEFT(배관기본물량!F29,3)="SUS"),"STS 강관",IF(N(배관기본물량!I29)&lt;=50,"강관(50A이하)","강관(50A초과)")),"배관 FITTING류(VALVE 外)")))</f>
        <v>배관 FITTING류(VALVE 外)</v>
      </c>
      <c r="M29" s="58" t="n">
        <f aca="false">IF(OR(배관기본물량!$G29="",배관기본물량!$B29&lt;&gt;"설치"),"",IFERROR(INDEX(제작기준!$B$5:$B$30,MATCH(L29,제작기준!$A$5:$A$30,0)),0))</f>
        <v>0.015</v>
      </c>
      <c r="N29" s="6" t="str">
        <f aca="false">IF(OR(배관기본물량!$G29="",배관기본물량!$B29&lt;&gt;"설치"),"",배관기본물량!$AB29)</f>
        <v>C/C</v>
      </c>
    </row>
    <row r="30" customFormat="false" ht="15" hidden="false" customHeight="true" outlineLevel="0" collapsed="false">
      <c r="A30" s="6" t="n">
        <f aca="false">IF(OR(배관기본물량!$G30="",배관기본물량!$B30&lt;&gt;"설치"),"",배관기본물량!A30)</f>
        <v>24</v>
      </c>
      <c r="B30" s="16" t="str">
        <f aca="false">IF(OR(배관기본물량!$G30="",배관기본물량!$B30&lt;&gt;"설치"),"",배관기본물량!H30)</f>
        <v>ELBOW 90LR SMLS BW</v>
      </c>
      <c r="C30" s="6" t="n">
        <f aca="false">IF(OR(배관기본물량!$G30="",배관기본물량!$B30&lt;&gt;"설치"),"",IF(배관기본물량!I30="","",배관기본물량!I30))</f>
        <v>300</v>
      </c>
      <c r="D30" s="6" t="str">
        <f aca="false">IF(OR(배관기본물량!$G30="",배관기본물량!$B30&lt;&gt;"설치"),"",배관기본물량!F30&amp;"")</f>
        <v>STPT370S</v>
      </c>
      <c r="E30" s="6" t="str">
        <f aca="false">IF(OR(배관기본물량!$G30="",배관기본물량!$B30&lt;&gt;"설치"),"",배관기본물량!K30&amp;"")</f>
        <v>EA</v>
      </c>
      <c r="F30" s="35" t="n">
        <f aca="false">IF(OR(배관기본물량!$G30="",배관기본물량!$B30&lt;&gt;"설치"),"",IF(배관기본물량!L30="","",배관기본물량!L30))</f>
        <v>1</v>
      </c>
      <c r="G30" s="37" t="n">
        <f aca="false">IF(OR(배관기본물량!$G30="",배관기본물량!$B30&lt;&gt;"설치"),"",IF(배관기본물량!G30="PIPE",배관기본물량!M30,IF(배관기본물량!N30="","",배관기본물량!N30)))</f>
        <v>56.2</v>
      </c>
      <c r="H30" s="35" t="n">
        <f aca="false">IF(OR(배관기본물량!$G30="",배관기본물량!$B30&lt;&gt;"설치"),"",IF(배관기본물량!G30="PIPE",N(배관기본물량!R30),N(배관기본물량!L30)))</f>
        <v>1</v>
      </c>
      <c r="I30" s="54" t="n">
        <f aca="false">IF(OR(배관기본물량!$G30="",배관기본물량!$B30&lt;&gt;"설치"),"",배관기본물량!P30)</f>
        <v>56.2</v>
      </c>
      <c r="J30" s="34" t="n">
        <f aca="false">IF(OR(배관기본물량!$G30="",배관기본물량!$B30&lt;&gt;"설치"),"",IF(배관기본물량!G30="PIPE",IF(AND(N(배관기본물량!I30)&gt;0,N(배관기본물량!I30)&gt;=배관기준!$AG$15),ROUNDUP(H30/배관기준!$AG$16,0)*배관기준!$AG$16,ROUNDUP(H30*(1+M30),0)),ROUND(H30*(1+M30),0)))</f>
        <v>1</v>
      </c>
      <c r="K30" s="54" t="n">
        <f aca="false">IF(OR(배관기본물량!$G30="",배관기본물량!$B30&lt;&gt;"설치"),"",IF(N(H30)&gt;0,IF(ISNUMBER(G30),J30*G30,0),I30*(1+M30)))</f>
        <v>56.2</v>
      </c>
      <c r="L30" s="16" t="str">
        <f aca="false">IF(OR(배관기본물량!$G30="",배관기본물량!$B30&lt;&gt;"설치"),"",IF(배관기본물량!V30&lt;&gt;"",배관기본물량!V30,IF(배관기본물량!G30="PIPE",IF(OR(LEFT(배관기본물량!F30,3)="STS",LEFT(배관기본물량!F30,3)="SUS"),"STS 강관",IF(N(배관기본물량!I30)&lt;=50,"강관(50A이하)","강관(50A초과)")),"배관 FITTING류(VALVE 外)")))</f>
        <v>배관 FITTING류(VALVE 外)</v>
      </c>
      <c r="M30" s="58" t="n">
        <f aca="false">IF(OR(배관기본물량!$G30="",배관기본물량!$B30&lt;&gt;"설치"),"",IFERROR(INDEX(제작기준!$B$5:$B$30,MATCH(L30,제작기준!$A$5:$A$30,0)),0))</f>
        <v>0.015</v>
      </c>
      <c r="N30" s="6" t="str">
        <f aca="false">IF(OR(배관기본물량!$G30="",배관기본물량!$B30&lt;&gt;"설치"),"",배관기본물량!$AB30)</f>
        <v>C/C</v>
      </c>
    </row>
    <row r="31" customFormat="false" ht="15" hidden="false" customHeight="true" outlineLevel="0" collapsed="false">
      <c r="A31" s="6" t="n">
        <f aca="false">IF(OR(배관기본물량!$G31="",배관기본물량!$B31&lt;&gt;"설치"),"",배관기본물량!A31)</f>
        <v>25</v>
      </c>
      <c r="B31" s="16" t="str">
        <f aca="false">IF(OR(배관기본물량!$G31="",배관기본물량!$B31&lt;&gt;"설치"),"",배관기본물량!H31)</f>
        <v>ELBOW 90SR SMLS BW</v>
      </c>
      <c r="C31" s="6" t="n">
        <f aca="false">IF(OR(배관기본물량!$G31="",배관기본물량!$B31&lt;&gt;"설치"),"",IF(배관기본물량!I31="","",배관기본물량!I31))</f>
        <v>300</v>
      </c>
      <c r="D31" s="6" t="str">
        <f aca="false">IF(OR(배관기본물량!$G31="",배관기본물량!$B31&lt;&gt;"설치"),"",배관기본물량!F31&amp;"")</f>
        <v>STPT370S</v>
      </c>
      <c r="E31" s="6" t="str">
        <f aca="false">IF(OR(배관기본물량!$G31="",배관기본물량!$B31&lt;&gt;"설치"),"",배관기본물량!K31&amp;"")</f>
        <v>EA</v>
      </c>
      <c r="F31" s="35" t="n">
        <f aca="false">IF(OR(배관기본물량!$G31="",배관기본물량!$B31&lt;&gt;"설치"),"",IF(배관기본물량!L31="","",배관기본물량!L31))</f>
        <v>1</v>
      </c>
      <c r="G31" s="37" t="n">
        <f aca="false">IF(OR(배관기본물량!$G31="",배관기본물량!$B31&lt;&gt;"설치"),"",IF(배관기본물량!G31="PIPE",배관기본물량!M31,IF(배관기본물량!N31="","",배관기본물량!N31)))</f>
        <v>56.2</v>
      </c>
      <c r="H31" s="35" t="n">
        <f aca="false">IF(OR(배관기본물량!$G31="",배관기본물량!$B31&lt;&gt;"설치"),"",IF(배관기본물량!G31="PIPE",N(배관기본물량!R31),N(배관기본물량!L31)))</f>
        <v>1</v>
      </c>
      <c r="I31" s="54" t="n">
        <f aca="false">IF(OR(배관기본물량!$G31="",배관기본물량!$B31&lt;&gt;"설치"),"",배관기본물량!P31)</f>
        <v>56.2</v>
      </c>
      <c r="J31" s="34" t="n">
        <f aca="false">IF(OR(배관기본물량!$G31="",배관기본물량!$B31&lt;&gt;"설치"),"",IF(배관기본물량!G31="PIPE",IF(AND(N(배관기본물량!I31)&gt;0,N(배관기본물량!I31)&gt;=배관기준!$AG$15),ROUNDUP(H31/배관기준!$AG$16,0)*배관기준!$AG$16,ROUNDUP(H31*(1+M31),0)),ROUND(H31*(1+M31),0)))</f>
        <v>1</v>
      </c>
      <c r="K31" s="54" t="n">
        <f aca="false">IF(OR(배관기본물량!$G31="",배관기본물량!$B31&lt;&gt;"설치"),"",IF(N(H31)&gt;0,IF(ISNUMBER(G31),J31*G31,0),I31*(1+M31)))</f>
        <v>56.2</v>
      </c>
      <c r="L31" s="16" t="str">
        <f aca="false">IF(OR(배관기본물량!$G31="",배관기본물량!$B31&lt;&gt;"설치"),"",IF(배관기본물량!V31&lt;&gt;"",배관기본물량!V31,IF(배관기본물량!G31="PIPE",IF(OR(LEFT(배관기본물량!F31,3)="STS",LEFT(배관기본물량!F31,3)="SUS"),"STS 강관",IF(N(배관기본물량!I31)&lt;=50,"강관(50A이하)","강관(50A초과)")),"배관 FITTING류(VALVE 外)")))</f>
        <v>배관 FITTING류(VALVE 外)</v>
      </c>
      <c r="M31" s="58" t="n">
        <f aca="false">IF(OR(배관기본물량!$G31="",배관기본물량!$B31&lt;&gt;"설치"),"",IFERROR(INDEX(제작기준!$B$5:$B$30,MATCH(L31,제작기준!$A$5:$A$30,0)),0))</f>
        <v>0.015</v>
      </c>
      <c r="N31" s="6" t="str">
        <f aca="false">IF(OR(배관기본물량!$G31="",배관기본물량!$B31&lt;&gt;"설치"),"",배관기본물량!$AB31)</f>
        <v>C/C</v>
      </c>
    </row>
    <row r="32" customFormat="false" ht="15" hidden="false" customHeight="true" outlineLevel="0" collapsed="false">
      <c r="A32" s="6" t="n">
        <f aca="false">IF(OR(배관기본물량!$G32="",배관기본물량!$B32&lt;&gt;"설치"),"",배관기본물량!A32)</f>
        <v>26</v>
      </c>
      <c r="B32" s="16" t="str">
        <f aca="false">IF(OR(배관기본물량!$G32="",배관기본물량!$B32&lt;&gt;"설치"),"",배관기본물량!H32)</f>
        <v>FLANGE SO FF /10K</v>
      </c>
      <c r="C32" s="6" t="n">
        <f aca="false">IF(OR(배관기본물량!$G32="",배관기본물량!$B32&lt;&gt;"설치"),"",IF(배관기본물량!I32="","",배관기본물량!I32))</f>
        <v>15</v>
      </c>
      <c r="D32" s="6" t="str">
        <f aca="false">IF(OR(배관기본물량!$G32="",배관기본물량!$B32&lt;&gt;"설치"),"",배관기본물량!F32&amp;"")</f>
        <v>SS400</v>
      </c>
      <c r="E32" s="6" t="str">
        <f aca="false">IF(OR(배관기본물량!$G32="",배관기본물량!$B32&lt;&gt;"설치"),"",배관기본물량!K32&amp;"")</f>
        <v>EA</v>
      </c>
      <c r="F32" s="35" t="n">
        <f aca="false">IF(OR(배관기본물량!$G32="",배관기본물량!$B32&lt;&gt;"설치"),"",IF(배관기본물량!L32="","",배관기본물량!L32))</f>
        <v>6</v>
      </c>
      <c r="G32" s="37" t="n">
        <f aca="false">IF(OR(배관기본물량!$G32="",배관기본물량!$B32&lt;&gt;"설치"),"",IF(배관기본물량!G32="PIPE",배관기본물량!M32,IF(배관기본물량!N32="","",배관기본물량!N32)))</f>
        <v>0.6</v>
      </c>
      <c r="H32" s="35" t="n">
        <f aca="false">IF(OR(배관기본물량!$G32="",배관기본물량!$B32&lt;&gt;"설치"),"",IF(배관기본물량!G32="PIPE",N(배관기본물량!R32),N(배관기본물량!L32)))</f>
        <v>6</v>
      </c>
      <c r="I32" s="54" t="n">
        <f aca="false">IF(OR(배관기본물량!$G32="",배관기본물량!$B32&lt;&gt;"설치"),"",배관기본물량!P32)</f>
        <v>3.6</v>
      </c>
      <c r="J32" s="34" t="n">
        <f aca="false">IF(OR(배관기본물량!$G32="",배관기본물량!$B32&lt;&gt;"설치"),"",IF(배관기본물량!G32="PIPE",IF(AND(N(배관기본물량!I32)&gt;0,N(배관기본물량!I32)&gt;=배관기준!$AG$15),ROUNDUP(H32/배관기준!$AG$16,0)*배관기준!$AG$16,ROUNDUP(H32*(1+M32),0)),ROUND(H32*(1+M32),0)))</f>
        <v>6</v>
      </c>
      <c r="K32" s="54" t="n">
        <f aca="false">IF(OR(배관기본물량!$G32="",배관기본물량!$B32&lt;&gt;"설치"),"",IF(N(H32)&gt;0,IF(ISNUMBER(G32),J32*G32,0),I32*(1+M32)))</f>
        <v>3.6</v>
      </c>
      <c r="L32" s="16" t="str">
        <f aca="false">IF(OR(배관기본물량!$G32="",배관기본물량!$B32&lt;&gt;"설치"),"",IF(배관기본물량!V32&lt;&gt;"",배관기본물량!V32,IF(배관기본물량!G32="PIPE",IF(OR(LEFT(배관기본물량!F32,3)="STS",LEFT(배관기본물량!F32,3)="SUS"),"STS 강관",IF(N(배관기본물량!I32)&lt;=50,"강관(50A이하)","강관(50A초과)")),"배관 FITTING류(VALVE 外)")))</f>
        <v>배관 FITTING류(VALVE 外)</v>
      </c>
      <c r="M32" s="58" t="n">
        <f aca="false">IF(OR(배관기본물량!$G32="",배관기본물량!$B32&lt;&gt;"설치"),"",IFERROR(INDEX(제작기준!$B$5:$B$30,MATCH(L32,제작기준!$A$5:$A$30,0)),0))</f>
        <v>0.015</v>
      </c>
      <c r="N32" s="6" t="str">
        <f aca="false">IF(OR(배관기본물량!$G32="",배관기본물량!$B32&lt;&gt;"설치"),"",배관기본물량!$AB32)</f>
        <v>C/C</v>
      </c>
    </row>
    <row r="33" customFormat="false" ht="15" hidden="false" customHeight="true" outlineLevel="0" collapsed="false">
      <c r="A33" s="6" t="n">
        <f aca="false">IF(OR(배관기본물량!$G33="",배관기본물량!$B33&lt;&gt;"설치"),"",배관기본물량!A33)</f>
        <v>27</v>
      </c>
      <c r="B33" s="16" t="str">
        <f aca="false">IF(OR(배관기본물량!$G33="",배관기본물량!$B33&lt;&gt;"설치"),"",배관기본물량!H33)</f>
        <v>FLANGE SO.FF /10K</v>
      </c>
      <c r="C33" s="6" t="n">
        <f aca="false">IF(OR(배관기본물량!$G33="",배관기본물량!$B33&lt;&gt;"설치"),"",IF(배관기본물량!I33="","",배관기본물량!I33))</f>
        <v>50</v>
      </c>
      <c r="D33" s="6" t="str">
        <f aca="false">IF(OR(배관기본물량!$G33="",배관기본물량!$B33&lt;&gt;"설치"),"",배관기본물량!F33&amp;"")</f>
        <v>SS400</v>
      </c>
      <c r="E33" s="6" t="str">
        <f aca="false">IF(OR(배관기본물량!$G33="",배관기본물량!$B33&lt;&gt;"설치"),"",배관기본물량!K33&amp;"")</f>
        <v>EA</v>
      </c>
      <c r="F33" s="35" t="n">
        <f aca="false">IF(OR(배관기본물량!$G33="",배관기본물량!$B33&lt;&gt;"설치"),"",IF(배관기본물량!L33="","",배관기본물량!L33))</f>
        <v>6</v>
      </c>
      <c r="G33" s="37" t="n">
        <f aca="false">IF(OR(배관기본물량!$G33="",배관기본물량!$B33&lt;&gt;"설치"),"",IF(배관기본물량!G33="PIPE",배관기본물량!M33,IF(배관기본물량!N33="","",배관기본물량!N33)))</f>
        <v>1.9</v>
      </c>
      <c r="H33" s="35" t="n">
        <f aca="false">IF(OR(배관기본물량!$G33="",배관기본물량!$B33&lt;&gt;"설치"),"",IF(배관기본물량!G33="PIPE",N(배관기본물량!R33),N(배관기본물량!L33)))</f>
        <v>6</v>
      </c>
      <c r="I33" s="54" t="n">
        <f aca="false">IF(OR(배관기본물량!$G33="",배관기본물량!$B33&lt;&gt;"설치"),"",배관기본물량!P33)</f>
        <v>11.4</v>
      </c>
      <c r="J33" s="34" t="n">
        <f aca="false">IF(OR(배관기본물량!$G33="",배관기본물량!$B33&lt;&gt;"설치"),"",IF(배관기본물량!G33="PIPE",IF(AND(N(배관기본물량!I33)&gt;0,N(배관기본물량!I33)&gt;=배관기준!$AG$15),ROUNDUP(H33/배관기준!$AG$16,0)*배관기준!$AG$16,ROUNDUP(H33*(1+M33),0)),ROUND(H33*(1+M33),0)))</f>
        <v>6</v>
      </c>
      <c r="K33" s="54" t="n">
        <f aca="false">IF(OR(배관기본물량!$G33="",배관기본물량!$B33&lt;&gt;"설치"),"",IF(N(H33)&gt;0,IF(ISNUMBER(G33),J33*G33,0),I33*(1+M33)))</f>
        <v>11.4</v>
      </c>
      <c r="L33" s="16" t="str">
        <f aca="false">IF(OR(배관기본물량!$G33="",배관기본물량!$B33&lt;&gt;"설치"),"",IF(배관기본물량!V33&lt;&gt;"",배관기본물량!V33,IF(배관기본물량!G33="PIPE",IF(OR(LEFT(배관기본물량!F33,3)="STS",LEFT(배관기본물량!F33,3)="SUS"),"STS 강관",IF(N(배관기본물량!I33)&lt;=50,"강관(50A이하)","강관(50A초과)")),"배관 FITTING류(VALVE 外)")))</f>
        <v>배관 FITTING류(VALVE 外)</v>
      </c>
      <c r="M33" s="58" t="n">
        <f aca="false">IF(OR(배관기본물량!$G33="",배관기본물량!$B33&lt;&gt;"설치"),"",IFERROR(INDEX(제작기준!$B$5:$B$30,MATCH(L33,제작기준!$A$5:$A$30,0)),0))</f>
        <v>0.015</v>
      </c>
      <c r="N33" s="6" t="str">
        <f aca="false">IF(OR(배관기본물량!$G33="",배관기본물량!$B33&lt;&gt;"설치"),"",배관기본물량!$AB33)</f>
        <v>C/C</v>
      </c>
    </row>
    <row r="34" customFormat="false" ht="15" hidden="false" customHeight="true" outlineLevel="0" collapsed="false">
      <c r="A34" s="6" t="n">
        <f aca="false">IF(OR(배관기본물량!$G34="",배관기본물량!$B34&lt;&gt;"설치"),"",배관기본물량!A34)</f>
        <v>28</v>
      </c>
      <c r="B34" s="16" t="str">
        <f aca="false">IF(OR(배관기본물량!$G34="",배관기본물량!$B34&lt;&gt;"설치"),"",배관기본물량!H34)</f>
        <v>FLANGE SO.FF /10K</v>
      </c>
      <c r="C34" s="6" t="n">
        <f aca="false">IF(OR(배관기본물량!$G34="",배관기본물량!$B34&lt;&gt;"설치"),"",IF(배관기본물량!I34="","",배관기본물량!I34))</f>
        <v>80</v>
      </c>
      <c r="D34" s="6" t="str">
        <f aca="false">IF(OR(배관기본물량!$G34="",배관기본물량!$B34&lt;&gt;"설치"),"",배관기본물량!F34&amp;"")</f>
        <v>SS400</v>
      </c>
      <c r="E34" s="6" t="str">
        <f aca="false">IF(OR(배관기본물량!$G34="",배관기본물량!$B34&lt;&gt;"설치"),"",배관기본물량!K34&amp;"")</f>
        <v>EA</v>
      </c>
      <c r="F34" s="35" t="n">
        <f aca="false">IF(OR(배관기본물량!$G34="",배관기본물량!$B34&lt;&gt;"설치"),"",IF(배관기본물량!L34="","",배관기본물량!L34))</f>
        <v>1</v>
      </c>
      <c r="G34" s="37" t="n">
        <f aca="false">IF(OR(배관기본물량!$G34="",배관기본물량!$B34&lt;&gt;"설치"),"",IF(배관기본물량!G34="PIPE",배관기본물량!M34,IF(배관기본물량!N34="","",배관기본물량!N34)))</f>
        <v>2.6</v>
      </c>
      <c r="H34" s="35" t="n">
        <f aca="false">IF(OR(배관기본물량!$G34="",배관기본물량!$B34&lt;&gt;"설치"),"",IF(배관기본물량!G34="PIPE",N(배관기본물량!R34),N(배관기본물량!L34)))</f>
        <v>1</v>
      </c>
      <c r="I34" s="54" t="n">
        <f aca="false">IF(OR(배관기본물량!$G34="",배관기본물량!$B34&lt;&gt;"설치"),"",배관기본물량!P34)</f>
        <v>2.6</v>
      </c>
      <c r="J34" s="34" t="n">
        <f aca="false">IF(OR(배관기본물량!$G34="",배관기본물량!$B34&lt;&gt;"설치"),"",IF(배관기본물량!G34="PIPE",IF(AND(N(배관기본물량!I34)&gt;0,N(배관기본물량!I34)&gt;=배관기준!$AG$15),ROUNDUP(H34/배관기준!$AG$16,0)*배관기준!$AG$16,ROUNDUP(H34*(1+M34),0)),ROUND(H34*(1+M34),0)))</f>
        <v>1</v>
      </c>
      <c r="K34" s="54" t="n">
        <f aca="false">IF(OR(배관기본물량!$G34="",배관기본물량!$B34&lt;&gt;"설치"),"",IF(N(H34)&gt;0,IF(ISNUMBER(G34),J34*G34,0),I34*(1+M34)))</f>
        <v>2.6</v>
      </c>
      <c r="L34" s="16" t="str">
        <f aca="false">IF(OR(배관기본물량!$G34="",배관기본물량!$B34&lt;&gt;"설치"),"",IF(배관기본물량!V34&lt;&gt;"",배관기본물량!V34,IF(배관기본물량!G34="PIPE",IF(OR(LEFT(배관기본물량!F34,3)="STS",LEFT(배관기본물량!F34,3)="SUS"),"STS 강관",IF(N(배관기본물량!I34)&lt;=50,"강관(50A이하)","강관(50A초과)")),"배관 FITTING류(VALVE 外)")))</f>
        <v>배관 FITTING류(VALVE 外)</v>
      </c>
      <c r="M34" s="58" t="n">
        <f aca="false">IF(OR(배관기본물량!$G34="",배관기본물량!$B34&lt;&gt;"설치"),"",IFERROR(INDEX(제작기준!$B$5:$B$30,MATCH(L34,제작기준!$A$5:$A$30,0)),0))</f>
        <v>0.015</v>
      </c>
      <c r="N34" s="6" t="str">
        <f aca="false">IF(OR(배관기본물량!$G34="",배관기본물량!$B34&lt;&gt;"설치"),"",배관기본물량!$AB34)</f>
        <v>C/C</v>
      </c>
    </row>
    <row r="35" customFormat="false" ht="15" hidden="false" customHeight="true" outlineLevel="0" collapsed="false">
      <c r="A35" s="6" t="n">
        <f aca="false">IF(OR(배관기본물량!$G35="",배관기본물량!$B35&lt;&gt;"설치"),"",배관기본물량!A35)</f>
        <v>29</v>
      </c>
      <c r="B35" s="16" t="str">
        <f aca="false">IF(OR(배관기본물량!$G35="",배관기본물량!$B35&lt;&gt;"설치"),"",배관기본물량!H35)</f>
        <v>FLANGE SO FF /10K</v>
      </c>
      <c r="C35" s="6" t="n">
        <f aca="false">IF(OR(배관기본물량!$G35="",배관기본물량!$B35&lt;&gt;"설치"),"",IF(배관기본물량!I35="","",배관기본물량!I35))</f>
        <v>150</v>
      </c>
      <c r="D35" s="6" t="str">
        <f aca="false">IF(OR(배관기본물량!$G35="",배관기본물량!$B35&lt;&gt;"설치"),"",배관기본물량!F35&amp;"")</f>
        <v>SS400</v>
      </c>
      <c r="E35" s="6" t="str">
        <f aca="false">IF(OR(배관기본물량!$G35="",배관기본물량!$B35&lt;&gt;"설치"),"",배관기본물량!K35&amp;"")</f>
        <v>EA</v>
      </c>
      <c r="F35" s="35" t="n">
        <f aca="false">IF(OR(배관기본물량!$G35="",배관기본물량!$B35&lt;&gt;"설치"),"",IF(배관기본물량!L35="","",배관기본물량!L35))</f>
        <v>10</v>
      </c>
      <c r="G35" s="37" t="n">
        <f aca="false">IF(OR(배관기본물량!$G35="",배관기본물량!$B35&lt;&gt;"설치"),"",IF(배관기본물량!G35="PIPE",배관기본물량!M35,IF(배관기본물량!N35="","",배관기본물량!N35)))</f>
        <v>6.3</v>
      </c>
      <c r="H35" s="35" t="n">
        <f aca="false">IF(OR(배관기본물량!$G35="",배관기본물량!$B35&lt;&gt;"설치"),"",IF(배관기본물량!G35="PIPE",N(배관기본물량!R35),N(배관기본물량!L35)))</f>
        <v>10</v>
      </c>
      <c r="I35" s="54" t="n">
        <f aca="false">IF(OR(배관기본물량!$G35="",배관기본물량!$B35&lt;&gt;"설치"),"",배관기본물량!P35)</f>
        <v>63</v>
      </c>
      <c r="J35" s="34" t="n">
        <f aca="false">IF(OR(배관기본물량!$G35="",배관기본물량!$B35&lt;&gt;"설치"),"",IF(배관기본물량!G35="PIPE",IF(AND(N(배관기본물량!I35)&gt;0,N(배관기본물량!I35)&gt;=배관기준!$AG$15),ROUNDUP(H35/배관기준!$AG$16,0)*배관기준!$AG$16,ROUNDUP(H35*(1+M35),0)),ROUND(H35*(1+M35),0)))</f>
        <v>10</v>
      </c>
      <c r="K35" s="54" t="n">
        <f aca="false">IF(OR(배관기본물량!$G35="",배관기본물량!$B35&lt;&gt;"설치"),"",IF(N(H35)&gt;0,IF(ISNUMBER(G35),J35*G35,0),I35*(1+M35)))</f>
        <v>63</v>
      </c>
      <c r="L35" s="16" t="str">
        <f aca="false">IF(OR(배관기본물량!$G35="",배관기본물량!$B35&lt;&gt;"설치"),"",IF(배관기본물량!V35&lt;&gt;"",배관기본물량!V35,IF(배관기본물량!G35="PIPE",IF(OR(LEFT(배관기본물량!F35,3)="STS",LEFT(배관기본물량!F35,3)="SUS"),"STS 강관",IF(N(배관기본물량!I35)&lt;=50,"강관(50A이하)","강관(50A초과)")),"배관 FITTING류(VALVE 外)")))</f>
        <v>배관 FITTING류(VALVE 外)</v>
      </c>
      <c r="M35" s="58" t="n">
        <f aca="false">IF(OR(배관기본물량!$G35="",배관기본물량!$B35&lt;&gt;"설치"),"",IFERROR(INDEX(제작기준!$B$5:$B$30,MATCH(L35,제작기준!$A$5:$A$30,0)),0))</f>
        <v>0.015</v>
      </c>
      <c r="N35" s="6" t="str">
        <f aca="false">IF(OR(배관기본물량!$G35="",배관기본물량!$B35&lt;&gt;"설치"),"",배관기본물량!$AB35)</f>
        <v>C/C</v>
      </c>
    </row>
    <row r="36" customFormat="false" ht="15" hidden="false" customHeight="true" outlineLevel="0" collapsed="false">
      <c r="A36" s="6" t="n">
        <f aca="false">IF(OR(배관기본물량!$G36="",배관기본물량!$B36&lt;&gt;"설치"),"",배관기본물량!A36)</f>
        <v>30</v>
      </c>
      <c r="B36" s="16" t="str">
        <f aca="false">IF(OR(배관기본물량!$G36="",배관기본물량!$B36&lt;&gt;"설치"),"",배관기본물량!H36)</f>
        <v>FLANGE WN RF S/40 /40K</v>
      </c>
      <c r="C36" s="6" t="n">
        <f aca="false">IF(OR(배관기본물량!$G36="",배관기본물량!$B36&lt;&gt;"설치"),"",IF(배관기본물량!I36="","",배관기본물량!I36))</f>
        <v>200</v>
      </c>
      <c r="D36" s="6" t="str">
        <f aca="false">IF(OR(배관기본물량!$G36="",배관기본물량!$B36&lt;&gt;"설치"),"",배관기본물량!F36&amp;"")</f>
        <v>SFVC 2A</v>
      </c>
      <c r="E36" s="6" t="str">
        <f aca="false">IF(OR(배관기본물량!$G36="",배관기본물량!$B36&lt;&gt;"설치"),"",배관기본물량!K36&amp;"")</f>
        <v>EA</v>
      </c>
      <c r="F36" s="35" t="n">
        <f aca="false">IF(OR(배관기본물량!$G36="",배관기본물량!$B36&lt;&gt;"설치"),"",IF(배관기본물량!L36="","",배관기본물량!L36))</f>
        <v>4</v>
      </c>
      <c r="G36" s="37" t="n">
        <f aca="false">IF(OR(배관기본물량!$G36="",배관기본물량!$B36&lt;&gt;"설치"),"",IF(배관기본물량!G36="PIPE",배관기본물량!M36,IF(배관기본물량!N36="","",배관기본물량!N36)))</f>
        <v>41.4</v>
      </c>
      <c r="H36" s="35" t="n">
        <f aca="false">IF(OR(배관기본물량!$G36="",배관기본물량!$B36&lt;&gt;"설치"),"",IF(배관기본물량!G36="PIPE",N(배관기본물량!R36),N(배관기본물량!L36)))</f>
        <v>4</v>
      </c>
      <c r="I36" s="54" t="n">
        <f aca="false">IF(OR(배관기본물량!$G36="",배관기본물량!$B36&lt;&gt;"설치"),"",배관기본물량!P36)</f>
        <v>165.6</v>
      </c>
      <c r="J36" s="34" t="n">
        <f aca="false">IF(OR(배관기본물량!$G36="",배관기본물량!$B36&lt;&gt;"설치"),"",IF(배관기본물량!G36="PIPE",IF(AND(N(배관기본물량!I36)&gt;0,N(배관기본물량!I36)&gt;=배관기준!$AG$15),ROUNDUP(H36/배관기준!$AG$16,0)*배관기준!$AG$16,ROUNDUP(H36*(1+M36),0)),ROUND(H36*(1+M36),0)))</f>
        <v>4</v>
      </c>
      <c r="K36" s="54" t="n">
        <f aca="false">IF(OR(배관기본물량!$G36="",배관기본물량!$B36&lt;&gt;"설치"),"",IF(N(H36)&gt;0,IF(ISNUMBER(G36),J36*G36,0),I36*(1+M36)))</f>
        <v>165.6</v>
      </c>
      <c r="L36" s="16" t="str">
        <f aca="false">IF(OR(배관기본물량!$G36="",배관기본물량!$B36&lt;&gt;"설치"),"",IF(배관기본물량!V36&lt;&gt;"",배관기본물량!V36,IF(배관기본물량!G36="PIPE",IF(OR(LEFT(배관기본물량!F36,3)="STS",LEFT(배관기본물량!F36,3)="SUS"),"STS 강관",IF(N(배관기본물량!I36)&lt;=50,"강관(50A이하)","강관(50A초과)")),"배관 FITTING류(VALVE 外)")))</f>
        <v>배관 FITTING류(VALVE 外)</v>
      </c>
      <c r="M36" s="58" t="n">
        <f aca="false">IF(OR(배관기본물량!$G36="",배관기본물량!$B36&lt;&gt;"설치"),"",IFERROR(INDEX(제작기준!$B$5:$B$30,MATCH(L36,제작기준!$A$5:$A$30,0)),0))</f>
        <v>0.015</v>
      </c>
      <c r="N36" s="6" t="str">
        <f aca="false">IF(OR(배관기본물량!$G36="",배관기본물량!$B36&lt;&gt;"설치"),"",배관기본물량!$AB36)</f>
        <v>C/C</v>
      </c>
    </row>
    <row r="37" customFormat="false" ht="15" hidden="false" customHeight="true" outlineLevel="0" collapsed="false">
      <c r="A37" s="6" t="n">
        <f aca="false">IF(OR(배관기본물량!$G37="",배관기본물량!$B37&lt;&gt;"설치"),"",배관기본물량!A37)</f>
        <v>31</v>
      </c>
      <c r="B37" s="16" t="str">
        <f aca="false">IF(OR(배관기본물량!$G37="",배관기본물량!$B37&lt;&gt;"설치"),"",배관기본물량!H37)</f>
        <v>FLANGE WN RF S/40 /40K</v>
      </c>
      <c r="C37" s="6" t="n">
        <f aca="false">IF(OR(배관기본물량!$G37="",배관기본물량!$B37&lt;&gt;"설치"),"",IF(배관기본물량!I37="","",배관기본물량!I37))</f>
        <v>250</v>
      </c>
      <c r="D37" s="6" t="str">
        <f aca="false">IF(OR(배관기본물량!$G37="",배관기본물량!$B37&lt;&gt;"설치"),"",배관기본물량!F37&amp;"")</f>
        <v>SFVC 2A</v>
      </c>
      <c r="E37" s="6" t="str">
        <f aca="false">IF(OR(배관기본물량!$G37="",배관기본물량!$B37&lt;&gt;"설치"),"",배관기본물량!K37&amp;"")</f>
        <v>EA</v>
      </c>
      <c r="F37" s="35" t="n">
        <f aca="false">IF(OR(배관기본물량!$G37="",배관기본물량!$B37&lt;&gt;"설치"),"",IF(배관기본물량!L37="","",배관기본물량!L37))</f>
        <v>2</v>
      </c>
      <c r="G37" s="37" t="n">
        <f aca="false">IF(OR(배관기본물량!$G37="",배관기본물량!$B37&lt;&gt;"설치"),"",IF(배관기본물량!G37="PIPE",배관기본물량!M37,IF(배관기본물량!N37="","",배관기본물량!N37)))</f>
        <v>68.6</v>
      </c>
      <c r="H37" s="35" t="n">
        <f aca="false">IF(OR(배관기본물량!$G37="",배관기본물량!$B37&lt;&gt;"설치"),"",IF(배관기본물량!G37="PIPE",N(배관기본물량!R37),N(배관기본물량!L37)))</f>
        <v>2</v>
      </c>
      <c r="I37" s="54" t="n">
        <f aca="false">IF(OR(배관기본물량!$G37="",배관기본물량!$B37&lt;&gt;"설치"),"",배관기본물량!P37)</f>
        <v>137.2</v>
      </c>
      <c r="J37" s="34" t="n">
        <f aca="false">IF(OR(배관기본물량!$G37="",배관기본물량!$B37&lt;&gt;"설치"),"",IF(배관기본물량!G37="PIPE",IF(AND(N(배관기본물량!I37)&gt;0,N(배관기본물량!I37)&gt;=배관기준!$AG$15),ROUNDUP(H37/배관기준!$AG$16,0)*배관기준!$AG$16,ROUNDUP(H37*(1+M37),0)),ROUND(H37*(1+M37),0)))</f>
        <v>2</v>
      </c>
      <c r="K37" s="54" t="n">
        <f aca="false">IF(OR(배관기본물량!$G37="",배관기본물량!$B37&lt;&gt;"설치"),"",IF(N(H37)&gt;0,IF(ISNUMBER(G37),J37*G37,0),I37*(1+M37)))</f>
        <v>137.2</v>
      </c>
      <c r="L37" s="16" t="str">
        <f aca="false">IF(OR(배관기본물량!$G37="",배관기본물량!$B37&lt;&gt;"설치"),"",IF(배관기본물량!V37&lt;&gt;"",배관기본물량!V37,IF(배관기본물량!G37="PIPE",IF(OR(LEFT(배관기본물량!F37,3)="STS",LEFT(배관기본물량!F37,3)="SUS"),"STS 강관",IF(N(배관기본물량!I37)&lt;=50,"강관(50A이하)","강관(50A초과)")),"배관 FITTING류(VALVE 外)")))</f>
        <v>배관 FITTING류(VALVE 外)</v>
      </c>
      <c r="M37" s="58" t="n">
        <f aca="false">IF(OR(배관기본물량!$G37="",배관기본물량!$B37&lt;&gt;"설치"),"",IFERROR(INDEX(제작기준!$B$5:$B$30,MATCH(L37,제작기준!$A$5:$A$30,0)),0))</f>
        <v>0.015</v>
      </c>
      <c r="N37" s="6" t="str">
        <f aca="false">IF(OR(배관기본물량!$G37="",배관기본물량!$B37&lt;&gt;"설치"),"",배관기본물량!$AB37)</f>
        <v>C/C</v>
      </c>
    </row>
    <row r="38" customFormat="false" ht="15" hidden="false" customHeight="true" outlineLevel="0" collapsed="false">
      <c r="A38" s="6" t="n">
        <f aca="false">IF(OR(배관기본물량!$G38="",배관기본물량!$B38&lt;&gt;"설치"),"",배관기본물량!A38)</f>
        <v>32</v>
      </c>
      <c r="B38" s="16" t="str">
        <f aca="false">IF(OR(배관기본물량!$G38="",배관기본물량!$B38&lt;&gt;"설치"),"",배관기본물량!H38)</f>
        <v>FLANGE WN RF S/40 /40K</v>
      </c>
      <c r="C38" s="6" t="n">
        <f aca="false">IF(OR(배관기본물량!$G38="",배관기본물량!$B38&lt;&gt;"설치"),"",IF(배관기본물량!I38="","",배관기본물량!I38))</f>
        <v>300</v>
      </c>
      <c r="D38" s="6" t="str">
        <f aca="false">IF(OR(배관기본물량!$G38="",배관기본물량!$B38&lt;&gt;"설치"),"",배관기본물량!F38&amp;"")</f>
        <v>SFVC 2A</v>
      </c>
      <c r="E38" s="6" t="str">
        <f aca="false">IF(OR(배관기본물량!$G38="",배관기본물량!$B38&lt;&gt;"설치"),"",배관기본물량!K38&amp;"")</f>
        <v>EA</v>
      </c>
      <c r="F38" s="35" t="n">
        <f aca="false">IF(OR(배관기본물량!$G38="",배관기본물량!$B38&lt;&gt;"설치"),"",IF(배관기본물량!L38="","",배관기본물량!L38))</f>
        <v>1</v>
      </c>
      <c r="G38" s="37" t="n">
        <f aca="false">IF(OR(배관기본물량!$G38="",배관기본물량!$B38&lt;&gt;"설치"),"",IF(배관기본물량!G38="PIPE",배관기본물량!M38,IF(배관기본물량!N38="","",배관기본물량!N38)))</f>
        <v>95.6</v>
      </c>
      <c r="H38" s="35" t="n">
        <f aca="false">IF(OR(배관기본물량!$G38="",배관기본물량!$B38&lt;&gt;"설치"),"",IF(배관기본물량!G38="PIPE",N(배관기본물량!R38),N(배관기본물량!L38)))</f>
        <v>1</v>
      </c>
      <c r="I38" s="54" t="n">
        <f aca="false">IF(OR(배관기본물량!$G38="",배관기본물량!$B38&lt;&gt;"설치"),"",배관기본물량!P38)</f>
        <v>95.6</v>
      </c>
      <c r="J38" s="34" t="n">
        <f aca="false">IF(OR(배관기본물량!$G38="",배관기본물량!$B38&lt;&gt;"설치"),"",IF(배관기본물량!G38="PIPE",IF(AND(N(배관기본물량!I38)&gt;0,N(배관기본물량!I38)&gt;=배관기준!$AG$15),ROUNDUP(H38/배관기준!$AG$16,0)*배관기준!$AG$16,ROUNDUP(H38*(1+M38),0)),ROUND(H38*(1+M38),0)))</f>
        <v>1</v>
      </c>
      <c r="K38" s="54" t="n">
        <f aca="false">IF(OR(배관기본물량!$G38="",배관기본물량!$B38&lt;&gt;"설치"),"",IF(N(H38)&gt;0,IF(ISNUMBER(G38),J38*G38,0),I38*(1+M38)))</f>
        <v>95.6</v>
      </c>
      <c r="L38" s="16" t="str">
        <f aca="false">IF(OR(배관기본물량!$G38="",배관기본물량!$B38&lt;&gt;"설치"),"",IF(배관기본물량!V38&lt;&gt;"",배관기본물량!V38,IF(배관기본물량!G38="PIPE",IF(OR(LEFT(배관기본물량!F38,3)="STS",LEFT(배관기본물량!F38,3)="SUS"),"STS 강관",IF(N(배관기본물량!I38)&lt;=50,"강관(50A이하)","강관(50A초과)")),"배관 FITTING류(VALVE 外)")))</f>
        <v>배관 FITTING류(VALVE 外)</v>
      </c>
      <c r="M38" s="58" t="n">
        <f aca="false">IF(OR(배관기본물량!$G38="",배관기본물량!$B38&lt;&gt;"설치"),"",IFERROR(INDEX(제작기준!$B$5:$B$30,MATCH(L38,제작기준!$A$5:$A$30,0)),0))</f>
        <v>0.015</v>
      </c>
      <c r="N38" s="6" t="str">
        <f aca="false">IF(OR(배관기본물량!$G38="",배관기본물량!$B38&lt;&gt;"설치"),"",배관기본물량!$AB38)</f>
        <v>C/C</v>
      </c>
    </row>
    <row r="39" customFormat="false" ht="15" hidden="false" customHeight="true" outlineLevel="0" collapsed="false">
      <c r="A39" s="6" t="n">
        <f aca="false">IF(OR(배관기본물량!$G39="",배관기본물량!$B39&lt;&gt;"설치"),"",배관기본물량!A39)</f>
        <v>33</v>
      </c>
      <c r="B39" s="16" t="str">
        <f aca="false">IF(OR(배관기본물량!$G39="",배관기본물량!$B39&lt;&gt;"설치"),"",배관기본물량!H39)</f>
        <v>VALVE GLOBE SR(AV-SC-201)</v>
      </c>
      <c r="C39" s="6" t="n">
        <f aca="false">IF(OR(배관기본물량!$G39="",배관기본물량!$B39&lt;&gt;"설치"),"",IF(배관기본물량!I39="","",배관기본물량!I39))</f>
        <v>15</v>
      </c>
      <c r="D39" s="6" t="str">
        <f aca="false">IF(OR(배관기본물량!$G39="",배관기본물량!$B39&lt;&gt;"설치"),"",배관기본물량!F39&amp;"")</f>
        <v>S25C</v>
      </c>
      <c r="E39" s="6" t="str">
        <f aca="false">IF(OR(배관기본물량!$G39="",배관기본물량!$B39&lt;&gt;"설치"),"",배관기본물량!K39&amp;"")</f>
        <v>EA</v>
      </c>
      <c r="F39" s="35" t="n">
        <f aca="false">IF(OR(배관기본물량!$G39="",배관기본물량!$B39&lt;&gt;"설치"),"",IF(배관기본물량!L39="","",배관기본물량!L39))</f>
        <v>1</v>
      </c>
      <c r="G39" s="37" t="n">
        <f aca="false">IF(OR(배관기본물량!$G39="",배관기본물량!$B39&lt;&gt;"설치"),"",IF(배관기본물량!G39="PIPE",배관기본물량!M39,IF(배관기본물량!N39="","",배관기본물량!N39)))</f>
        <v>2</v>
      </c>
      <c r="H39" s="35" t="n">
        <f aca="false">IF(OR(배관기본물량!$G39="",배관기본물량!$B39&lt;&gt;"설치"),"",IF(배관기본물량!G39="PIPE",N(배관기본물량!R39),N(배관기본물량!L39)))</f>
        <v>1</v>
      </c>
      <c r="I39" s="54" t="n">
        <f aca="false">IF(OR(배관기본물량!$G39="",배관기본물량!$B39&lt;&gt;"설치"),"",배관기본물량!P39)</f>
        <v>2</v>
      </c>
      <c r="J39" s="34" t="n">
        <f aca="false">IF(OR(배관기본물량!$G39="",배관기본물량!$B39&lt;&gt;"설치"),"",IF(배관기본물량!G39="PIPE",IF(AND(N(배관기본물량!I39)&gt;0,N(배관기본물량!I39)&gt;=배관기준!$AG$15),ROUNDUP(H39/배관기준!$AG$16,0)*배관기준!$AG$16,ROUNDUP(H39*(1+M39),0)),ROUND(H39*(1+M39),0)))</f>
        <v>1</v>
      </c>
      <c r="K39" s="54" t="n">
        <f aca="false">IF(OR(배관기본물량!$G39="",배관기본물량!$B39&lt;&gt;"설치"),"",IF(N(H39)&gt;0,IF(ISNUMBER(G39),J39*G39,0),I39*(1+M39)))</f>
        <v>2</v>
      </c>
      <c r="L39" s="16" t="str">
        <f aca="false">IF(OR(배관기본물량!$G39="",배관기본물량!$B39&lt;&gt;"설치"),"",IF(배관기본물량!V39&lt;&gt;"",배관기본물량!V39,IF(배관기본물량!G39="PIPE",IF(OR(LEFT(배관기본물량!F39,3)="STS",LEFT(배관기본물량!F39,3)="SUS"),"STS 강관",IF(N(배관기본물량!I39)&lt;=50,"강관(50A이하)","강관(50A초과)")),"배관 FITTING류(VALVE 外)")))</f>
        <v>배관 FITTING류(VALVE 外)</v>
      </c>
      <c r="M39" s="58" t="n">
        <f aca="false">IF(OR(배관기본물량!$G39="",배관기본물량!$B39&lt;&gt;"설치"),"",IFERROR(INDEX(제작기준!$B$5:$B$30,MATCH(L39,제작기준!$A$5:$A$30,0)),0))</f>
        <v>0.015</v>
      </c>
      <c r="N39" s="6" t="str">
        <f aca="false">IF(OR(배관기본물량!$G39="",배관기본물량!$B39&lt;&gt;"설치"),"",배관기본물량!$AB39)</f>
        <v>C/C</v>
      </c>
    </row>
    <row r="40" customFormat="false" ht="15" hidden="false" customHeight="true" outlineLevel="0" collapsed="false">
      <c r="A40" s="6" t="n">
        <f aca="false">IF(OR(배관기본물량!$G40="",배관기본물량!$B40&lt;&gt;"설치"),"",배관기본물량!A40)</f>
        <v>34</v>
      </c>
      <c r="B40" s="16" t="str">
        <f aca="false">IF(OR(배관기본물량!$G40="",배관기본물량!$B40&lt;&gt;"설치"),"",배관기본물량!H40)</f>
        <v>VALVE GLOBE SR(AV-SC-301)</v>
      </c>
      <c r="C40" s="6" t="n">
        <f aca="false">IF(OR(배관기본물량!$G40="",배관기본물량!$B40&lt;&gt;"설치"),"",IF(배관기본물량!I40="","",배관기본물량!I40))</f>
        <v>15</v>
      </c>
      <c r="D40" s="6" t="str">
        <f aca="false">IF(OR(배관기본물량!$G40="",배관기본물량!$B40&lt;&gt;"설치"),"",배관기본물량!F40&amp;"")</f>
        <v>S25C</v>
      </c>
      <c r="E40" s="6" t="str">
        <f aca="false">IF(OR(배관기본물량!$G40="",배관기본물량!$B40&lt;&gt;"설치"),"",배관기본물량!K40&amp;"")</f>
        <v>EA</v>
      </c>
      <c r="F40" s="35" t="n">
        <f aca="false">IF(OR(배관기본물량!$G40="",배관기본물량!$B40&lt;&gt;"설치"),"",IF(배관기본물량!L40="","",배관기본물량!L40))</f>
        <v>1</v>
      </c>
      <c r="G40" s="37" t="n">
        <f aca="false">IF(OR(배관기본물량!$G40="",배관기본물량!$B40&lt;&gt;"설치"),"",IF(배관기본물량!G40="PIPE",배관기본물량!M40,IF(배관기본물량!N40="","",배관기본물량!N40)))</f>
        <v>2</v>
      </c>
      <c r="H40" s="35" t="n">
        <f aca="false">IF(OR(배관기본물량!$G40="",배관기본물량!$B40&lt;&gt;"설치"),"",IF(배관기본물량!G40="PIPE",N(배관기본물량!R40),N(배관기본물량!L40)))</f>
        <v>1</v>
      </c>
      <c r="I40" s="54" t="n">
        <f aca="false">IF(OR(배관기본물량!$G40="",배관기본물량!$B40&lt;&gt;"설치"),"",배관기본물량!P40)</f>
        <v>2</v>
      </c>
      <c r="J40" s="34" t="n">
        <f aca="false">IF(OR(배관기본물량!$G40="",배관기본물량!$B40&lt;&gt;"설치"),"",IF(배관기본물량!G40="PIPE",IF(AND(N(배관기본물량!I40)&gt;0,N(배관기본물량!I40)&gt;=배관기준!$AG$15),ROUNDUP(H40/배관기준!$AG$16,0)*배관기준!$AG$16,ROUNDUP(H40*(1+M40),0)),ROUND(H40*(1+M40),0)))</f>
        <v>1</v>
      </c>
      <c r="K40" s="54" t="n">
        <f aca="false">IF(OR(배관기본물량!$G40="",배관기본물량!$B40&lt;&gt;"설치"),"",IF(N(H40)&gt;0,IF(ISNUMBER(G40),J40*G40,0),I40*(1+M40)))</f>
        <v>2</v>
      </c>
      <c r="L40" s="16" t="str">
        <f aca="false">IF(OR(배관기본물량!$G40="",배관기본물량!$B40&lt;&gt;"설치"),"",IF(배관기본물량!V40&lt;&gt;"",배관기본물량!V40,IF(배관기본물량!G40="PIPE",IF(OR(LEFT(배관기본물량!F40,3)="STS",LEFT(배관기본물량!F40,3)="SUS"),"STS 강관",IF(N(배관기본물량!I40)&lt;=50,"강관(50A이하)","강관(50A초과)")),"배관 FITTING류(VALVE 外)")))</f>
        <v>배관 FITTING류(VALVE 外)</v>
      </c>
      <c r="M40" s="58" t="n">
        <f aca="false">IF(OR(배관기본물량!$G40="",배관기본물량!$B40&lt;&gt;"설치"),"",IFERROR(INDEX(제작기준!$B$5:$B$30,MATCH(L40,제작기준!$A$5:$A$30,0)),0))</f>
        <v>0.015</v>
      </c>
      <c r="N40" s="6" t="str">
        <f aca="false">IF(OR(배관기본물량!$G40="",배관기본물량!$B40&lt;&gt;"설치"),"",배관기본물량!$AB40)</f>
        <v>C/C</v>
      </c>
    </row>
    <row r="41" customFormat="false" ht="15" hidden="false" customHeight="true" outlineLevel="0" collapsed="false">
      <c r="A41" s="6" t="n">
        <f aca="false">IF(OR(배관기본물량!$G41="",배관기본물량!$B41&lt;&gt;"설치"),"",배관기본물량!A41)</f>
        <v>35</v>
      </c>
      <c r="B41" s="16" t="str">
        <f aca="false">IF(OR(배관기본물량!$G41="",배관기본물량!$B41&lt;&gt;"설치"),"",배관기본물량!H41)</f>
        <v>VALVE GLOBE SR(AV-SC-401)</v>
      </c>
      <c r="C41" s="6" t="n">
        <f aca="false">IF(OR(배관기본물량!$G41="",배관기본물량!$B41&lt;&gt;"설치"),"",IF(배관기본물량!I41="","",배관기본물량!I41))</f>
        <v>15</v>
      </c>
      <c r="D41" s="6" t="str">
        <f aca="false">IF(OR(배관기본물량!$G41="",배관기본물량!$B41&lt;&gt;"설치"),"",배관기본물량!F41&amp;"")</f>
        <v>S25C</v>
      </c>
      <c r="E41" s="6" t="str">
        <f aca="false">IF(OR(배관기본물량!$G41="",배관기본물량!$B41&lt;&gt;"설치"),"",배관기본물량!K41&amp;"")</f>
        <v>EA</v>
      </c>
      <c r="F41" s="35" t="n">
        <f aca="false">IF(OR(배관기본물량!$G41="",배관기본물량!$B41&lt;&gt;"설치"),"",IF(배관기본물량!L41="","",배관기본물량!L41))</f>
        <v>1</v>
      </c>
      <c r="G41" s="37" t="n">
        <f aca="false">IF(OR(배관기본물량!$G41="",배관기본물량!$B41&lt;&gt;"설치"),"",IF(배관기본물량!G41="PIPE",배관기본물량!M41,IF(배관기본물량!N41="","",배관기본물량!N41)))</f>
        <v>2</v>
      </c>
      <c r="H41" s="35" t="n">
        <f aca="false">IF(OR(배관기본물량!$G41="",배관기본물량!$B41&lt;&gt;"설치"),"",IF(배관기본물량!G41="PIPE",N(배관기본물량!R41),N(배관기본물량!L41)))</f>
        <v>1</v>
      </c>
      <c r="I41" s="54" t="n">
        <f aca="false">IF(OR(배관기본물량!$G41="",배관기본물량!$B41&lt;&gt;"설치"),"",배관기본물량!P41)</f>
        <v>2</v>
      </c>
      <c r="J41" s="34" t="n">
        <f aca="false">IF(OR(배관기본물량!$G41="",배관기본물량!$B41&lt;&gt;"설치"),"",IF(배관기본물량!G41="PIPE",IF(AND(N(배관기본물량!I41)&gt;0,N(배관기본물량!I41)&gt;=배관기준!$AG$15),ROUNDUP(H41/배관기준!$AG$16,0)*배관기준!$AG$16,ROUNDUP(H41*(1+M41),0)),ROUND(H41*(1+M41),0)))</f>
        <v>1</v>
      </c>
      <c r="K41" s="54" t="n">
        <f aca="false">IF(OR(배관기본물량!$G41="",배관기본물량!$B41&lt;&gt;"설치"),"",IF(N(H41)&gt;0,IF(ISNUMBER(G41),J41*G41,0),I41*(1+M41)))</f>
        <v>2</v>
      </c>
      <c r="L41" s="16" t="str">
        <f aca="false">IF(OR(배관기본물량!$G41="",배관기본물량!$B41&lt;&gt;"설치"),"",IF(배관기본물량!V41&lt;&gt;"",배관기본물량!V41,IF(배관기본물량!G41="PIPE",IF(OR(LEFT(배관기본물량!F41,3)="STS",LEFT(배관기본물량!F41,3)="SUS"),"STS 강관",IF(N(배관기본물량!I41)&lt;=50,"강관(50A이하)","강관(50A초과)")),"배관 FITTING류(VALVE 外)")))</f>
        <v>배관 FITTING류(VALVE 外)</v>
      </c>
      <c r="M41" s="58" t="n">
        <f aca="false">IF(OR(배관기본물량!$G41="",배관기본물량!$B41&lt;&gt;"설치"),"",IFERROR(INDEX(제작기준!$B$5:$B$30,MATCH(L41,제작기준!$A$5:$A$30,0)),0))</f>
        <v>0.015</v>
      </c>
      <c r="N41" s="6" t="str">
        <f aca="false">IF(OR(배관기본물량!$G41="",배관기본물량!$B41&lt;&gt;"설치"),"",배관기본물량!$AB41)</f>
        <v>C/C</v>
      </c>
    </row>
    <row r="42" customFormat="false" ht="15" hidden="false" customHeight="true" outlineLevel="0" collapsed="false">
      <c r="A42" s="6" t="n">
        <f aca="false">IF(OR(배관기본물량!$G42="",배관기본물량!$B42&lt;&gt;"설치"),"",배관기본물량!A42)</f>
        <v>36</v>
      </c>
      <c r="B42" s="16" t="str">
        <f aca="false">IF(OR(배관기본물량!$G42="",배관기본물량!$B42&lt;&gt;"설치"),"",배관기본물량!H42)</f>
        <v>VALVE GLOBE SR(AV-SC-501)</v>
      </c>
      <c r="C42" s="6" t="n">
        <f aca="false">IF(OR(배관기본물량!$G42="",배관기본물량!$B42&lt;&gt;"설치"),"",IF(배관기본물량!I42="","",배관기본물량!I42))</f>
        <v>15</v>
      </c>
      <c r="D42" s="6" t="str">
        <f aca="false">IF(OR(배관기본물량!$G42="",배관기본물량!$B42&lt;&gt;"설치"),"",배관기본물량!F42&amp;"")</f>
        <v>S25C</v>
      </c>
      <c r="E42" s="6" t="str">
        <f aca="false">IF(OR(배관기본물량!$G42="",배관기본물량!$B42&lt;&gt;"설치"),"",배관기본물량!K42&amp;"")</f>
        <v>EA</v>
      </c>
      <c r="F42" s="35" t="n">
        <f aca="false">IF(OR(배관기본물량!$G42="",배관기본물량!$B42&lt;&gt;"설치"),"",IF(배관기본물량!L42="","",배관기본물량!L42))</f>
        <v>1</v>
      </c>
      <c r="G42" s="37" t="n">
        <f aca="false">IF(OR(배관기본물량!$G42="",배관기본물량!$B42&lt;&gt;"설치"),"",IF(배관기본물량!G42="PIPE",배관기본물량!M42,IF(배관기본물량!N42="","",배관기본물량!N42)))</f>
        <v>2</v>
      </c>
      <c r="H42" s="35" t="n">
        <f aca="false">IF(OR(배관기본물량!$G42="",배관기본물량!$B42&lt;&gt;"설치"),"",IF(배관기본물량!G42="PIPE",N(배관기본물량!R42),N(배관기본물량!L42)))</f>
        <v>1</v>
      </c>
      <c r="I42" s="54" t="n">
        <f aca="false">IF(OR(배관기본물량!$G42="",배관기본물량!$B42&lt;&gt;"설치"),"",배관기본물량!P42)</f>
        <v>2</v>
      </c>
      <c r="J42" s="34" t="n">
        <f aca="false">IF(OR(배관기본물량!$G42="",배관기본물량!$B42&lt;&gt;"설치"),"",IF(배관기본물량!G42="PIPE",IF(AND(N(배관기본물량!I42)&gt;0,N(배관기본물량!I42)&gt;=배관기준!$AG$15),ROUNDUP(H42/배관기준!$AG$16,0)*배관기준!$AG$16,ROUNDUP(H42*(1+M42),0)),ROUND(H42*(1+M42),0)))</f>
        <v>1</v>
      </c>
      <c r="K42" s="54" t="n">
        <f aca="false">IF(OR(배관기본물량!$G42="",배관기본물량!$B42&lt;&gt;"설치"),"",IF(N(H42)&gt;0,IF(ISNUMBER(G42),J42*G42,0),I42*(1+M42)))</f>
        <v>2</v>
      </c>
      <c r="L42" s="16" t="str">
        <f aca="false">IF(OR(배관기본물량!$G42="",배관기본물량!$B42&lt;&gt;"설치"),"",IF(배관기본물량!V42&lt;&gt;"",배관기본물량!V42,IF(배관기본물량!G42="PIPE",IF(OR(LEFT(배관기본물량!F42,3)="STS",LEFT(배관기본물량!F42,3)="SUS"),"STS 강관",IF(N(배관기본물량!I42)&lt;=50,"강관(50A이하)","강관(50A초과)")),"배관 FITTING류(VALVE 外)")))</f>
        <v>배관 FITTING류(VALVE 外)</v>
      </c>
      <c r="M42" s="58" t="n">
        <f aca="false">IF(OR(배관기본물량!$G42="",배관기본물량!$B42&lt;&gt;"설치"),"",IFERROR(INDEX(제작기준!$B$5:$B$30,MATCH(L42,제작기준!$A$5:$A$30,0)),0))</f>
        <v>0.015</v>
      </c>
      <c r="N42" s="6" t="str">
        <f aca="false">IF(OR(배관기본물량!$G42="",배관기본물량!$B42&lt;&gt;"설치"),"",배관기본물량!$AB42)</f>
        <v>C/C</v>
      </c>
    </row>
    <row r="43" customFormat="false" ht="15" hidden="false" customHeight="true" outlineLevel="0" collapsed="false">
      <c r="A43" s="6" t="n">
        <f aca="false">IF(OR(배관기본물량!$G43="",배관기본물량!$B43&lt;&gt;"설치"),"",배관기본물량!A43)</f>
        <v>37</v>
      </c>
      <c r="B43" s="16" t="str">
        <f aca="false">IF(OR(배관기본물량!$G43="",배관기본물량!$B43&lt;&gt;"설치"),"",배관기본물량!H43)</f>
        <v>VALVE GATE FF(HV-SC-303)</v>
      </c>
      <c r="C43" s="6" t="n">
        <f aca="false">IF(OR(배관기본물량!$G43="",배관기본물량!$B43&lt;&gt;"설치"),"",IF(배관기본물량!I43="","",배관기본물량!I43))</f>
        <v>50</v>
      </c>
      <c r="D43" s="6" t="str">
        <f aca="false">IF(OR(배관기본물량!$G43="",배관기본물량!$B43&lt;&gt;"설치"),"",배관기본물량!F43&amp;"")</f>
        <v>SCPH2</v>
      </c>
      <c r="E43" s="6" t="str">
        <f aca="false">IF(OR(배관기본물량!$G43="",배관기본물량!$B43&lt;&gt;"설치"),"",배관기본물량!K43&amp;"")</f>
        <v>EA</v>
      </c>
      <c r="F43" s="35" t="n">
        <f aca="false">IF(OR(배관기본물량!$G43="",배관기본물량!$B43&lt;&gt;"설치"),"",IF(배관기본물량!L43="","",배관기본물량!L43))</f>
        <v>1</v>
      </c>
      <c r="G43" s="37" t="n">
        <f aca="false">IF(OR(배관기본물량!$G43="",배관기본물량!$B43&lt;&gt;"설치"),"",IF(배관기본물량!G43="PIPE",배관기본물량!M43,IF(배관기본물량!N43="","",배관기본물량!N43)))</f>
        <v>27</v>
      </c>
      <c r="H43" s="35" t="n">
        <f aca="false">IF(OR(배관기본물량!$G43="",배관기본물량!$B43&lt;&gt;"설치"),"",IF(배관기본물량!G43="PIPE",N(배관기본물량!R43),N(배관기본물량!L43)))</f>
        <v>1</v>
      </c>
      <c r="I43" s="54" t="n">
        <f aca="false">IF(OR(배관기본물량!$G43="",배관기본물량!$B43&lt;&gt;"설치"),"",배관기본물량!P43)</f>
        <v>27</v>
      </c>
      <c r="J43" s="34" t="n">
        <f aca="false">IF(OR(배관기본물량!$G43="",배관기본물량!$B43&lt;&gt;"설치"),"",IF(배관기본물량!G43="PIPE",IF(AND(N(배관기본물량!I43)&gt;0,N(배관기본물량!I43)&gt;=배관기준!$AG$15),ROUNDUP(H43/배관기준!$AG$16,0)*배관기준!$AG$16,ROUNDUP(H43*(1+M43),0)),ROUND(H43*(1+M43),0)))</f>
        <v>1</v>
      </c>
      <c r="K43" s="54" t="n">
        <f aca="false">IF(OR(배관기본물량!$G43="",배관기본물량!$B43&lt;&gt;"설치"),"",IF(N(H43)&gt;0,IF(ISNUMBER(G43),J43*G43,0),I43*(1+M43)))</f>
        <v>27</v>
      </c>
      <c r="L43" s="16" t="str">
        <f aca="false">IF(OR(배관기본물량!$G43="",배관기본물량!$B43&lt;&gt;"설치"),"",IF(배관기본물량!V43&lt;&gt;"",배관기본물량!V43,IF(배관기본물량!G43="PIPE",IF(OR(LEFT(배관기본물량!F43,3)="STS",LEFT(배관기본물량!F43,3)="SUS"),"STS 강관",IF(N(배관기본물량!I43)&lt;=50,"강관(50A이하)","강관(50A초과)")),"배관 FITTING류(VALVE 外)")))</f>
        <v>배관 FITTING류(VALVE 外)</v>
      </c>
      <c r="M43" s="58" t="n">
        <f aca="false">IF(OR(배관기본물량!$G43="",배관기본물량!$B43&lt;&gt;"설치"),"",IFERROR(INDEX(제작기준!$B$5:$B$30,MATCH(L43,제작기준!$A$5:$A$30,0)),0))</f>
        <v>0.015</v>
      </c>
      <c r="N43" s="6" t="str">
        <f aca="false">IF(OR(배관기본물량!$G43="",배관기본물량!$B43&lt;&gt;"설치"),"",배관기본물량!$AB43)</f>
        <v>C/C</v>
      </c>
    </row>
    <row r="44" customFormat="false" ht="15" hidden="false" customHeight="true" outlineLevel="0" collapsed="false">
      <c r="A44" s="6" t="n">
        <f aca="false">IF(OR(배관기본물량!$G44="",배관기본물량!$B44&lt;&gt;"설치"),"",배관기본물량!A44)</f>
        <v>38</v>
      </c>
      <c r="B44" s="16" t="str">
        <f aca="false">IF(OR(배관기본물량!$G44="",배관기본물량!$B44&lt;&gt;"설치"),"",배관기본물량!H44)</f>
        <v>VALVE GATE FF(HV-SC-403)</v>
      </c>
      <c r="C44" s="6" t="n">
        <f aca="false">IF(OR(배관기본물량!$G44="",배관기본물량!$B44&lt;&gt;"설치"),"",IF(배관기본물량!I44="","",배관기본물량!I44))</f>
        <v>50</v>
      </c>
      <c r="D44" s="6" t="str">
        <f aca="false">IF(OR(배관기본물량!$G44="",배관기본물량!$B44&lt;&gt;"설치"),"",배관기본물량!F44&amp;"")</f>
        <v>SCPH2</v>
      </c>
      <c r="E44" s="6" t="str">
        <f aca="false">IF(OR(배관기본물량!$G44="",배관기본물량!$B44&lt;&gt;"설치"),"",배관기본물량!K44&amp;"")</f>
        <v>EA</v>
      </c>
      <c r="F44" s="35" t="n">
        <f aca="false">IF(OR(배관기본물량!$G44="",배관기본물량!$B44&lt;&gt;"설치"),"",IF(배관기본물량!L44="","",배관기본물량!L44))</f>
        <v>1</v>
      </c>
      <c r="G44" s="37" t="n">
        <f aca="false">IF(OR(배관기본물량!$G44="",배관기본물량!$B44&lt;&gt;"설치"),"",IF(배관기본물량!G44="PIPE",배관기본물량!M44,IF(배관기본물량!N44="","",배관기본물량!N44)))</f>
        <v>27</v>
      </c>
      <c r="H44" s="35" t="n">
        <f aca="false">IF(OR(배관기본물량!$G44="",배관기본물량!$B44&lt;&gt;"설치"),"",IF(배관기본물량!G44="PIPE",N(배관기본물량!R44),N(배관기본물량!L44)))</f>
        <v>1</v>
      </c>
      <c r="I44" s="54" t="n">
        <f aca="false">IF(OR(배관기본물량!$G44="",배관기본물량!$B44&lt;&gt;"설치"),"",배관기본물량!P44)</f>
        <v>27</v>
      </c>
      <c r="J44" s="34" t="n">
        <f aca="false">IF(OR(배관기본물량!$G44="",배관기본물량!$B44&lt;&gt;"설치"),"",IF(배관기본물량!G44="PIPE",IF(AND(N(배관기본물량!I44)&gt;0,N(배관기본물량!I44)&gt;=배관기준!$AG$15),ROUNDUP(H44/배관기준!$AG$16,0)*배관기준!$AG$16,ROUNDUP(H44*(1+M44),0)),ROUND(H44*(1+M44),0)))</f>
        <v>1</v>
      </c>
      <c r="K44" s="54" t="n">
        <f aca="false">IF(OR(배관기본물량!$G44="",배관기본물량!$B44&lt;&gt;"설치"),"",IF(N(H44)&gt;0,IF(ISNUMBER(G44),J44*G44,0),I44*(1+M44)))</f>
        <v>27</v>
      </c>
      <c r="L44" s="16" t="str">
        <f aca="false">IF(OR(배관기본물량!$G44="",배관기본물량!$B44&lt;&gt;"설치"),"",IF(배관기본물량!V44&lt;&gt;"",배관기본물량!V44,IF(배관기본물량!G44="PIPE",IF(OR(LEFT(배관기본물량!F44,3)="STS",LEFT(배관기본물량!F44,3)="SUS"),"STS 강관",IF(N(배관기본물량!I44)&lt;=50,"강관(50A이하)","강관(50A초과)")),"배관 FITTING류(VALVE 外)")))</f>
        <v>배관 FITTING류(VALVE 外)</v>
      </c>
      <c r="M44" s="58" t="n">
        <f aca="false">IF(OR(배관기본물량!$G44="",배관기본물량!$B44&lt;&gt;"설치"),"",IFERROR(INDEX(제작기준!$B$5:$B$30,MATCH(L44,제작기준!$A$5:$A$30,0)),0))</f>
        <v>0.015</v>
      </c>
      <c r="N44" s="6" t="str">
        <f aca="false">IF(OR(배관기본물량!$G44="",배관기본물량!$B44&lt;&gt;"설치"),"",배관기본물량!$AB44)</f>
        <v>C/C</v>
      </c>
    </row>
    <row r="45" customFormat="false" ht="15" hidden="false" customHeight="true" outlineLevel="0" collapsed="false">
      <c r="A45" s="6" t="n">
        <f aca="false">IF(OR(배관기본물량!$G45="",배관기본물량!$B45&lt;&gt;"설치"),"",배관기본물량!A45)</f>
        <v>39</v>
      </c>
      <c r="B45" s="16" t="str">
        <f aca="false">IF(OR(배관기본물량!$G45="",배관기본물량!$B45&lt;&gt;"설치"),"",배관기본물량!H45)</f>
        <v>VALVE GATE FF(HV-SC-503)</v>
      </c>
      <c r="C45" s="6" t="n">
        <f aca="false">IF(OR(배관기본물량!$G45="",배관기본물량!$B45&lt;&gt;"설치"),"",IF(배관기본물량!I45="","",배관기본물량!I45))</f>
        <v>50</v>
      </c>
      <c r="D45" s="6" t="str">
        <f aca="false">IF(OR(배관기본물량!$G45="",배관기본물량!$B45&lt;&gt;"설치"),"",배관기본물량!F45&amp;"")</f>
        <v>SCPH2</v>
      </c>
      <c r="E45" s="6" t="str">
        <f aca="false">IF(OR(배관기본물량!$G45="",배관기본물량!$B45&lt;&gt;"설치"),"",배관기본물량!K45&amp;"")</f>
        <v>EA</v>
      </c>
      <c r="F45" s="35" t="n">
        <f aca="false">IF(OR(배관기본물량!$G45="",배관기본물량!$B45&lt;&gt;"설치"),"",IF(배관기본물량!L45="","",배관기본물량!L45))</f>
        <v>1</v>
      </c>
      <c r="G45" s="37" t="n">
        <f aca="false">IF(OR(배관기본물량!$G45="",배관기본물량!$B45&lt;&gt;"설치"),"",IF(배관기본물량!G45="PIPE",배관기본물량!M45,IF(배관기본물량!N45="","",배관기본물량!N45)))</f>
        <v>27</v>
      </c>
      <c r="H45" s="35" t="n">
        <f aca="false">IF(OR(배관기본물량!$G45="",배관기본물량!$B45&lt;&gt;"설치"),"",IF(배관기본물량!G45="PIPE",N(배관기본물량!R45),N(배관기본물량!L45)))</f>
        <v>1</v>
      </c>
      <c r="I45" s="54" t="n">
        <f aca="false">IF(OR(배관기본물량!$G45="",배관기본물량!$B45&lt;&gt;"설치"),"",배관기본물량!P45)</f>
        <v>27</v>
      </c>
      <c r="J45" s="34" t="n">
        <f aca="false">IF(OR(배관기본물량!$G45="",배관기본물량!$B45&lt;&gt;"설치"),"",IF(배관기본물량!G45="PIPE",IF(AND(N(배관기본물량!I45)&gt;0,N(배관기본물량!I45)&gt;=배관기준!$AG$15),ROUNDUP(H45/배관기준!$AG$16,0)*배관기준!$AG$16,ROUNDUP(H45*(1+M45),0)),ROUND(H45*(1+M45),0)))</f>
        <v>1</v>
      </c>
      <c r="K45" s="54" t="n">
        <f aca="false">IF(OR(배관기본물량!$G45="",배관기본물량!$B45&lt;&gt;"설치"),"",IF(N(H45)&gt;0,IF(ISNUMBER(G45),J45*G45,0),I45*(1+M45)))</f>
        <v>27</v>
      </c>
      <c r="L45" s="16" t="str">
        <f aca="false">IF(OR(배관기본물량!$G45="",배관기본물량!$B45&lt;&gt;"설치"),"",IF(배관기본물량!V45&lt;&gt;"",배관기본물량!V45,IF(배관기본물량!G45="PIPE",IF(OR(LEFT(배관기본물량!F45,3)="STS",LEFT(배관기본물량!F45,3)="SUS"),"STS 강관",IF(N(배관기본물량!I45)&lt;=50,"강관(50A이하)","강관(50A초과)")),"배관 FITTING류(VALVE 外)")))</f>
        <v>배관 FITTING류(VALVE 外)</v>
      </c>
      <c r="M45" s="58" t="n">
        <f aca="false">IF(OR(배관기본물량!$G45="",배관기본물량!$B45&lt;&gt;"설치"),"",IFERROR(INDEX(제작기준!$B$5:$B$30,MATCH(L45,제작기준!$A$5:$A$30,0)),0))</f>
        <v>0.015</v>
      </c>
      <c r="N45" s="6" t="str">
        <f aca="false">IF(OR(배관기본물량!$G45="",배관기본물량!$B45&lt;&gt;"설치"),"",배관기본물량!$AB45)</f>
        <v>C/C</v>
      </c>
    </row>
    <row r="46" customFormat="false" ht="15" hidden="false" customHeight="true" outlineLevel="0" collapsed="false">
      <c r="A46" s="6" t="n">
        <f aca="false">IF(OR(배관기본물량!$G46="",배관기본물량!$B46&lt;&gt;"설치"),"",배관기본물량!A46)</f>
        <v>40</v>
      </c>
      <c r="B46" s="16" t="str">
        <f aca="false">IF(OR(배관기본물량!$G46="",배관기본물량!$B46&lt;&gt;"설치"),"",배관기본물량!H46)</f>
        <v>VALVE GATE FF (HV-SC-601)</v>
      </c>
      <c r="C46" s="6" t="n">
        <f aca="false">IF(OR(배관기본물량!$G46="",배관기본물량!$B46&lt;&gt;"설치"),"",IF(배관기본물량!I46="","",배관기본물량!I46))</f>
        <v>80</v>
      </c>
      <c r="D46" s="6" t="str">
        <f aca="false">IF(OR(배관기본물량!$G46="",배관기본물량!$B46&lt;&gt;"설치"),"",배관기본물량!F46&amp;"")</f>
        <v>SCPH2</v>
      </c>
      <c r="E46" s="6" t="str">
        <f aca="false">IF(OR(배관기본물량!$G46="",배관기본물량!$B46&lt;&gt;"설치"),"",배관기본물량!K46&amp;"")</f>
        <v>EA</v>
      </c>
      <c r="F46" s="35" t="n">
        <f aca="false">IF(OR(배관기본물량!$G46="",배관기본물량!$B46&lt;&gt;"설치"),"",IF(배관기본물량!L46="","",배관기본물량!L46))</f>
        <v>1</v>
      </c>
      <c r="G46" s="37" t="n">
        <f aca="false">IF(OR(배관기본물량!$G46="",배관기본물량!$B46&lt;&gt;"설치"),"",IF(배관기본물량!G46="PIPE",배관기본물량!M46,IF(배관기본물량!N46="","",배관기본물량!N46)))</f>
        <v>55</v>
      </c>
      <c r="H46" s="35" t="n">
        <f aca="false">IF(OR(배관기본물량!$G46="",배관기본물량!$B46&lt;&gt;"설치"),"",IF(배관기본물량!G46="PIPE",N(배관기본물량!R46),N(배관기본물량!L46)))</f>
        <v>1</v>
      </c>
      <c r="I46" s="54" t="n">
        <f aca="false">IF(OR(배관기본물량!$G46="",배관기본물량!$B46&lt;&gt;"설치"),"",배관기본물량!P46)</f>
        <v>55</v>
      </c>
      <c r="J46" s="34" t="n">
        <f aca="false">IF(OR(배관기본물량!$G46="",배관기본물량!$B46&lt;&gt;"설치"),"",IF(배관기본물량!G46="PIPE",IF(AND(N(배관기본물량!I46)&gt;0,N(배관기본물량!I46)&gt;=배관기준!$AG$15),ROUNDUP(H46/배관기준!$AG$16,0)*배관기준!$AG$16,ROUNDUP(H46*(1+M46),0)),ROUND(H46*(1+M46),0)))</f>
        <v>1</v>
      </c>
      <c r="K46" s="54" t="n">
        <f aca="false">IF(OR(배관기본물량!$G46="",배관기본물량!$B46&lt;&gt;"설치"),"",IF(N(H46)&gt;0,IF(ISNUMBER(G46),J46*G46,0),I46*(1+M46)))</f>
        <v>55</v>
      </c>
      <c r="L46" s="16" t="str">
        <f aca="false">IF(OR(배관기본물량!$G46="",배관기본물량!$B46&lt;&gt;"설치"),"",IF(배관기본물량!V46&lt;&gt;"",배관기본물량!V46,IF(배관기본물량!G46="PIPE",IF(OR(LEFT(배관기본물량!F46,3)="STS",LEFT(배관기본물량!F46,3)="SUS"),"STS 강관",IF(N(배관기본물량!I46)&lt;=50,"강관(50A이하)","강관(50A초과)")),"배관 FITTING류(VALVE 外)")))</f>
        <v>배관 FITTING류(VALVE 外)</v>
      </c>
      <c r="M46" s="58" t="n">
        <f aca="false">IF(OR(배관기본물량!$G46="",배관기본물량!$B46&lt;&gt;"설치"),"",IFERROR(INDEX(제작기준!$B$5:$B$30,MATCH(L46,제작기준!$A$5:$A$30,0)),0))</f>
        <v>0.015</v>
      </c>
      <c r="N46" s="6" t="str">
        <f aca="false">IF(OR(배관기본물량!$G46="",배관기본물량!$B46&lt;&gt;"설치"),"",배관기본물량!$AB46)</f>
        <v>C/C</v>
      </c>
    </row>
    <row r="47" customFormat="false" ht="15" hidden="false" customHeight="true" outlineLevel="0" collapsed="false">
      <c r="A47" s="6" t="n">
        <f aca="false">IF(OR(배관기본물량!$G47="",배관기본물량!$B47&lt;&gt;"설치"),"",배관기본물량!A47)</f>
        <v>41</v>
      </c>
      <c r="B47" s="16" t="str">
        <f aca="false">IF(OR(배관기본물량!$G47="",배관기본물량!$B47&lt;&gt;"설치"),"",배관기본물량!H47)</f>
        <v>VALVE GATE FF (HV-SC-204)</v>
      </c>
      <c r="C47" s="6" t="n">
        <f aca="false">IF(OR(배관기본물량!$G47="",배관기본물량!$B47&lt;&gt;"설치"),"",IF(배관기본물량!I47="","",배관기본물량!I47))</f>
        <v>150</v>
      </c>
      <c r="D47" s="6" t="str">
        <f aca="false">IF(OR(배관기본물량!$G47="",배관기본물량!$B47&lt;&gt;"설치"),"",배관기본물량!F47&amp;"")</f>
        <v>SCPH2</v>
      </c>
      <c r="E47" s="6" t="str">
        <f aca="false">IF(OR(배관기본물량!$G47="",배관기본물량!$B47&lt;&gt;"설치"),"",배관기본물량!K47&amp;"")</f>
        <v>EA</v>
      </c>
      <c r="F47" s="35" t="n">
        <f aca="false">IF(OR(배관기본물량!$G47="",배관기본물량!$B47&lt;&gt;"설치"),"",IF(배관기본물량!L47="","",배관기본물량!L47))</f>
        <v>1</v>
      </c>
      <c r="G47" s="37" t="n">
        <f aca="false">IF(OR(배관기본물량!$G47="",배관기본물량!$B47&lt;&gt;"설치"),"",IF(배관기본물량!G47="PIPE",배관기본물량!M47,IF(배관기본물량!N47="","",배관기본물량!N47)))</f>
        <v>130</v>
      </c>
      <c r="H47" s="35" t="n">
        <f aca="false">IF(OR(배관기본물량!$G47="",배관기본물량!$B47&lt;&gt;"설치"),"",IF(배관기본물량!G47="PIPE",N(배관기본물량!R47),N(배관기본물량!L47)))</f>
        <v>1</v>
      </c>
      <c r="I47" s="54" t="n">
        <f aca="false">IF(OR(배관기본물량!$G47="",배관기본물량!$B47&lt;&gt;"설치"),"",배관기본물량!P47)</f>
        <v>130</v>
      </c>
      <c r="J47" s="34" t="n">
        <f aca="false">IF(OR(배관기본물량!$G47="",배관기본물량!$B47&lt;&gt;"설치"),"",IF(배관기본물량!G47="PIPE",IF(AND(N(배관기본물량!I47)&gt;0,N(배관기본물량!I47)&gt;=배관기준!$AG$15),ROUNDUP(H47/배관기준!$AG$16,0)*배관기준!$AG$16,ROUNDUP(H47*(1+M47),0)),ROUND(H47*(1+M47),0)))</f>
        <v>1</v>
      </c>
      <c r="K47" s="54" t="n">
        <f aca="false">IF(OR(배관기본물량!$G47="",배관기본물량!$B47&lt;&gt;"설치"),"",IF(N(H47)&gt;0,IF(ISNUMBER(G47),J47*G47,0),I47*(1+M47)))</f>
        <v>130</v>
      </c>
      <c r="L47" s="16" t="str">
        <f aca="false">IF(OR(배관기본물량!$G47="",배관기본물량!$B47&lt;&gt;"설치"),"",IF(배관기본물량!V47&lt;&gt;"",배관기본물량!V47,IF(배관기본물량!G47="PIPE",IF(OR(LEFT(배관기본물량!F47,3)="STS",LEFT(배관기본물량!F47,3)="SUS"),"STS 강관",IF(N(배관기본물량!I47)&lt;=50,"강관(50A이하)","강관(50A초과)")),"배관 FITTING류(VALVE 外)")))</f>
        <v>배관 FITTING류(VALVE 外)</v>
      </c>
      <c r="M47" s="58" t="n">
        <f aca="false">IF(OR(배관기본물량!$G47="",배관기본물량!$B47&lt;&gt;"설치"),"",IFERROR(INDEX(제작기준!$B$5:$B$30,MATCH(L47,제작기준!$A$5:$A$30,0)),0))</f>
        <v>0.015</v>
      </c>
      <c r="N47" s="6" t="str">
        <f aca="false">IF(OR(배관기본물량!$G47="",배관기본물량!$B47&lt;&gt;"설치"),"",배관기본물량!$AB47)</f>
        <v>C/C</v>
      </c>
    </row>
    <row r="48" customFormat="false" ht="15" hidden="false" customHeight="true" outlineLevel="0" collapsed="false">
      <c r="A48" s="6" t="n">
        <f aca="false">IF(OR(배관기본물량!$G48="",배관기본물량!$B48&lt;&gt;"설치"),"",배관기본물량!A48)</f>
        <v>42</v>
      </c>
      <c r="B48" s="16" t="str">
        <f aca="false">IF(OR(배관기본물량!$G48="",배관기본물량!$B48&lt;&gt;"설치"),"",배관기본물량!H48)</f>
        <v>VALVE GATE FF(HV-SC-203)</v>
      </c>
      <c r="C48" s="6" t="n">
        <f aca="false">IF(OR(배관기본물량!$G48="",배관기본물량!$B48&lt;&gt;"설치"),"",IF(배관기본물량!I48="","",배관기본물량!I48))</f>
        <v>150</v>
      </c>
      <c r="D48" s="6" t="str">
        <f aca="false">IF(OR(배관기본물량!$G48="",배관기본물량!$B48&lt;&gt;"설치"),"",배관기본물량!F48&amp;"")</f>
        <v>SCPH2</v>
      </c>
      <c r="E48" s="6" t="str">
        <f aca="false">IF(OR(배관기본물량!$G48="",배관기본물량!$B48&lt;&gt;"설치"),"",배관기본물량!K48&amp;"")</f>
        <v>EA</v>
      </c>
      <c r="F48" s="35" t="n">
        <f aca="false">IF(OR(배관기본물량!$G48="",배관기본물량!$B48&lt;&gt;"설치"),"",IF(배관기본물량!L48="","",배관기본물량!L48))</f>
        <v>1</v>
      </c>
      <c r="G48" s="37" t="n">
        <f aca="false">IF(OR(배관기본물량!$G48="",배관기본물량!$B48&lt;&gt;"설치"),"",IF(배관기본물량!G48="PIPE",배관기본물량!M48,IF(배관기본물량!N48="","",배관기본물량!N48)))</f>
        <v>130</v>
      </c>
      <c r="H48" s="35" t="n">
        <f aca="false">IF(OR(배관기본물량!$G48="",배관기본물량!$B48&lt;&gt;"설치"),"",IF(배관기본물량!G48="PIPE",N(배관기본물량!R48),N(배관기본물량!L48)))</f>
        <v>1</v>
      </c>
      <c r="I48" s="54" t="n">
        <f aca="false">IF(OR(배관기본물량!$G48="",배관기본물량!$B48&lt;&gt;"설치"),"",배관기본물량!P48)</f>
        <v>130</v>
      </c>
      <c r="J48" s="34" t="n">
        <f aca="false">IF(OR(배관기본물량!$G48="",배관기본물량!$B48&lt;&gt;"설치"),"",IF(배관기본물량!G48="PIPE",IF(AND(N(배관기본물량!I48)&gt;0,N(배관기본물량!I48)&gt;=배관기준!$AG$15),ROUNDUP(H48/배관기준!$AG$16,0)*배관기준!$AG$16,ROUNDUP(H48*(1+M48),0)),ROUND(H48*(1+M48),0)))</f>
        <v>1</v>
      </c>
      <c r="K48" s="54" t="n">
        <f aca="false">IF(OR(배관기본물량!$G48="",배관기본물량!$B48&lt;&gt;"설치"),"",IF(N(H48)&gt;0,IF(ISNUMBER(G48),J48*G48,0),I48*(1+M48)))</f>
        <v>130</v>
      </c>
      <c r="L48" s="16" t="str">
        <f aca="false">IF(OR(배관기본물량!$G48="",배관기본물량!$B48&lt;&gt;"설치"),"",IF(배관기본물량!V48&lt;&gt;"",배관기본물량!V48,IF(배관기본물량!G48="PIPE",IF(OR(LEFT(배관기본물량!F48,3)="STS",LEFT(배관기본물량!F48,3)="SUS"),"STS 강관",IF(N(배관기본물량!I48)&lt;=50,"강관(50A이하)","강관(50A초과)")),"배관 FITTING류(VALVE 外)")))</f>
        <v>배관 FITTING류(VALVE 外)</v>
      </c>
      <c r="M48" s="58" t="n">
        <f aca="false">IF(OR(배관기본물량!$G48="",배관기본물량!$B48&lt;&gt;"설치"),"",IFERROR(INDEX(제작기준!$B$5:$B$30,MATCH(L48,제작기준!$A$5:$A$30,0)),0))</f>
        <v>0.015</v>
      </c>
      <c r="N48" s="6" t="str">
        <f aca="false">IF(OR(배관기본물량!$G48="",배관기본물량!$B48&lt;&gt;"설치"),"",배관기본물량!$AB48)</f>
        <v>C/C</v>
      </c>
    </row>
    <row r="49" customFormat="false" ht="15" hidden="false" customHeight="true" outlineLevel="0" collapsed="false">
      <c r="A49" s="6" t="n">
        <f aca="false">IF(OR(배관기본물량!$G49="",배관기본물량!$B49&lt;&gt;"설치"),"",배관기본물량!A49)</f>
        <v>43</v>
      </c>
      <c r="B49" s="16" t="str">
        <f aca="false">IF(OR(배관기본물량!$G49="",배관기본물량!$B49&lt;&gt;"설치"),"",배관기본물량!H49)</f>
        <v>VALVE GATE 40K RF (HV-BC-203)</v>
      </c>
      <c r="C49" s="6" t="n">
        <f aca="false">IF(OR(배관기본물량!$G49="",배관기본물량!$B49&lt;&gt;"설치"),"",IF(배관기본물량!I49="","",배관기본물량!I49))</f>
        <v>200</v>
      </c>
      <c r="D49" s="6" t="str">
        <f aca="false">IF(OR(배관기본물량!$G49="",배관기본물량!$B49&lt;&gt;"설치"),"",배관기본물량!F49&amp;"")</f>
        <v>SCPH2</v>
      </c>
      <c r="E49" s="6" t="str">
        <f aca="false">IF(OR(배관기본물량!$G49="",배관기본물량!$B49&lt;&gt;"설치"),"",배관기본물량!K49&amp;"")</f>
        <v>EA</v>
      </c>
      <c r="F49" s="35" t="n">
        <f aca="false">IF(OR(배관기본물량!$G49="",배관기본물량!$B49&lt;&gt;"설치"),"",IF(배관기본물량!L49="","",배관기본물량!L49))</f>
        <v>1</v>
      </c>
      <c r="G49" s="37" t="n">
        <f aca="false">IF(OR(배관기본물량!$G49="",배관기본물량!$B49&lt;&gt;"설치"),"",IF(배관기본물량!G49="PIPE",배관기본물량!M49,IF(배관기본물량!N49="","",배관기본물량!N49)))</f>
        <v>553</v>
      </c>
      <c r="H49" s="35" t="n">
        <f aca="false">IF(OR(배관기본물량!$G49="",배관기본물량!$B49&lt;&gt;"설치"),"",IF(배관기본물량!G49="PIPE",N(배관기본물량!R49),N(배관기본물량!L49)))</f>
        <v>1</v>
      </c>
      <c r="I49" s="54" t="n">
        <f aca="false">IF(OR(배관기본물량!$G49="",배관기본물량!$B49&lt;&gt;"설치"),"",배관기본물량!P49)</f>
        <v>553</v>
      </c>
      <c r="J49" s="34" t="n">
        <f aca="false">IF(OR(배관기본물량!$G49="",배관기본물량!$B49&lt;&gt;"설치"),"",IF(배관기본물량!G49="PIPE",IF(AND(N(배관기본물량!I49)&gt;0,N(배관기본물량!I49)&gt;=배관기준!$AG$15),ROUNDUP(H49/배관기준!$AG$16,0)*배관기준!$AG$16,ROUNDUP(H49*(1+M49),0)),ROUND(H49*(1+M49),0)))</f>
        <v>1</v>
      </c>
      <c r="K49" s="54" t="n">
        <f aca="false">IF(OR(배관기본물량!$G49="",배관기본물량!$B49&lt;&gt;"설치"),"",IF(N(H49)&gt;0,IF(ISNUMBER(G49),J49*G49,0),I49*(1+M49)))</f>
        <v>553</v>
      </c>
      <c r="L49" s="16" t="str">
        <f aca="false">IF(OR(배관기본물량!$G49="",배관기본물량!$B49&lt;&gt;"설치"),"",IF(배관기본물량!V49&lt;&gt;"",배관기본물량!V49,IF(배관기본물량!G49="PIPE",IF(OR(LEFT(배관기본물량!F49,3)="STS",LEFT(배관기본물량!F49,3)="SUS"),"STS 강관",IF(N(배관기본물량!I49)&lt;=50,"강관(50A이하)","강관(50A초과)")),"배관 FITTING류(VALVE 外)")))</f>
        <v>배관 FITTING류(VALVE 外)</v>
      </c>
      <c r="M49" s="58" t="n">
        <f aca="false">IF(OR(배관기본물량!$G49="",배관기본물량!$B49&lt;&gt;"설치"),"",IFERROR(INDEX(제작기준!$B$5:$B$30,MATCH(L49,제작기준!$A$5:$A$30,0)),0))</f>
        <v>0.015</v>
      </c>
      <c r="N49" s="6" t="str">
        <f aca="false">IF(OR(배관기본물량!$G49="",배관기본물량!$B49&lt;&gt;"설치"),"",배관기본물량!$AB49)</f>
        <v>C/C</v>
      </c>
    </row>
    <row r="50" customFormat="false" ht="15" hidden="false" customHeight="true" outlineLevel="0" collapsed="false">
      <c r="A50" s="6" t="n">
        <f aca="false">IF(OR(배관기본물량!$G50="",배관기본물량!$B50&lt;&gt;"설치"),"",배관기본물량!A50)</f>
        <v>44</v>
      </c>
      <c r="B50" s="16" t="str">
        <f aca="false">IF(OR(배관기본물량!$G50="",배관기본물량!$B50&lt;&gt;"설치"),"",배관기본물량!H50)</f>
        <v>VALVE GATE BW S/40 (HV-BC-202)</v>
      </c>
      <c r="C50" s="6" t="n">
        <f aca="false">IF(OR(배관기본물량!$G50="",배관기본물량!$B50&lt;&gt;"설치"),"",IF(배관기본물량!I50="","",배관기본물량!I50))</f>
        <v>300</v>
      </c>
      <c r="D50" s="6" t="str">
        <f aca="false">IF(OR(배관기본물량!$G50="",배관기본물량!$B50&lt;&gt;"설치"),"",배관기본물량!F50&amp;"")</f>
        <v>SCPH2</v>
      </c>
      <c r="E50" s="6" t="str">
        <f aca="false">IF(OR(배관기본물량!$G50="",배관기본물량!$B50&lt;&gt;"설치"),"",배관기본물량!K50&amp;"")</f>
        <v>EA</v>
      </c>
      <c r="F50" s="35" t="n">
        <f aca="false">IF(OR(배관기본물량!$G50="",배관기본물량!$B50&lt;&gt;"설치"),"",IF(배관기본물량!L50="","",배관기본물량!L50))</f>
        <v>1</v>
      </c>
      <c r="G50" s="37" t="n">
        <f aca="false">IF(OR(배관기본물량!$G50="",배관기본물량!$B50&lt;&gt;"설치"),"",IF(배관기본물량!G50="PIPE",배관기본물량!M50,IF(배관기본물량!N50="","",배관기본물량!N50)))</f>
        <v>1193</v>
      </c>
      <c r="H50" s="35" t="n">
        <f aca="false">IF(OR(배관기본물량!$G50="",배관기본물량!$B50&lt;&gt;"설치"),"",IF(배관기본물량!G50="PIPE",N(배관기본물량!R50),N(배관기본물량!L50)))</f>
        <v>1</v>
      </c>
      <c r="I50" s="54" t="n">
        <f aca="false">IF(OR(배관기본물량!$G50="",배관기본물량!$B50&lt;&gt;"설치"),"",배관기본물량!P50)</f>
        <v>1193</v>
      </c>
      <c r="J50" s="34" t="n">
        <f aca="false">IF(OR(배관기본물량!$G50="",배관기본물량!$B50&lt;&gt;"설치"),"",IF(배관기본물량!G50="PIPE",IF(AND(N(배관기본물량!I50)&gt;0,N(배관기본물량!I50)&gt;=배관기준!$AG$15),ROUNDUP(H50/배관기준!$AG$16,0)*배관기준!$AG$16,ROUNDUP(H50*(1+M50),0)),ROUND(H50*(1+M50),0)))</f>
        <v>1</v>
      </c>
      <c r="K50" s="54" t="n">
        <f aca="false">IF(OR(배관기본물량!$G50="",배관기본물량!$B50&lt;&gt;"설치"),"",IF(N(H50)&gt;0,IF(ISNUMBER(G50),J50*G50,0),I50*(1+M50)))</f>
        <v>1193</v>
      </c>
      <c r="L50" s="16" t="str">
        <f aca="false">IF(OR(배관기본물량!$G50="",배관기본물량!$B50&lt;&gt;"설치"),"",IF(배관기본물량!V50&lt;&gt;"",배관기본물량!V50,IF(배관기본물량!G50="PIPE",IF(OR(LEFT(배관기본물량!F50,3)="STS",LEFT(배관기본물량!F50,3)="SUS"),"STS 강관",IF(N(배관기본물량!I50)&lt;=50,"강관(50A이하)","강관(50A초과)")),"배관 FITTING류(VALVE 外)")))</f>
        <v>배관 FITTING류(VALVE 外)</v>
      </c>
      <c r="M50" s="58" t="n">
        <f aca="false">IF(OR(배관기본물량!$G50="",배관기본물량!$B50&lt;&gt;"설치"),"",IFERROR(INDEX(제작기준!$B$5:$B$30,MATCH(L50,제작기준!$A$5:$A$30,0)),0))</f>
        <v>0.015</v>
      </c>
      <c r="N50" s="6" t="str">
        <f aca="false">IF(OR(배관기본물량!$G50="",배관기본물량!$B50&lt;&gt;"설치"),"",배관기본물량!$AB50)</f>
        <v>C/C</v>
      </c>
    </row>
    <row r="51" customFormat="false" ht="15" hidden="false" customHeight="true" outlineLevel="0" collapsed="false">
      <c r="A51" s="6" t="n">
        <f aca="false">IF(OR(배관기본물량!$G51="",배관기본물량!$B51&lt;&gt;"설치"),"",배관기본물량!A51)</f>
        <v>45</v>
      </c>
      <c r="B51" s="16" t="str">
        <f aca="false">IF(OR(배관기본물량!$G51="",배관기본물량!$B51&lt;&gt;"설치"),"",배관기본물량!H51)</f>
        <v>BOSS</v>
      </c>
      <c r="C51" s="6" t="n">
        <f aca="false">IF(OR(배관기본물량!$G51="",배관기본물량!$B51&lt;&gt;"설치"),"",IF(배관기본물량!I51="","",배관기본물량!I51))</f>
        <v>15</v>
      </c>
      <c r="D51" s="6" t="str">
        <f aca="false">IF(OR(배관기본물량!$G51="",배관기본물량!$B51&lt;&gt;"설치"),"",배관기본물량!F51&amp;"")</f>
        <v>A105</v>
      </c>
      <c r="E51" s="6" t="str">
        <f aca="false">IF(OR(배관기본물량!$G51="",배관기본물량!$B51&lt;&gt;"설치"),"",배관기본물량!K51&amp;"")</f>
        <v>EA</v>
      </c>
      <c r="F51" s="35" t="n">
        <f aca="false">IF(OR(배관기본물량!$G51="",배관기본물량!$B51&lt;&gt;"설치"),"",IF(배관기본물량!L51="","",배관기본물량!L51))</f>
        <v>3</v>
      </c>
      <c r="G51" s="37" t="n">
        <f aca="false">IF(OR(배관기본물량!$G51="",배관기본물량!$B51&lt;&gt;"설치"),"",IF(배관기본물량!G51="PIPE",배관기본물량!M51,IF(배관기본물량!N51="","",배관기본물량!N51)))</f>
        <v>0.2</v>
      </c>
      <c r="H51" s="35" t="n">
        <f aca="false">IF(OR(배관기본물량!$G51="",배관기본물량!$B51&lt;&gt;"설치"),"",IF(배관기본물량!G51="PIPE",N(배관기본물량!R51),N(배관기본물량!L51)))</f>
        <v>3</v>
      </c>
      <c r="I51" s="54" t="n">
        <f aca="false">IF(OR(배관기본물량!$G51="",배관기본물량!$B51&lt;&gt;"설치"),"",배관기본물량!P51)</f>
        <v>0.6</v>
      </c>
      <c r="J51" s="34" t="n">
        <f aca="false">IF(OR(배관기본물량!$G51="",배관기본물량!$B51&lt;&gt;"설치"),"",IF(배관기본물량!G51="PIPE",IF(AND(N(배관기본물량!I51)&gt;0,N(배관기본물량!I51)&gt;=배관기준!$AG$15),ROUNDUP(H51/배관기준!$AG$16,0)*배관기준!$AG$16,ROUNDUP(H51*(1+M51),0)),ROUND(H51*(1+M51),0)))</f>
        <v>3</v>
      </c>
      <c r="K51" s="54" t="n">
        <f aca="false">IF(OR(배관기본물량!$G51="",배관기본물량!$B51&lt;&gt;"설치"),"",IF(N(H51)&gt;0,IF(ISNUMBER(G51),J51*G51,0),I51*(1+M51)))</f>
        <v>0.6</v>
      </c>
      <c r="L51" s="16" t="str">
        <f aca="false">IF(OR(배관기본물량!$G51="",배관기본물량!$B51&lt;&gt;"설치"),"",IF(배관기본물량!V51&lt;&gt;"",배관기본물량!V51,IF(배관기본물량!G51="PIPE",IF(OR(LEFT(배관기본물량!F51,3)="STS",LEFT(배관기본물량!F51,3)="SUS"),"STS 강관",IF(N(배관기본물량!I51)&lt;=50,"강관(50A이하)","강관(50A초과)")),"배관 FITTING류(VALVE 外)")))</f>
        <v>배관 FITTING류(VALVE 外)</v>
      </c>
      <c r="M51" s="58" t="n">
        <f aca="false">IF(OR(배관기본물량!$G51="",배관기본물량!$B51&lt;&gt;"설치"),"",IFERROR(INDEX(제작기준!$B$5:$B$30,MATCH(L51,제작기준!$A$5:$A$30,0)),0))</f>
        <v>0.015</v>
      </c>
      <c r="N51" s="6" t="str">
        <f aca="false">IF(OR(배관기본물량!$G51="",배관기본물량!$B51&lt;&gt;"설치"),"",배관기본물량!$AB51)</f>
        <v>C/C</v>
      </c>
    </row>
    <row r="52" customFormat="false" ht="15" hidden="false" customHeight="true" outlineLevel="0" collapsed="false">
      <c r="A52" s="6" t="n">
        <f aca="false">IF(OR(배관기본물량!$G52="",배관기본물량!$B52&lt;&gt;"설치"),"",배관기본물량!A52)</f>
        <v>46</v>
      </c>
      <c r="B52" s="16" t="str">
        <f aca="false">IF(OR(배관기본물량!$G52="",배관기본물량!$B52&lt;&gt;"설치"),"",배관기본물량!H52)</f>
        <v>BOSS</v>
      </c>
      <c r="C52" s="6" t="n">
        <f aca="false">IF(OR(배관기본물량!$G52="",배관기본물량!$B52&lt;&gt;"설치"),"",IF(배관기본물량!I52="","",배관기본물량!I52))</f>
        <v>25</v>
      </c>
      <c r="D52" s="6" t="str">
        <f aca="false">IF(OR(배관기본물량!$G52="",배관기본물량!$B52&lt;&gt;"설치"),"",배관기본물량!F52&amp;"")</f>
        <v>A105</v>
      </c>
      <c r="E52" s="6" t="str">
        <f aca="false">IF(OR(배관기본물량!$G52="",배관기본물량!$B52&lt;&gt;"설치"),"",배관기본물량!K52&amp;"")</f>
        <v>EA</v>
      </c>
      <c r="F52" s="35" t="n">
        <f aca="false">IF(OR(배관기본물량!$G52="",배관기본물량!$B52&lt;&gt;"설치"),"",IF(배관기본물량!L52="","",배관기본물량!L52))</f>
        <v>3</v>
      </c>
      <c r="G52" s="37" t="n">
        <f aca="false">IF(OR(배관기본물량!$G52="",배관기본물량!$B52&lt;&gt;"설치"),"",IF(배관기본물량!G52="PIPE",배관기본물량!M52,IF(배관기본물량!N52="","",배관기본물량!N52)))</f>
        <v>0.4</v>
      </c>
      <c r="H52" s="35" t="n">
        <f aca="false">IF(OR(배관기본물량!$G52="",배관기본물량!$B52&lt;&gt;"설치"),"",IF(배관기본물량!G52="PIPE",N(배관기본물량!R52),N(배관기본물량!L52)))</f>
        <v>3</v>
      </c>
      <c r="I52" s="54" t="n">
        <f aca="false">IF(OR(배관기본물량!$G52="",배관기본물량!$B52&lt;&gt;"설치"),"",배관기본물량!P52)</f>
        <v>1.2</v>
      </c>
      <c r="J52" s="34" t="n">
        <f aca="false">IF(OR(배관기본물량!$G52="",배관기본물량!$B52&lt;&gt;"설치"),"",IF(배관기본물량!G52="PIPE",IF(AND(N(배관기본물량!I52)&gt;0,N(배관기본물량!I52)&gt;=배관기준!$AG$15),ROUNDUP(H52/배관기준!$AG$16,0)*배관기준!$AG$16,ROUNDUP(H52*(1+M52),0)),ROUND(H52*(1+M52),0)))</f>
        <v>3</v>
      </c>
      <c r="K52" s="54" t="n">
        <f aca="false">IF(OR(배관기본물량!$G52="",배관기본물량!$B52&lt;&gt;"설치"),"",IF(N(H52)&gt;0,IF(ISNUMBER(G52),J52*G52,0),I52*(1+M52)))</f>
        <v>1.2</v>
      </c>
      <c r="L52" s="16" t="str">
        <f aca="false">IF(OR(배관기본물량!$G52="",배관기본물량!$B52&lt;&gt;"설치"),"",IF(배관기본물량!V52&lt;&gt;"",배관기본물량!V52,IF(배관기본물량!G52="PIPE",IF(OR(LEFT(배관기본물량!F52,3)="STS",LEFT(배관기본물량!F52,3)="SUS"),"STS 강관",IF(N(배관기본물량!I52)&lt;=50,"강관(50A이하)","강관(50A초과)")),"배관 FITTING류(VALVE 外)")))</f>
        <v>배관 FITTING류(VALVE 外)</v>
      </c>
      <c r="M52" s="58" t="n">
        <f aca="false">IF(OR(배관기본물량!$G52="",배관기본물량!$B52&lt;&gt;"설치"),"",IFERROR(INDEX(제작기준!$B$5:$B$30,MATCH(L52,제작기준!$A$5:$A$30,0)),0))</f>
        <v>0.015</v>
      </c>
      <c r="N52" s="6" t="str">
        <f aca="false">IF(OR(배관기본물량!$G52="",배관기본물량!$B52&lt;&gt;"설치"),"",배관기본물량!$AB52)</f>
        <v/>
      </c>
    </row>
    <row r="53" customFormat="false" ht="15" hidden="false" customHeight="true" outlineLevel="0" collapsed="false">
      <c r="A53" s="6" t="n">
        <f aca="false">IF(OR(배관기본물량!$G53="",배관기본물량!$B53&lt;&gt;"설치"),"",배관기본물량!A53)</f>
        <v>47</v>
      </c>
      <c r="B53" s="16" t="str">
        <f aca="false">IF(OR(배관기본물량!$G53="",배관기본물량!$B53&lt;&gt;"설치"),"",배관기본물량!H53)</f>
        <v>C.RED 80Ax50A</v>
      </c>
      <c r="C53" s="6" t="n">
        <f aca="false">IF(OR(배관기본물량!$G53="",배관기본물량!$B53&lt;&gt;"설치"),"",IF(배관기본물량!I53="","",배관기본물량!I53))</f>
        <v>80</v>
      </c>
      <c r="D53" s="6" t="str">
        <f aca="false">IF(OR(배관기본물량!$G53="",배관기본물량!$B53&lt;&gt;"설치"),"",배관기본물량!F53&amp;"")</f>
        <v>STPT370S</v>
      </c>
      <c r="E53" s="6" t="str">
        <f aca="false">IF(OR(배관기본물량!$G53="",배관기본물량!$B53&lt;&gt;"설치"),"",배관기본물량!K53&amp;"")</f>
        <v>EA</v>
      </c>
      <c r="F53" s="35" t="n">
        <f aca="false">IF(OR(배관기본물량!$G53="",배관기본물량!$B53&lt;&gt;"설치"),"",IF(배관기본물량!L53="","",배관기본물량!L53))</f>
        <v>1</v>
      </c>
      <c r="G53" s="37" t="n">
        <f aca="false">IF(OR(배관기본물량!$G53="",배관기본물량!$B53&lt;&gt;"설치"),"",IF(배관기본물량!G53="PIPE",배관기본물량!M53,IF(배관기본물량!N53="","",배관기본물량!N53)))</f>
        <v>0.7</v>
      </c>
      <c r="H53" s="35" t="n">
        <f aca="false">IF(OR(배관기본물량!$G53="",배관기본물량!$B53&lt;&gt;"설치"),"",IF(배관기본물량!G53="PIPE",N(배관기본물량!R53),N(배관기본물량!L53)))</f>
        <v>1</v>
      </c>
      <c r="I53" s="54" t="n">
        <f aca="false">IF(OR(배관기본물량!$G53="",배관기본물량!$B53&lt;&gt;"설치"),"",배관기본물량!P53)</f>
        <v>0.7</v>
      </c>
      <c r="J53" s="34" t="n">
        <f aca="false">IF(OR(배관기본물량!$G53="",배관기본물량!$B53&lt;&gt;"설치"),"",IF(배관기본물량!G53="PIPE",IF(AND(N(배관기본물량!I53)&gt;0,N(배관기본물량!I53)&gt;=배관기준!$AG$15),ROUNDUP(H53/배관기준!$AG$16,0)*배관기준!$AG$16,ROUNDUP(H53*(1+M53),0)),ROUND(H53*(1+M53),0)))</f>
        <v>1</v>
      </c>
      <c r="K53" s="54" t="n">
        <f aca="false">IF(OR(배관기본물량!$G53="",배관기본물량!$B53&lt;&gt;"설치"),"",IF(N(H53)&gt;0,IF(ISNUMBER(G53),J53*G53,0),I53*(1+M53)))</f>
        <v>0.7</v>
      </c>
      <c r="L53" s="16" t="str">
        <f aca="false">IF(OR(배관기본물량!$G53="",배관기본물량!$B53&lt;&gt;"설치"),"",IF(배관기본물량!V53&lt;&gt;"",배관기본물량!V53,IF(배관기본물량!G53="PIPE",IF(OR(LEFT(배관기본물량!F53,3)="STS",LEFT(배관기본물량!F53,3)="SUS"),"STS 강관",IF(N(배관기본물량!I53)&lt;=50,"강관(50A이하)","강관(50A초과)")),"배관 FITTING류(VALVE 外)")))</f>
        <v>배관 FITTING류(VALVE 外)</v>
      </c>
      <c r="M53" s="58" t="n">
        <f aca="false">IF(OR(배관기본물량!$G53="",배관기본물량!$B53&lt;&gt;"설치"),"",IFERROR(INDEX(제작기준!$B$5:$B$30,MATCH(L53,제작기준!$A$5:$A$30,0)),0))</f>
        <v>0.015</v>
      </c>
      <c r="N53" s="6" t="str">
        <f aca="false">IF(OR(배관기본물량!$G53="",배관기본물량!$B53&lt;&gt;"설치"),"",배관기본물량!$AB53)</f>
        <v>C/C</v>
      </c>
    </row>
    <row r="54" customFormat="false" ht="15" hidden="false" customHeight="true" outlineLevel="0" collapsed="false">
      <c r="A54" s="6" t="n">
        <f aca="false">IF(OR(배관기본물량!$G54="",배관기본물량!$B54&lt;&gt;"설치"),"",배관기본물량!A54)</f>
        <v>48</v>
      </c>
      <c r="B54" s="16" t="str">
        <f aca="false">IF(OR(배관기본물량!$G54="",배관기본물량!$B54&lt;&gt;"설치"),"",배관기본물량!H54)</f>
        <v>C.RED 250Ax200A</v>
      </c>
      <c r="C54" s="6" t="n">
        <f aca="false">IF(OR(배관기본물량!$G54="",배관기본물량!$B54&lt;&gt;"설치"),"",IF(배관기본물량!I54="","",배관기본물량!I54))</f>
        <v>250</v>
      </c>
      <c r="D54" s="6" t="str">
        <f aca="false">IF(OR(배관기본물량!$G54="",배관기본물량!$B54&lt;&gt;"설치"),"",배관기본물량!F54&amp;"")</f>
        <v>STPT370S</v>
      </c>
      <c r="E54" s="6" t="str">
        <f aca="false">IF(OR(배관기본물량!$G54="",배관기본물량!$B54&lt;&gt;"설치"),"",배관기본물량!K54&amp;"")</f>
        <v>EA</v>
      </c>
      <c r="F54" s="35" t="n">
        <f aca="false">IF(OR(배관기본물량!$G54="",배관기본물량!$B54&lt;&gt;"설치"),"",IF(배관기본물량!L54="","",배관기본물량!L54))</f>
        <v>2</v>
      </c>
      <c r="G54" s="37" t="n">
        <f aca="false">IF(OR(배관기본물량!$G54="",배관기본물량!$B54&lt;&gt;"설치"),"",IF(배관기본물량!G54="PIPE",배관기본물량!M54,IF(배관기본물량!N54="","",배관기본물량!N54)))</f>
        <v>8.9</v>
      </c>
      <c r="H54" s="35" t="n">
        <f aca="false">IF(OR(배관기본물량!$G54="",배관기본물량!$B54&lt;&gt;"설치"),"",IF(배관기본물량!G54="PIPE",N(배관기본물량!R54),N(배관기본물량!L54)))</f>
        <v>2</v>
      </c>
      <c r="I54" s="54" t="n">
        <f aca="false">IF(OR(배관기본물량!$G54="",배관기본물량!$B54&lt;&gt;"설치"),"",배관기본물량!P54)</f>
        <v>17.8</v>
      </c>
      <c r="J54" s="34" t="n">
        <f aca="false">IF(OR(배관기본물량!$G54="",배관기본물량!$B54&lt;&gt;"설치"),"",IF(배관기본물량!G54="PIPE",IF(AND(N(배관기본물량!I54)&gt;0,N(배관기본물량!I54)&gt;=배관기준!$AG$15),ROUNDUP(H54/배관기준!$AG$16,0)*배관기준!$AG$16,ROUNDUP(H54*(1+M54),0)),ROUND(H54*(1+M54),0)))</f>
        <v>2</v>
      </c>
      <c r="K54" s="54" t="n">
        <f aca="false">IF(OR(배관기본물량!$G54="",배관기본물량!$B54&lt;&gt;"설치"),"",IF(N(H54)&gt;0,IF(ISNUMBER(G54),J54*G54,0),I54*(1+M54)))</f>
        <v>17.8</v>
      </c>
      <c r="L54" s="16" t="str">
        <f aca="false">IF(OR(배관기본물량!$G54="",배관기본물량!$B54&lt;&gt;"설치"),"",IF(배관기본물량!V54&lt;&gt;"",배관기본물량!V54,IF(배관기본물량!G54="PIPE",IF(OR(LEFT(배관기본물량!F54,3)="STS",LEFT(배관기본물량!F54,3)="SUS"),"STS 강관",IF(N(배관기본물량!I54)&lt;=50,"강관(50A이하)","강관(50A초과)")),"배관 FITTING류(VALVE 外)")))</f>
        <v>배관 FITTING류(VALVE 外)</v>
      </c>
      <c r="M54" s="58" t="n">
        <f aca="false">IF(OR(배관기본물량!$G54="",배관기본물량!$B54&lt;&gt;"설치"),"",IFERROR(INDEX(제작기준!$B$5:$B$30,MATCH(L54,제작기준!$A$5:$A$30,0)),0))</f>
        <v>0.015</v>
      </c>
      <c r="N54" s="6" t="str">
        <f aca="false">IF(OR(배관기본물량!$G54="",배관기본물량!$B54&lt;&gt;"설치"),"",배관기본물량!$AB54)</f>
        <v>C/C</v>
      </c>
    </row>
    <row r="55" customFormat="false" ht="15" hidden="false" customHeight="true" outlineLevel="0" collapsed="false">
      <c r="A55" s="6" t="n">
        <f aca="false">IF(OR(배관기본물량!$G55="",배관기본물량!$B55&lt;&gt;"설치"),"",배관기본물량!A55)</f>
        <v>49</v>
      </c>
      <c r="B55" s="16" t="str">
        <f aca="false">IF(OR(배관기본물량!$G55="",배관기본물량!$B55&lt;&gt;"설치"),"",배관기본물량!H55)</f>
        <v>C.RED 300Ax200A</v>
      </c>
      <c r="C55" s="6" t="n">
        <f aca="false">IF(OR(배관기본물량!$G55="",배관기본물량!$B55&lt;&gt;"설치"),"",IF(배관기본물량!I55="","",배관기본물량!I55))</f>
        <v>300</v>
      </c>
      <c r="D55" s="6" t="str">
        <f aca="false">IF(OR(배관기본물량!$G55="",배관기본물량!$B55&lt;&gt;"설치"),"",배관기본물량!F55&amp;"")</f>
        <v>STPT370S</v>
      </c>
      <c r="E55" s="6" t="str">
        <f aca="false">IF(OR(배관기본물량!$G55="",배관기본물량!$B55&lt;&gt;"설치"),"",배관기본물량!K55&amp;"")</f>
        <v>EA</v>
      </c>
      <c r="F55" s="35" t="n">
        <f aca="false">IF(OR(배관기본물량!$G55="",배관기본물량!$B55&lt;&gt;"설치"),"",IF(배관기본물량!L55="","",배관기본물량!L55))</f>
        <v>1</v>
      </c>
      <c r="G55" s="37" t="n">
        <f aca="false">IF(OR(배관기본물량!$G55="",배관기본물량!$B55&lt;&gt;"설치"),"",IF(배관기본물량!G55="PIPE",배관기본물량!M55,IF(배관기본물량!N55="","",배관기본물량!N55)))</f>
        <v>12</v>
      </c>
      <c r="H55" s="35" t="n">
        <f aca="false">IF(OR(배관기본물량!$G55="",배관기본물량!$B55&lt;&gt;"설치"),"",IF(배관기본물량!G55="PIPE",N(배관기본물량!R55),N(배관기본물량!L55)))</f>
        <v>1</v>
      </c>
      <c r="I55" s="54" t="n">
        <f aca="false">IF(OR(배관기본물량!$G55="",배관기본물량!$B55&lt;&gt;"설치"),"",배관기본물량!P55)</f>
        <v>12</v>
      </c>
      <c r="J55" s="34" t="n">
        <f aca="false">IF(OR(배관기본물량!$G55="",배관기본물량!$B55&lt;&gt;"설치"),"",IF(배관기본물량!G55="PIPE",IF(AND(N(배관기본물량!I55)&gt;0,N(배관기본물량!I55)&gt;=배관기준!$AG$15),ROUNDUP(H55/배관기준!$AG$16,0)*배관기준!$AG$16,ROUNDUP(H55*(1+M55),0)),ROUND(H55*(1+M55),0)))</f>
        <v>1</v>
      </c>
      <c r="K55" s="54" t="n">
        <f aca="false">IF(OR(배관기본물량!$G55="",배관기본물량!$B55&lt;&gt;"설치"),"",IF(N(H55)&gt;0,IF(ISNUMBER(G55),J55*G55,0),I55*(1+M55)))</f>
        <v>12</v>
      </c>
      <c r="L55" s="16" t="str">
        <f aca="false">IF(OR(배관기본물량!$G55="",배관기본물량!$B55&lt;&gt;"설치"),"",IF(배관기본물량!V55&lt;&gt;"",배관기본물량!V55,IF(배관기본물량!G55="PIPE",IF(OR(LEFT(배관기본물량!F55,3)="STS",LEFT(배관기본물량!F55,3)="SUS"),"STS 강관",IF(N(배관기본물량!I55)&lt;=50,"강관(50A이하)","강관(50A초과)")),"배관 FITTING류(VALVE 外)")))</f>
        <v>배관 FITTING류(VALVE 外)</v>
      </c>
      <c r="M55" s="58" t="n">
        <f aca="false">IF(OR(배관기본물량!$G55="",배관기본물량!$B55&lt;&gt;"설치"),"",IFERROR(INDEX(제작기준!$B$5:$B$30,MATCH(L55,제작기준!$A$5:$A$30,0)),0))</f>
        <v>0.015</v>
      </c>
      <c r="N55" s="6" t="str">
        <f aca="false">IF(OR(배관기본물량!$G55="",배관기본물량!$B55&lt;&gt;"설치"),"",배관기본물량!$AB55)</f>
        <v>C/C</v>
      </c>
    </row>
    <row r="56" customFormat="false" ht="15" hidden="false" customHeight="true" outlineLevel="0" collapsed="false">
      <c r="A56" s="6" t="n">
        <f aca="false">IF(OR(배관기본물량!$G56="",배관기본물량!$B56&lt;&gt;"설치"),"",배관기본물량!A56)</f>
        <v>50</v>
      </c>
      <c r="B56" s="16" t="str">
        <f aca="false">IF(OR(배관기본물량!$G56="",배관기본물량!$B56&lt;&gt;"설치"),"",배관기본물량!H56)</f>
        <v>F.HOSE 1500L</v>
      </c>
      <c r="C56" s="6" t="n">
        <f aca="false">IF(OR(배관기본물량!$G56="",배관기본물량!$B56&lt;&gt;"설치"),"",IF(배관기본물량!I56="","",배관기본물량!I56))</f>
        <v>150</v>
      </c>
      <c r="D56" s="6" t="str">
        <f aca="false">IF(OR(배관기본물량!$G56="",배관기본물량!$B56&lt;&gt;"설치"),"",배관기본물량!F56&amp;"")</f>
        <v>SUS304</v>
      </c>
      <c r="E56" s="6" t="str">
        <f aca="false">IF(OR(배관기본물량!$G56="",배관기본물량!$B56&lt;&gt;"설치"),"",배관기본물량!K56&amp;"")</f>
        <v>EA</v>
      </c>
      <c r="F56" s="35" t="n">
        <f aca="false">IF(OR(배관기본물량!$G56="",배관기본물량!$B56&lt;&gt;"설치"),"",IF(배관기본물량!L56="","",배관기본물량!L56))</f>
        <v>1</v>
      </c>
      <c r="G56" s="37" t="str">
        <f aca="false">IF(OR(배관기본물량!$G56="",배관기본물량!$B56&lt;&gt;"설치"),"",IF(배관기본물량!G56="PIPE",배관기본물량!M56,IF(배관기본물량!N56="","",배관기본물량!N56)))</f>
        <v/>
      </c>
      <c r="H56" s="35" t="n">
        <f aca="false">IF(OR(배관기본물량!$G56="",배관기본물량!$B56&lt;&gt;"설치"),"",IF(배관기본물량!G56="PIPE",N(배관기본물량!R56),N(배관기본물량!L56)))</f>
        <v>1</v>
      </c>
      <c r="I56" s="54" t="n">
        <f aca="false">IF(OR(배관기본물량!$G56="",배관기본물량!$B56&lt;&gt;"설치"),"",배관기본물량!P56)</f>
        <v>0</v>
      </c>
      <c r="J56" s="34" t="n">
        <f aca="false">IF(OR(배관기본물량!$G56="",배관기본물량!$B56&lt;&gt;"설치"),"",IF(배관기본물량!G56="PIPE",IF(AND(N(배관기본물량!I56)&gt;0,N(배관기본물량!I56)&gt;=배관기준!$AG$15),ROUNDUP(H56/배관기준!$AG$16,0)*배관기준!$AG$16,ROUNDUP(H56*(1+M56),0)),ROUND(H56*(1+M56),0)))</f>
        <v>1</v>
      </c>
      <c r="K56" s="54" t="n">
        <f aca="false">IF(OR(배관기본물량!$G56="",배관기본물량!$B56&lt;&gt;"설치"),"",IF(N(H56)&gt;0,IF(ISNUMBER(G56),J56*G56,0),I56*(1+M56)))</f>
        <v>0</v>
      </c>
      <c r="L56" s="16" t="str">
        <f aca="false">IF(OR(배관기본물량!$G56="",배관기본물량!$B56&lt;&gt;"설치"),"",IF(배관기본물량!V56&lt;&gt;"",배관기본물량!V56,IF(배관기본물량!G56="PIPE",IF(OR(LEFT(배관기본물량!F56,3)="STS",LEFT(배관기본물량!F56,3)="SUS"),"STS 강관",IF(N(배관기본물량!I56)&lt;=50,"강관(50A이하)","강관(50A초과)")),"배관 FITTING류(VALVE 外)")))</f>
        <v>배관 FITTING류(VALVE 外)</v>
      </c>
      <c r="M56" s="58" t="n">
        <f aca="false">IF(OR(배관기본물량!$G56="",배관기본물량!$B56&lt;&gt;"설치"),"",IFERROR(INDEX(제작기준!$B$5:$B$30,MATCH(L56,제작기준!$A$5:$A$30,0)),0))</f>
        <v>0.015</v>
      </c>
      <c r="N56" s="6" t="str">
        <f aca="false">IF(OR(배관기본물량!$G56="",배관기본물량!$B56&lt;&gt;"설치"),"",배관기본물량!$AB56)</f>
        <v>C/C</v>
      </c>
    </row>
    <row r="57" customFormat="false" ht="15" hidden="false" customHeight="true" outlineLevel="0" collapsed="false">
      <c r="A57" s="6" t="n">
        <f aca="false">IF(OR(배관기본물량!$G57="",배관기본물량!$B57&lt;&gt;"설치"),"",배관기본물량!A57)</f>
        <v>51</v>
      </c>
      <c r="B57" s="16" t="str">
        <f aca="false">IF(OR(배관기본물량!$G57="",배관기본물량!$B57&lt;&gt;"설치"),"",배관기본물량!H57)</f>
        <v>F.HOSE 1500L</v>
      </c>
      <c r="C57" s="6" t="n">
        <f aca="false">IF(OR(배관기본물량!$G57="",배관기본물량!$B57&lt;&gt;"설치"),"",IF(배관기본물량!I57="","",배관기본물량!I57))</f>
        <v>80</v>
      </c>
      <c r="D57" s="6" t="str">
        <f aca="false">IF(OR(배관기본물량!$G57="",배관기본물량!$B57&lt;&gt;"설치"),"",배관기본물량!F57&amp;"")</f>
        <v>SUS304</v>
      </c>
      <c r="E57" s="6" t="str">
        <f aca="false">IF(OR(배관기본물량!$G57="",배관기본물량!$B57&lt;&gt;"설치"),"",배관기본물량!K57&amp;"")</f>
        <v>EA</v>
      </c>
      <c r="F57" s="35" t="n">
        <f aca="false">IF(OR(배관기본물량!$G57="",배관기본물량!$B57&lt;&gt;"설치"),"",IF(배관기본물량!L57="","",배관기본물량!L57))</f>
        <v>1</v>
      </c>
      <c r="G57" s="37" t="str">
        <f aca="false">IF(OR(배관기본물량!$G57="",배관기본물량!$B57&lt;&gt;"설치"),"",IF(배관기본물량!G57="PIPE",배관기본물량!M57,IF(배관기본물량!N57="","",배관기본물량!N57)))</f>
        <v/>
      </c>
      <c r="H57" s="35" t="n">
        <f aca="false">IF(OR(배관기본물량!$G57="",배관기본물량!$B57&lt;&gt;"설치"),"",IF(배관기본물량!G57="PIPE",N(배관기본물량!R57),N(배관기본물량!L57)))</f>
        <v>1</v>
      </c>
      <c r="I57" s="54" t="n">
        <f aca="false">IF(OR(배관기본물량!$G57="",배관기본물량!$B57&lt;&gt;"설치"),"",배관기본물량!P57)</f>
        <v>0</v>
      </c>
      <c r="J57" s="34" t="n">
        <f aca="false">IF(OR(배관기본물량!$G57="",배관기본물량!$B57&lt;&gt;"설치"),"",IF(배관기본물량!G57="PIPE",IF(AND(N(배관기본물량!I57)&gt;0,N(배관기본물량!I57)&gt;=배관기준!$AG$15),ROUNDUP(H57/배관기준!$AG$16,0)*배관기준!$AG$16,ROUNDUP(H57*(1+M57),0)),ROUND(H57*(1+M57),0)))</f>
        <v>1</v>
      </c>
      <c r="K57" s="54" t="n">
        <f aca="false">IF(OR(배관기본물량!$G57="",배관기본물량!$B57&lt;&gt;"설치"),"",IF(N(H57)&gt;0,IF(ISNUMBER(G57),J57*G57,0),I57*(1+M57)))</f>
        <v>0</v>
      </c>
      <c r="L57" s="16" t="str">
        <f aca="false">IF(OR(배관기본물량!$G57="",배관기본물량!$B57&lt;&gt;"설치"),"",IF(배관기본물량!V57&lt;&gt;"",배관기본물량!V57,IF(배관기본물량!G57="PIPE",IF(OR(LEFT(배관기본물량!F57,3)="STS",LEFT(배관기본물량!F57,3)="SUS"),"STS 강관",IF(N(배관기본물량!I57)&lt;=50,"강관(50A이하)","강관(50A초과)")),"배관 FITTING류(VALVE 外)")))</f>
        <v>배관 FITTING류(VALVE 外)</v>
      </c>
      <c r="M57" s="58" t="n">
        <f aca="false">IF(OR(배관기본물량!$G57="",배관기본물량!$B57&lt;&gt;"설치"),"",IFERROR(INDEX(제작기준!$B$5:$B$30,MATCH(L57,제작기준!$A$5:$A$30,0)),0))</f>
        <v>0.015</v>
      </c>
      <c r="N57" s="6" t="str">
        <f aca="false">IF(OR(배관기본물량!$G57="",배관기본물량!$B57&lt;&gt;"설치"),"",배관기본물량!$AB57)</f>
        <v>C/C</v>
      </c>
    </row>
    <row r="58" customFormat="false" ht="15" hidden="false" customHeight="true" outlineLevel="0" collapsed="false">
      <c r="A58" s="6" t="n">
        <f aca="false">IF(OR(배관기본물량!$G58="",배관기본물량!$B58&lt;&gt;"설치"),"",배관기본물량!A58)</f>
        <v>52</v>
      </c>
      <c r="B58" s="16" t="str">
        <f aca="false">IF(OR(배관기본물량!$G58="",배관기본물량!$B58&lt;&gt;"설치"),"",배관기본물량!H58)</f>
        <v>F.HOSE 1500L</v>
      </c>
      <c r="C58" s="6" t="n">
        <f aca="false">IF(OR(배관기본물량!$G58="",배관기본물량!$B58&lt;&gt;"설치"),"",IF(배관기본물량!I58="","",배관기본물량!I58))</f>
        <v>50</v>
      </c>
      <c r="D58" s="6" t="str">
        <f aca="false">IF(OR(배관기본물량!$G58="",배관기본물량!$B58&lt;&gt;"설치"),"",배관기본물량!F58&amp;"")</f>
        <v>SUS304</v>
      </c>
      <c r="E58" s="6" t="str">
        <f aca="false">IF(OR(배관기본물량!$G58="",배관기본물량!$B58&lt;&gt;"설치"),"",배관기본물량!K58&amp;"")</f>
        <v>EA</v>
      </c>
      <c r="F58" s="35" t="n">
        <f aca="false">IF(OR(배관기본물량!$G58="",배관기본물량!$B58&lt;&gt;"설치"),"",IF(배관기본물량!L58="","",배관기본물량!L58))</f>
        <v>1</v>
      </c>
      <c r="G58" s="37" t="str">
        <f aca="false">IF(OR(배관기본물량!$G58="",배관기본물량!$B58&lt;&gt;"설치"),"",IF(배관기본물량!G58="PIPE",배관기본물량!M58,IF(배관기본물량!N58="","",배관기본물량!N58)))</f>
        <v/>
      </c>
      <c r="H58" s="35" t="n">
        <f aca="false">IF(OR(배관기본물량!$G58="",배관기본물량!$B58&lt;&gt;"설치"),"",IF(배관기본물량!G58="PIPE",N(배관기본물량!R58),N(배관기본물량!L58)))</f>
        <v>1</v>
      </c>
      <c r="I58" s="54" t="n">
        <f aca="false">IF(OR(배관기본물량!$G58="",배관기본물량!$B58&lt;&gt;"설치"),"",배관기본물량!P58)</f>
        <v>0</v>
      </c>
      <c r="J58" s="34" t="n">
        <f aca="false">IF(OR(배관기본물량!$G58="",배관기본물량!$B58&lt;&gt;"설치"),"",IF(배관기본물량!G58="PIPE",IF(AND(N(배관기본물량!I58)&gt;0,N(배관기본물량!I58)&gt;=배관기준!$AG$15),ROUNDUP(H58/배관기준!$AG$16,0)*배관기준!$AG$16,ROUNDUP(H58*(1+M58),0)),ROUND(H58*(1+M58),0)))</f>
        <v>1</v>
      </c>
      <c r="K58" s="54" t="n">
        <f aca="false">IF(OR(배관기본물량!$G58="",배관기본물량!$B58&lt;&gt;"설치"),"",IF(N(H58)&gt;0,IF(ISNUMBER(G58),J58*G58,0),I58*(1+M58)))</f>
        <v>0</v>
      </c>
      <c r="L58" s="16" t="str">
        <f aca="false">IF(OR(배관기본물량!$G58="",배관기본물량!$B58&lt;&gt;"설치"),"",IF(배관기본물량!V58&lt;&gt;"",배관기본물량!V58,IF(배관기본물량!G58="PIPE",IF(OR(LEFT(배관기본물량!F58,3)="STS",LEFT(배관기본물량!F58,3)="SUS"),"STS 강관",IF(N(배관기본물량!I58)&lt;=50,"강관(50A이하)","강관(50A초과)")),"배관 FITTING류(VALVE 外)")))</f>
        <v>배관 FITTING류(VALVE 外)</v>
      </c>
      <c r="M58" s="58" t="n">
        <f aca="false">IF(OR(배관기본물량!$G58="",배관기본물량!$B58&lt;&gt;"설치"),"",IFERROR(INDEX(제작기준!$B$5:$B$30,MATCH(L58,제작기준!$A$5:$A$30,0)),0))</f>
        <v>0.015</v>
      </c>
      <c r="N58" s="6" t="str">
        <f aca="false">IF(OR(배관기본물량!$G58="",배관기본물량!$B58&lt;&gt;"설치"),"",배관기본물량!$AB58)</f>
        <v>C/C</v>
      </c>
    </row>
    <row r="59" customFormat="false" ht="15" hidden="false" customHeight="true" outlineLevel="0" collapsed="false">
      <c r="A59" s="6" t="n">
        <f aca="false">IF(OR(배관기본물량!$G59="",배관기본물량!$B59&lt;&gt;"설치"),"",배관기본물량!A59)</f>
        <v>53</v>
      </c>
      <c r="B59" s="16" t="str">
        <f aca="false">IF(OR(배관기본물량!$G59="",배관기본물량!$B59&lt;&gt;"설치"),"",배관기본물량!H59)</f>
        <v>R.TEE 300Ax200A</v>
      </c>
      <c r="C59" s="6" t="n">
        <f aca="false">IF(OR(배관기본물량!$G59="",배관기본물량!$B59&lt;&gt;"설치"),"",IF(배관기본물량!I59="","",배관기본물량!I59))</f>
        <v>300</v>
      </c>
      <c r="D59" s="6" t="str">
        <f aca="false">IF(OR(배관기본물량!$G59="",배관기본물량!$B59&lt;&gt;"설치"),"",배관기본물량!F59&amp;"")</f>
        <v>STPT370S</v>
      </c>
      <c r="E59" s="6" t="str">
        <f aca="false">IF(OR(배관기본물량!$G59="",배관기본물량!$B59&lt;&gt;"설치"),"",배관기본물량!K59&amp;"")</f>
        <v>EA</v>
      </c>
      <c r="F59" s="35" t="n">
        <f aca="false">IF(OR(배관기본물량!$G59="",배관기본물량!$B59&lt;&gt;"설치"),"",IF(배관기본물량!L59="","",배관기본물량!L59))</f>
        <v>1</v>
      </c>
      <c r="G59" s="37" t="n">
        <f aca="false">IF(OR(배관기본물량!$G59="",배관기본물량!$B59&lt;&gt;"설치"),"",IF(배관기본물량!G59="PIPE",배관기본물량!M59,IF(배관기본물량!N59="","",배관기본물량!N59)))</f>
        <v>2.1</v>
      </c>
      <c r="H59" s="35" t="n">
        <f aca="false">IF(OR(배관기본물량!$G59="",배관기본물량!$B59&lt;&gt;"설치"),"",IF(배관기본물량!G59="PIPE",N(배관기본물량!R59),N(배관기본물량!L59)))</f>
        <v>1</v>
      </c>
      <c r="I59" s="54" t="n">
        <f aca="false">IF(OR(배관기본물량!$G59="",배관기본물량!$B59&lt;&gt;"설치"),"",배관기본물량!P59)</f>
        <v>2.1</v>
      </c>
      <c r="J59" s="34" t="n">
        <f aca="false">IF(OR(배관기본물량!$G59="",배관기본물량!$B59&lt;&gt;"설치"),"",IF(배관기본물량!G59="PIPE",IF(AND(N(배관기본물량!I59)&gt;0,N(배관기본물량!I59)&gt;=배관기준!$AG$15),ROUNDUP(H59/배관기준!$AG$16,0)*배관기준!$AG$16,ROUNDUP(H59*(1+M59),0)),ROUND(H59*(1+M59),0)))</f>
        <v>1</v>
      </c>
      <c r="K59" s="54" t="n">
        <f aca="false">IF(OR(배관기본물량!$G59="",배관기본물량!$B59&lt;&gt;"설치"),"",IF(N(H59)&gt;0,IF(ISNUMBER(G59),J59*G59,0),I59*(1+M59)))</f>
        <v>2.1</v>
      </c>
      <c r="L59" s="16" t="str">
        <f aca="false">IF(OR(배관기본물량!$G59="",배관기본물량!$B59&lt;&gt;"설치"),"",IF(배관기본물량!V59&lt;&gt;"",배관기본물량!V59,IF(배관기본물량!G59="PIPE",IF(OR(LEFT(배관기본물량!F59,3)="STS",LEFT(배관기본물량!F59,3)="SUS"),"STS 강관",IF(N(배관기본물량!I59)&lt;=50,"강관(50A이하)","강관(50A초과)")),"배관 FITTING류(VALVE 外)")))</f>
        <v>배관 FITTING류(VALVE 外)</v>
      </c>
      <c r="M59" s="58" t="n">
        <f aca="false">IF(OR(배관기본물량!$G59="",배관기본물량!$B59&lt;&gt;"설치"),"",IFERROR(INDEX(제작기준!$B$5:$B$30,MATCH(L59,제작기준!$A$5:$A$30,0)),0))</f>
        <v>0.015</v>
      </c>
      <c r="N59" s="6" t="str">
        <f aca="false">IF(OR(배관기본물량!$G59="",배관기본물량!$B59&lt;&gt;"설치"),"",배관기본물량!$AB59)</f>
        <v>C/C</v>
      </c>
    </row>
    <row r="60" customFormat="false" ht="15" hidden="false" customHeight="true" outlineLevel="0" collapsed="false">
      <c r="A60" s="6" t="n">
        <f aca="false">IF(OR(배관기본물량!$G60="",배관기본물량!$B60&lt;&gt;"설치"),"",배관기본물량!A60)</f>
        <v>54</v>
      </c>
      <c r="B60" s="16" t="str">
        <f aca="false">IF(OR(배관기본물량!$G60="",배관기본물량!$B60&lt;&gt;"설치"),"",배관기본물량!H60)</f>
        <v>R.TEE 80Ax50A</v>
      </c>
      <c r="C60" s="6" t="n">
        <f aca="false">IF(OR(배관기본물량!$G60="",배관기본물량!$B60&lt;&gt;"설치"),"",IF(배관기본물량!I60="","",배관기본물량!I60))</f>
        <v>80</v>
      </c>
      <c r="D60" s="6" t="str">
        <f aca="false">IF(OR(배관기본물량!$G60="",배관기본물량!$B60&lt;&gt;"설치"),"",배관기본물량!F60&amp;"")</f>
        <v>STPT370S</v>
      </c>
      <c r="E60" s="6" t="str">
        <f aca="false">IF(OR(배관기본물량!$G60="",배관기본물량!$B60&lt;&gt;"설치"),"",배관기본물량!K60&amp;"")</f>
        <v>EA</v>
      </c>
      <c r="F60" s="35" t="n">
        <f aca="false">IF(OR(배관기본물량!$G60="",배관기본물량!$B60&lt;&gt;"설치"),"",IF(배관기본물량!L60="","",배관기본물량!L60))</f>
        <v>1</v>
      </c>
      <c r="G60" s="37" t="n">
        <f aca="false">IF(OR(배관기본물량!$G60="",배관기본물량!$B60&lt;&gt;"설치"),"",IF(배관기본물량!G60="PIPE",배관기본물량!M60,IF(배관기본물량!N60="","",배관기본물량!N60)))</f>
        <v>40.7</v>
      </c>
      <c r="H60" s="35" t="n">
        <f aca="false">IF(OR(배관기본물량!$G60="",배관기본물량!$B60&lt;&gt;"설치"),"",IF(배관기본물량!G60="PIPE",N(배관기본물량!R60),N(배관기본물량!L60)))</f>
        <v>1</v>
      </c>
      <c r="I60" s="54" t="n">
        <f aca="false">IF(OR(배관기본물량!$G60="",배관기본물량!$B60&lt;&gt;"설치"),"",배관기본물량!P60)</f>
        <v>40.7</v>
      </c>
      <c r="J60" s="34" t="n">
        <f aca="false">IF(OR(배관기본물량!$G60="",배관기본물량!$B60&lt;&gt;"설치"),"",IF(배관기본물량!G60="PIPE",IF(AND(N(배관기본물량!I60)&gt;0,N(배관기본물량!I60)&gt;=배관기준!$AG$15),ROUNDUP(H60/배관기준!$AG$16,0)*배관기준!$AG$16,ROUNDUP(H60*(1+M60),0)),ROUND(H60*(1+M60),0)))</f>
        <v>1</v>
      </c>
      <c r="K60" s="54" t="n">
        <f aca="false">IF(OR(배관기본물량!$G60="",배관기본물량!$B60&lt;&gt;"설치"),"",IF(N(H60)&gt;0,IF(ISNUMBER(G60),J60*G60,0),I60*(1+M60)))</f>
        <v>40.7</v>
      </c>
      <c r="L60" s="16" t="str">
        <f aca="false">IF(OR(배관기본물량!$G60="",배관기본물량!$B60&lt;&gt;"설치"),"",IF(배관기본물량!V60&lt;&gt;"",배관기본물량!V60,IF(배관기본물량!G60="PIPE",IF(OR(LEFT(배관기본물량!F60,3)="STS",LEFT(배관기본물량!F60,3)="SUS"),"STS 강관",IF(N(배관기본물량!I60)&lt;=50,"강관(50A이하)","강관(50A초과)")),"배관 FITTING류(VALVE 外)")))</f>
        <v>배관 FITTING류(VALVE 外)</v>
      </c>
      <c r="M60" s="58" t="n">
        <f aca="false">IF(OR(배관기본물량!$G60="",배관기본물량!$B60&lt;&gt;"설치"),"",IFERROR(INDEX(제작기준!$B$5:$B$30,MATCH(L60,제작기준!$A$5:$A$30,0)),0))</f>
        <v>0.015</v>
      </c>
      <c r="N60" s="6" t="str">
        <f aca="false">IF(OR(배관기본물량!$G60="",배관기본물량!$B60&lt;&gt;"설치"),"",배관기본물량!$AB60)</f>
        <v>C/C</v>
      </c>
    </row>
    <row r="61" customFormat="false" ht="15" hidden="false" customHeight="true" outlineLevel="0" collapsed="false">
      <c r="A61" s="6" t="n">
        <f aca="false">IF(OR(배관기본물량!$G61="",배관기본물량!$B61&lt;&gt;"설치"),"",배관기본물량!A61)</f>
        <v>55</v>
      </c>
      <c r="B61" s="16" t="str">
        <f aca="false">IF(OR(배관기본물량!$G61="",배관기본물량!$B61&lt;&gt;"설치"),"",배관기본물량!H61)</f>
        <v>STRAINER Y-TYPE</v>
      </c>
      <c r="C61" s="6" t="n">
        <f aca="false">IF(OR(배관기본물량!$G61="",배관기본물량!$B61&lt;&gt;"설치"),"",IF(배관기본물량!I61="","",배관기본물량!I61))</f>
        <v>150</v>
      </c>
      <c r="D61" s="6" t="str">
        <f aca="false">IF(OR(배관기본물량!$G61="",배관기본물량!$B61&lt;&gt;"설치"),"",배관기본물량!F61&amp;"")</f>
        <v>SCPH2/SUS</v>
      </c>
      <c r="E61" s="6" t="str">
        <f aca="false">IF(OR(배관기본물량!$G61="",배관기본물량!$B61&lt;&gt;"설치"),"",배관기본물량!K61&amp;"")</f>
        <v>EA</v>
      </c>
      <c r="F61" s="35" t="n">
        <f aca="false">IF(OR(배관기본물량!$G61="",배관기본물량!$B61&lt;&gt;"설치"),"",IF(배관기본물량!L61="","",배관기본물량!L61))</f>
        <v>1</v>
      </c>
      <c r="G61" s="37" t="str">
        <f aca="false">IF(OR(배관기본물량!$G61="",배관기본물량!$B61&lt;&gt;"설치"),"",IF(배관기본물량!G61="PIPE",배관기본물량!M61,IF(배관기본물량!N61="","",배관기본물량!N61)))</f>
        <v/>
      </c>
      <c r="H61" s="35" t="n">
        <f aca="false">IF(OR(배관기본물량!$G61="",배관기본물량!$B61&lt;&gt;"설치"),"",IF(배관기본물량!G61="PIPE",N(배관기본물량!R61),N(배관기본물량!L61)))</f>
        <v>1</v>
      </c>
      <c r="I61" s="54" t="n">
        <f aca="false">IF(OR(배관기본물량!$G61="",배관기본물량!$B61&lt;&gt;"설치"),"",배관기본물량!P61)</f>
        <v>0</v>
      </c>
      <c r="J61" s="34" t="n">
        <f aca="false">IF(OR(배관기본물량!$G61="",배관기본물량!$B61&lt;&gt;"설치"),"",IF(배관기본물량!G61="PIPE",IF(AND(N(배관기본물량!I61)&gt;0,N(배관기본물량!I61)&gt;=배관기준!$AG$15),ROUNDUP(H61/배관기준!$AG$16,0)*배관기준!$AG$16,ROUNDUP(H61*(1+M61),0)),ROUND(H61*(1+M61),0)))</f>
        <v>1</v>
      </c>
      <c r="K61" s="54" t="n">
        <f aca="false">IF(OR(배관기본물량!$G61="",배관기본물량!$B61&lt;&gt;"설치"),"",IF(N(H61)&gt;0,IF(ISNUMBER(G61),J61*G61,0),I61*(1+M61)))</f>
        <v>0</v>
      </c>
      <c r="L61" s="16" t="str">
        <f aca="false">IF(OR(배관기본물량!$G61="",배관기본물량!$B61&lt;&gt;"설치"),"",IF(배관기본물량!V61&lt;&gt;"",배관기본물량!V61,IF(배관기본물량!G61="PIPE",IF(OR(LEFT(배관기본물량!F61,3)="STS",LEFT(배관기본물량!F61,3)="SUS"),"STS 강관",IF(N(배관기본물량!I61)&lt;=50,"강관(50A이하)","강관(50A초과)")),"배관 FITTING류(VALVE 外)")))</f>
        <v>배관 FITTING류(VALVE 外)</v>
      </c>
      <c r="M61" s="58" t="n">
        <f aca="false">IF(OR(배관기본물량!$G61="",배관기본물량!$B61&lt;&gt;"설치"),"",IFERROR(INDEX(제작기준!$B$5:$B$30,MATCH(L61,제작기준!$A$5:$A$30,0)),0))</f>
        <v>0.015</v>
      </c>
      <c r="N61" s="6" t="str">
        <f aca="false">IF(OR(배관기본물량!$G61="",배관기본물량!$B61&lt;&gt;"설치"),"",배관기본물량!$AB61)</f>
        <v>C/C</v>
      </c>
    </row>
    <row r="62" customFormat="false" ht="15" hidden="false" customHeight="true" outlineLevel="0" collapsed="false">
      <c r="A62" s="6" t="n">
        <f aca="false">IF(OR(배관기본물량!$G62="",배관기본물량!$B62&lt;&gt;"설치"),"",배관기본물량!A62)</f>
        <v>56</v>
      </c>
      <c r="B62" s="16" t="str">
        <f aca="false">IF(OR(배관기본물량!$G62="",배관기본물량!$B62&lt;&gt;"설치"),"",배관기본물량!H62)</f>
        <v>STRAINER Y-TYPE</v>
      </c>
      <c r="C62" s="6" t="n">
        <f aca="false">IF(OR(배관기본물량!$G62="",배관기본물량!$B62&lt;&gt;"설치"),"",IF(배관기본물량!I62="","",배관기본물량!I62))</f>
        <v>200</v>
      </c>
      <c r="D62" s="6" t="str">
        <f aca="false">IF(OR(배관기본물량!$G62="",배관기본물량!$B62&lt;&gt;"설치"),"",배관기본물량!F62&amp;"")</f>
        <v>SCPH2/SUS</v>
      </c>
      <c r="E62" s="6" t="str">
        <f aca="false">IF(OR(배관기본물량!$G62="",배관기본물량!$B62&lt;&gt;"설치"),"",배관기본물량!K62&amp;"")</f>
        <v>EA</v>
      </c>
      <c r="F62" s="35" t="n">
        <f aca="false">IF(OR(배관기본물량!$G62="",배관기본물량!$B62&lt;&gt;"설치"),"",IF(배관기본물량!L62="","",배관기본물량!L62))</f>
        <v>2</v>
      </c>
      <c r="G62" s="37" t="str">
        <f aca="false">IF(OR(배관기본물량!$G62="",배관기본물량!$B62&lt;&gt;"설치"),"",IF(배관기본물량!G62="PIPE",배관기본물량!M62,IF(배관기본물량!N62="","",배관기본물량!N62)))</f>
        <v/>
      </c>
      <c r="H62" s="35" t="n">
        <f aca="false">IF(OR(배관기본물량!$G62="",배관기본물량!$B62&lt;&gt;"설치"),"",IF(배관기본물량!G62="PIPE",N(배관기본물량!R62),N(배관기본물량!L62)))</f>
        <v>2</v>
      </c>
      <c r="I62" s="54" t="n">
        <f aca="false">IF(OR(배관기본물량!$G62="",배관기본물량!$B62&lt;&gt;"설치"),"",배관기본물량!P62)</f>
        <v>0</v>
      </c>
      <c r="J62" s="34" t="n">
        <f aca="false">IF(OR(배관기본물량!$G62="",배관기본물량!$B62&lt;&gt;"설치"),"",IF(배관기본물량!G62="PIPE",IF(AND(N(배관기본물량!I62)&gt;0,N(배관기본물량!I62)&gt;=배관기준!$AG$15),ROUNDUP(H62/배관기준!$AG$16,0)*배관기준!$AG$16,ROUNDUP(H62*(1+M62),0)),ROUND(H62*(1+M62),0)))</f>
        <v>2</v>
      </c>
      <c r="K62" s="54" t="n">
        <f aca="false">IF(OR(배관기본물량!$G62="",배관기본물량!$B62&lt;&gt;"설치"),"",IF(N(H62)&gt;0,IF(ISNUMBER(G62),J62*G62,0),I62*(1+M62)))</f>
        <v>0</v>
      </c>
      <c r="L62" s="16" t="str">
        <f aca="false">IF(OR(배관기본물량!$G62="",배관기본물량!$B62&lt;&gt;"설치"),"",IF(배관기본물량!V62&lt;&gt;"",배관기본물량!V62,IF(배관기본물량!G62="PIPE",IF(OR(LEFT(배관기본물량!F62,3)="STS",LEFT(배관기본물량!F62,3)="SUS"),"STS 강관",IF(N(배관기본물량!I62)&lt;=50,"강관(50A이하)","강관(50A초과)")),"배관 FITTING류(VALVE 外)")))</f>
        <v>배관 FITTING류(VALVE 外)</v>
      </c>
      <c r="M62" s="58" t="n">
        <f aca="false">IF(OR(배관기본물량!$G62="",배관기본물량!$B62&lt;&gt;"설치"),"",IFERROR(INDEX(제작기준!$B$5:$B$30,MATCH(L62,제작기준!$A$5:$A$30,0)),0))</f>
        <v>0.015</v>
      </c>
      <c r="N62" s="6" t="str">
        <f aca="false">IF(OR(배관기본물량!$G62="",배관기본물량!$B62&lt;&gt;"설치"),"",배관기본물량!$AB62)</f>
        <v>C/C</v>
      </c>
    </row>
    <row r="63" customFormat="false" ht="15" hidden="false" customHeight="true" outlineLevel="0" collapsed="false">
      <c r="A63" s="6" t="n">
        <f aca="false">IF(OR(배관기본물량!$G63="",배관기본물량!$B63&lt;&gt;"설치"),"",배관기본물량!A63)</f>
        <v>57</v>
      </c>
      <c r="B63" s="16" t="str">
        <f aca="false">IF(OR(배관기본물량!$G63="",배관기본물량!$B63&lt;&gt;"설치"),"",배관기본물량!H63)</f>
        <v>GASKET</v>
      </c>
      <c r="C63" s="6" t="n">
        <f aca="false">IF(OR(배관기본물량!$G63="",배관기본물량!$B63&lt;&gt;"설치"),"",IF(배관기본물량!I63="","",배관기본물량!I63))</f>
        <v>15</v>
      </c>
      <c r="D63" s="6" t="str">
        <f aca="false">IF(OR(배관기본물량!$G63="",배관기본물량!$B63&lt;&gt;"설치"),"",배관기본물량!F63&amp;"")</f>
        <v>COMP.N.ASB</v>
      </c>
      <c r="E63" s="6" t="str">
        <f aca="false">IF(OR(배관기본물량!$G63="",배관기본물량!$B63&lt;&gt;"설치"),"",배관기본물량!K63&amp;"")</f>
        <v>EA</v>
      </c>
      <c r="F63" s="35" t="n">
        <f aca="false">IF(OR(배관기본물량!$G63="",배관기본물량!$B63&lt;&gt;"설치"),"",IF(배관기본물량!L63="","",배관기본물량!L63))</f>
        <v>6</v>
      </c>
      <c r="G63" s="37" t="str">
        <f aca="false">IF(OR(배관기본물량!$G63="",배관기본물량!$B63&lt;&gt;"설치"),"",IF(배관기본물량!G63="PIPE",배관기본물량!M63,IF(배관기본물량!N63="","",배관기본물량!N63)))</f>
        <v/>
      </c>
      <c r="H63" s="35" t="n">
        <f aca="false">IF(OR(배관기본물량!$G63="",배관기본물량!$B63&lt;&gt;"설치"),"",IF(배관기본물량!G63="PIPE",N(배관기본물량!R63),N(배관기본물량!L63)))</f>
        <v>6</v>
      </c>
      <c r="I63" s="54" t="n">
        <f aca="false">IF(OR(배관기본물량!$G63="",배관기본물량!$B63&lt;&gt;"설치"),"",배관기본물량!P63)</f>
        <v>0</v>
      </c>
      <c r="J63" s="34" t="n">
        <f aca="false">IF(OR(배관기본물량!$G63="",배관기본물량!$B63&lt;&gt;"설치"),"",IF(배관기본물량!G63="PIPE",IF(AND(N(배관기본물량!I63)&gt;0,N(배관기본물량!I63)&gt;=배관기준!$AG$15),ROUNDUP(H63/배관기준!$AG$16,0)*배관기준!$AG$16,ROUNDUP(H63*(1+M63),0)),ROUND(H63*(1+M63),0)))</f>
        <v>6</v>
      </c>
      <c r="K63" s="54" t="n">
        <f aca="false">IF(OR(배관기본물량!$G63="",배관기본물량!$B63&lt;&gt;"설치"),"",IF(N(H63)&gt;0,IF(ISNUMBER(G63),J63*G63,0),I63*(1+M63)))</f>
        <v>0</v>
      </c>
      <c r="L63" s="16" t="str">
        <f aca="false">IF(OR(배관기본물량!$G63="",배관기본물량!$B63&lt;&gt;"설치"),"",IF(배관기본물량!V63&lt;&gt;"",배관기본물량!V63,IF(배관기본물량!G63="PIPE",IF(OR(LEFT(배관기본물량!F63,3)="STS",LEFT(배관기본물량!F63,3)="SUS"),"STS 강관",IF(N(배관기본물량!I63)&lt;=50,"강관(50A이하)","강관(50A초과)")),"배관 FITTING류(VALVE 外)")))</f>
        <v>배관 FITTING류(VALVE 外)</v>
      </c>
      <c r="M63" s="58" t="n">
        <f aca="false">IF(OR(배관기본물량!$G63="",배관기본물량!$B63&lt;&gt;"설치"),"",IFERROR(INDEX(제작기준!$B$5:$B$30,MATCH(L63,제작기준!$A$5:$A$30,0)),0))</f>
        <v>0.015</v>
      </c>
      <c r="N63" s="6" t="str">
        <f aca="false">IF(OR(배관기본물량!$G63="",배관기본물량!$B63&lt;&gt;"설치"),"",배관기본물량!$AB63)</f>
        <v>C/C</v>
      </c>
    </row>
    <row r="64" customFormat="false" ht="15" hidden="false" customHeight="true" outlineLevel="0" collapsed="false">
      <c r="A64" s="6" t="n">
        <f aca="false">IF(OR(배관기본물량!$G64="",배관기본물량!$B64&lt;&gt;"설치"),"",배관기본물량!A64)</f>
        <v>58</v>
      </c>
      <c r="B64" s="16" t="str">
        <f aca="false">IF(OR(배관기본물량!$G64="",배관기본물량!$B64&lt;&gt;"설치"),"",배관기본물량!H64)</f>
        <v>GASKET</v>
      </c>
      <c r="C64" s="6" t="n">
        <f aca="false">IF(OR(배관기본물량!$G64="",배관기본물량!$B64&lt;&gt;"설치"),"",IF(배관기본물량!I64="","",배관기본물량!I64))</f>
        <v>50</v>
      </c>
      <c r="D64" s="6" t="str">
        <f aca="false">IF(OR(배관기본물량!$G64="",배관기본물량!$B64&lt;&gt;"설치"),"",배관기본물량!F64&amp;"")</f>
        <v>COMP.N.ASB</v>
      </c>
      <c r="E64" s="6" t="str">
        <f aca="false">IF(OR(배관기본물량!$G64="",배관기본물량!$B64&lt;&gt;"설치"),"",배관기본물량!K64&amp;"")</f>
        <v>EA</v>
      </c>
      <c r="F64" s="35" t="n">
        <f aca="false">IF(OR(배관기본물량!$G64="",배관기본물량!$B64&lt;&gt;"설치"),"",IF(배관기본물량!L64="","",배관기본물량!L64))</f>
        <v>6</v>
      </c>
      <c r="G64" s="37" t="str">
        <f aca="false">IF(OR(배관기본물량!$G64="",배관기본물량!$B64&lt;&gt;"설치"),"",IF(배관기본물량!G64="PIPE",배관기본물량!M64,IF(배관기본물량!N64="","",배관기본물량!N64)))</f>
        <v/>
      </c>
      <c r="H64" s="35" t="n">
        <f aca="false">IF(OR(배관기본물량!$G64="",배관기본물량!$B64&lt;&gt;"설치"),"",IF(배관기본물량!G64="PIPE",N(배관기본물량!R64),N(배관기본물량!L64)))</f>
        <v>6</v>
      </c>
      <c r="I64" s="54" t="n">
        <f aca="false">IF(OR(배관기본물량!$G64="",배관기본물량!$B64&lt;&gt;"설치"),"",배관기본물량!P64)</f>
        <v>0</v>
      </c>
      <c r="J64" s="34" t="n">
        <f aca="false">IF(OR(배관기본물량!$G64="",배관기본물량!$B64&lt;&gt;"설치"),"",IF(배관기본물량!G64="PIPE",IF(AND(N(배관기본물량!I64)&gt;0,N(배관기본물량!I64)&gt;=배관기준!$AG$15),ROUNDUP(H64/배관기준!$AG$16,0)*배관기준!$AG$16,ROUNDUP(H64*(1+M64),0)),ROUND(H64*(1+M64),0)))</f>
        <v>6</v>
      </c>
      <c r="K64" s="54" t="n">
        <f aca="false">IF(OR(배관기본물량!$G64="",배관기본물량!$B64&lt;&gt;"설치"),"",IF(N(H64)&gt;0,IF(ISNUMBER(G64),J64*G64,0),I64*(1+M64)))</f>
        <v>0</v>
      </c>
      <c r="L64" s="16" t="str">
        <f aca="false">IF(OR(배관기본물량!$G64="",배관기본물량!$B64&lt;&gt;"설치"),"",IF(배관기본물량!V64&lt;&gt;"",배관기본물량!V64,IF(배관기본물량!G64="PIPE",IF(OR(LEFT(배관기본물량!F64,3)="STS",LEFT(배관기본물량!F64,3)="SUS"),"STS 강관",IF(N(배관기본물량!I64)&lt;=50,"강관(50A이하)","강관(50A초과)")),"배관 FITTING류(VALVE 外)")))</f>
        <v>배관 FITTING류(VALVE 外)</v>
      </c>
      <c r="M64" s="58" t="n">
        <f aca="false">IF(OR(배관기본물량!$G64="",배관기본물량!$B64&lt;&gt;"설치"),"",IFERROR(INDEX(제작기준!$B$5:$B$30,MATCH(L64,제작기준!$A$5:$A$30,0)),0))</f>
        <v>0.015</v>
      </c>
      <c r="N64" s="6" t="str">
        <f aca="false">IF(OR(배관기본물량!$G64="",배관기본물량!$B64&lt;&gt;"설치"),"",배관기본물량!$AB64)</f>
        <v>C/C</v>
      </c>
    </row>
    <row r="65" customFormat="false" ht="15" hidden="false" customHeight="true" outlineLevel="0" collapsed="false">
      <c r="A65" s="6" t="n">
        <f aca="false">IF(OR(배관기본물량!$G65="",배관기본물량!$B65&lt;&gt;"설치"),"",배관기본물량!A65)</f>
        <v>59</v>
      </c>
      <c r="B65" s="16" t="str">
        <f aca="false">IF(OR(배관기본물량!$G65="",배관기본물량!$B65&lt;&gt;"설치"),"",배관기본물량!H65)</f>
        <v>GASKET</v>
      </c>
      <c r="C65" s="6" t="n">
        <f aca="false">IF(OR(배관기본물량!$G65="",배관기본물량!$B65&lt;&gt;"설치"),"",IF(배관기본물량!I65="","",배관기본물량!I65))</f>
        <v>80</v>
      </c>
      <c r="D65" s="6" t="str">
        <f aca="false">IF(OR(배관기본물량!$G65="",배관기본물량!$B65&lt;&gt;"설치"),"",배관기본물량!F65&amp;"")</f>
        <v>COMP.N.ASB</v>
      </c>
      <c r="E65" s="6" t="str">
        <f aca="false">IF(OR(배관기본물량!$G65="",배관기본물량!$B65&lt;&gt;"설치"),"",배관기본물량!K65&amp;"")</f>
        <v>EA</v>
      </c>
      <c r="F65" s="35" t="n">
        <f aca="false">IF(OR(배관기본물량!$G65="",배관기본물량!$B65&lt;&gt;"설치"),"",IF(배관기본물량!L65="","",배관기본물량!L65))</f>
        <v>1</v>
      </c>
      <c r="G65" s="37" t="str">
        <f aca="false">IF(OR(배관기본물량!$G65="",배관기본물량!$B65&lt;&gt;"설치"),"",IF(배관기본물량!G65="PIPE",배관기본물량!M65,IF(배관기본물량!N65="","",배관기본물량!N65)))</f>
        <v/>
      </c>
      <c r="H65" s="35" t="n">
        <f aca="false">IF(OR(배관기본물량!$G65="",배관기본물량!$B65&lt;&gt;"설치"),"",IF(배관기본물량!G65="PIPE",N(배관기본물량!R65),N(배관기본물량!L65)))</f>
        <v>1</v>
      </c>
      <c r="I65" s="54" t="n">
        <f aca="false">IF(OR(배관기본물량!$G65="",배관기본물량!$B65&lt;&gt;"설치"),"",배관기본물량!P65)</f>
        <v>0</v>
      </c>
      <c r="J65" s="34" t="n">
        <f aca="false">IF(OR(배관기본물량!$G65="",배관기본물량!$B65&lt;&gt;"설치"),"",IF(배관기본물량!G65="PIPE",IF(AND(N(배관기본물량!I65)&gt;0,N(배관기본물량!I65)&gt;=배관기준!$AG$15),ROUNDUP(H65/배관기준!$AG$16,0)*배관기준!$AG$16,ROUNDUP(H65*(1+M65),0)),ROUND(H65*(1+M65),0)))</f>
        <v>1</v>
      </c>
      <c r="K65" s="54" t="n">
        <f aca="false">IF(OR(배관기본물량!$G65="",배관기본물량!$B65&lt;&gt;"설치"),"",IF(N(H65)&gt;0,IF(ISNUMBER(G65),J65*G65,0),I65*(1+M65)))</f>
        <v>0</v>
      </c>
      <c r="L65" s="16" t="str">
        <f aca="false">IF(OR(배관기본물량!$G65="",배관기본물량!$B65&lt;&gt;"설치"),"",IF(배관기본물량!V65&lt;&gt;"",배관기본물량!V65,IF(배관기본물량!G65="PIPE",IF(OR(LEFT(배관기본물량!F65,3)="STS",LEFT(배관기본물량!F65,3)="SUS"),"STS 강관",IF(N(배관기본물량!I65)&lt;=50,"강관(50A이하)","강관(50A초과)")),"배관 FITTING류(VALVE 外)")))</f>
        <v>배관 FITTING류(VALVE 外)</v>
      </c>
      <c r="M65" s="58" t="n">
        <f aca="false">IF(OR(배관기본물량!$G65="",배관기본물량!$B65&lt;&gt;"설치"),"",IFERROR(INDEX(제작기준!$B$5:$B$30,MATCH(L65,제작기준!$A$5:$A$30,0)),0))</f>
        <v>0.015</v>
      </c>
      <c r="N65" s="6" t="str">
        <f aca="false">IF(OR(배관기본물량!$G65="",배관기본물량!$B65&lt;&gt;"설치"),"",배관기본물량!$AB65)</f>
        <v>C/C</v>
      </c>
    </row>
    <row r="66" customFormat="false" ht="15" hidden="false" customHeight="true" outlineLevel="0" collapsed="false">
      <c r="A66" s="6" t="n">
        <f aca="false">IF(OR(배관기본물량!$G66="",배관기본물량!$B66&lt;&gt;"설치"),"",배관기본물량!A66)</f>
        <v>60</v>
      </c>
      <c r="B66" s="16" t="str">
        <f aca="false">IF(OR(배관기본물량!$G66="",배관기본물량!$B66&lt;&gt;"설치"),"",배관기본물량!H66)</f>
        <v>GASKET</v>
      </c>
      <c r="C66" s="6" t="n">
        <f aca="false">IF(OR(배관기본물량!$G66="",배관기본물량!$B66&lt;&gt;"설치"),"",IF(배관기본물량!I66="","",배관기본물량!I66))</f>
        <v>150</v>
      </c>
      <c r="D66" s="6" t="str">
        <f aca="false">IF(OR(배관기본물량!$G66="",배관기본물량!$B66&lt;&gt;"설치"),"",배관기본물량!F66&amp;"")</f>
        <v>COMP.N.ASB</v>
      </c>
      <c r="E66" s="6" t="str">
        <f aca="false">IF(OR(배관기본물량!$G66="",배관기본물량!$B66&lt;&gt;"설치"),"",배관기본물량!K66&amp;"")</f>
        <v>EA</v>
      </c>
      <c r="F66" s="35" t="n">
        <f aca="false">IF(OR(배관기본물량!$G66="",배관기본물량!$B66&lt;&gt;"설치"),"",IF(배관기본물량!L66="","",배관기본물량!L66))</f>
        <v>6</v>
      </c>
      <c r="G66" s="37" t="str">
        <f aca="false">IF(OR(배관기본물량!$G66="",배관기본물량!$B66&lt;&gt;"설치"),"",IF(배관기본물량!G66="PIPE",배관기본물량!M66,IF(배관기본물량!N66="","",배관기본물량!N66)))</f>
        <v/>
      </c>
      <c r="H66" s="35" t="n">
        <f aca="false">IF(OR(배관기본물량!$G66="",배관기본물량!$B66&lt;&gt;"설치"),"",IF(배관기본물량!G66="PIPE",N(배관기본물량!R66),N(배관기본물량!L66)))</f>
        <v>6</v>
      </c>
      <c r="I66" s="54" t="n">
        <f aca="false">IF(OR(배관기본물량!$G66="",배관기본물량!$B66&lt;&gt;"설치"),"",배관기본물량!P66)</f>
        <v>0</v>
      </c>
      <c r="J66" s="34" t="n">
        <f aca="false">IF(OR(배관기본물량!$G66="",배관기본물량!$B66&lt;&gt;"설치"),"",IF(배관기본물량!G66="PIPE",IF(AND(N(배관기본물량!I66)&gt;0,N(배관기본물량!I66)&gt;=배관기준!$AG$15),ROUNDUP(H66/배관기준!$AG$16,0)*배관기준!$AG$16,ROUNDUP(H66*(1+M66),0)),ROUND(H66*(1+M66),0)))</f>
        <v>6</v>
      </c>
      <c r="K66" s="54" t="n">
        <f aca="false">IF(OR(배관기본물량!$G66="",배관기본물량!$B66&lt;&gt;"설치"),"",IF(N(H66)&gt;0,IF(ISNUMBER(G66),J66*G66,0),I66*(1+M66)))</f>
        <v>0</v>
      </c>
      <c r="L66" s="16" t="str">
        <f aca="false">IF(OR(배관기본물량!$G66="",배관기본물량!$B66&lt;&gt;"설치"),"",IF(배관기본물량!V66&lt;&gt;"",배관기본물량!V66,IF(배관기본물량!G66="PIPE",IF(OR(LEFT(배관기본물량!F66,3)="STS",LEFT(배관기본물량!F66,3)="SUS"),"STS 강관",IF(N(배관기본물량!I66)&lt;=50,"강관(50A이하)","강관(50A초과)")),"배관 FITTING류(VALVE 外)")))</f>
        <v>배관 FITTING류(VALVE 外)</v>
      </c>
      <c r="M66" s="58" t="n">
        <f aca="false">IF(OR(배관기본물량!$G66="",배관기본물량!$B66&lt;&gt;"설치"),"",IFERROR(INDEX(제작기준!$B$5:$B$30,MATCH(L66,제작기준!$A$5:$A$30,0)),0))</f>
        <v>0.015</v>
      </c>
      <c r="N66" s="6" t="str">
        <f aca="false">IF(OR(배관기본물량!$G66="",배관기본물량!$B66&lt;&gt;"설치"),"",배관기본물량!$AB66)</f>
        <v>C/C</v>
      </c>
    </row>
    <row r="67" customFormat="false" ht="15" hidden="false" customHeight="true" outlineLevel="0" collapsed="false">
      <c r="A67" s="6" t="n">
        <f aca="false">IF(OR(배관기본물량!$G67="",배관기본물량!$B67&lt;&gt;"설치"),"",배관기본물량!A67)</f>
        <v>61</v>
      </c>
      <c r="B67" s="16" t="str">
        <f aca="false">IF(OR(배관기본물량!$G67="",배관기본물량!$B67&lt;&gt;"설치"),"",배관기본물량!H67)</f>
        <v>GASKET</v>
      </c>
      <c r="C67" s="6" t="n">
        <f aca="false">IF(OR(배관기본물량!$G67="",배관기본물량!$B67&lt;&gt;"설치"),"",IF(배관기본물량!I67="","",배관기본물량!I67))</f>
        <v>150</v>
      </c>
      <c r="D67" s="6" t="str">
        <f aca="false">IF(OR(배관기본물량!$G67="",배관기본물량!$B67&lt;&gt;"설치"),"",배관기본물량!F67&amp;"")</f>
        <v>SUS304/C.S</v>
      </c>
      <c r="E67" s="6" t="str">
        <f aca="false">IF(OR(배관기본물량!$G67="",배관기본물량!$B67&lt;&gt;"설치"),"",배관기본물량!K67&amp;"")</f>
        <v>EA</v>
      </c>
      <c r="F67" s="35" t="n">
        <f aca="false">IF(OR(배관기본물량!$G67="",배관기본물량!$B67&lt;&gt;"설치"),"",IF(배관기본물량!L67="","",배관기본물량!L67))</f>
        <v>4</v>
      </c>
      <c r="G67" s="37" t="str">
        <f aca="false">IF(OR(배관기본물량!$G67="",배관기본물량!$B67&lt;&gt;"설치"),"",IF(배관기본물량!G67="PIPE",배관기본물량!M67,IF(배관기본물량!N67="","",배관기본물량!N67)))</f>
        <v/>
      </c>
      <c r="H67" s="35" t="n">
        <f aca="false">IF(OR(배관기본물량!$G67="",배관기본물량!$B67&lt;&gt;"설치"),"",IF(배관기본물량!G67="PIPE",N(배관기본물량!R67),N(배관기본물량!L67)))</f>
        <v>4</v>
      </c>
      <c r="I67" s="54" t="n">
        <f aca="false">IF(OR(배관기본물량!$G67="",배관기본물량!$B67&lt;&gt;"설치"),"",배관기본물량!P67)</f>
        <v>0</v>
      </c>
      <c r="J67" s="34" t="n">
        <f aca="false">IF(OR(배관기본물량!$G67="",배관기본물량!$B67&lt;&gt;"설치"),"",IF(배관기본물량!G67="PIPE",IF(AND(N(배관기본물량!I67)&gt;0,N(배관기본물량!I67)&gt;=배관기준!$AG$15),ROUNDUP(H67/배관기준!$AG$16,0)*배관기준!$AG$16,ROUNDUP(H67*(1+M67),0)),ROUND(H67*(1+M67),0)))</f>
        <v>4</v>
      </c>
      <c r="K67" s="54" t="n">
        <f aca="false">IF(OR(배관기본물량!$G67="",배관기본물량!$B67&lt;&gt;"설치"),"",IF(N(H67)&gt;0,IF(ISNUMBER(G67),J67*G67,0),I67*(1+M67)))</f>
        <v>0</v>
      </c>
      <c r="L67" s="16" t="str">
        <f aca="false">IF(OR(배관기본물량!$G67="",배관기본물량!$B67&lt;&gt;"설치"),"",IF(배관기본물량!V67&lt;&gt;"",배관기본물량!V67,IF(배관기본물량!G67="PIPE",IF(OR(LEFT(배관기본물량!F67,3)="STS",LEFT(배관기본물량!F67,3)="SUS"),"STS 강관",IF(N(배관기본물량!I67)&lt;=50,"강관(50A이하)","강관(50A초과)")),"배관 FITTING류(VALVE 外)")))</f>
        <v>배관 FITTING류(VALVE 外)</v>
      </c>
      <c r="M67" s="58" t="n">
        <f aca="false">IF(OR(배관기본물량!$G67="",배관기본물량!$B67&lt;&gt;"설치"),"",IFERROR(INDEX(제작기준!$B$5:$B$30,MATCH(L67,제작기준!$A$5:$A$30,0)),0))</f>
        <v>0.015</v>
      </c>
      <c r="N67" s="6" t="str">
        <f aca="false">IF(OR(배관기본물량!$G67="",배관기본물량!$B67&lt;&gt;"설치"),"",배관기본물량!$AB67)</f>
        <v>C/C</v>
      </c>
    </row>
    <row r="68" customFormat="false" ht="15" hidden="false" customHeight="true" outlineLevel="0" collapsed="false">
      <c r="A68" s="6" t="n">
        <f aca="false">IF(OR(배관기본물량!$G68="",배관기본물량!$B68&lt;&gt;"설치"),"",배관기본물량!A68)</f>
        <v>62</v>
      </c>
      <c r="B68" s="16" t="str">
        <f aca="false">IF(OR(배관기본물량!$G68="",배관기본물량!$B68&lt;&gt;"설치"),"",배관기본물량!H68)</f>
        <v>GASKET</v>
      </c>
      <c r="C68" s="6" t="n">
        <f aca="false">IF(OR(배관기본물량!$G68="",배관기본물량!$B68&lt;&gt;"설치"),"",IF(배관기본물량!I68="","",배관기본물량!I68))</f>
        <v>200</v>
      </c>
      <c r="D68" s="6" t="str">
        <f aca="false">IF(OR(배관기본물량!$G68="",배관기본물량!$B68&lt;&gt;"설치"),"",배관기본물량!F68&amp;"")</f>
        <v>SUS304/C.S</v>
      </c>
      <c r="E68" s="6" t="str">
        <f aca="false">IF(OR(배관기본물량!$G68="",배관기본물량!$B68&lt;&gt;"설치"),"",배관기본물량!K68&amp;"")</f>
        <v>EA</v>
      </c>
      <c r="F68" s="35" t="n">
        <f aca="false">IF(OR(배관기본물량!$G68="",배관기본물량!$B68&lt;&gt;"설치"),"",IF(배관기본물량!L68="","",배관기본물량!L68))</f>
        <v>4</v>
      </c>
      <c r="G68" s="37" t="str">
        <f aca="false">IF(OR(배관기본물량!$G68="",배관기본물량!$B68&lt;&gt;"설치"),"",IF(배관기본물량!G68="PIPE",배관기본물량!M68,IF(배관기본물량!N68="","",배관기본물량!N68)))</f>
        <v/>
      </c>
      <c r="H68" s="35" t="n">
        <f aca="false">IF(OR(배관기본물량!$G68="",배관기본물량!$B68&lt;&gt;"설치"),"",IF(배관기본물량!G68="PIPE",N(배관기본물량!R68),N(배관기본물량!L68)))</f>
        <v>4</v>
      </c>
      <c r="I68" s="54" t="n">
        <f aca="false">IF(OR(배관기본물량!$G68="",배관기본물량!$B68&lt;&gt;"설치"),"",배관기본물량!P68)</f>
        <v>0</v>
      </c>
      <c r="J68" s="34" t="n">
        <f aca="false">IF(OR(배관기본물량!$G68="",배관기본물량!$B68&lt;&gt;"설치"),"",IF(배관기본물량!G68="PIPE",IF(AND(N(배관기본물량!I68)&gt;0,N(배관기본물량!I68)&gt;=배관기준!$AG$15),ROUNDUP(H68/배관기준!$AG$16,0)*배관기준!$AG$16,ROUNDUP(H68*(1+M68),0)),ROUND(H68*(1+M68),0)))</f>
        <v>4</v>
      </c>
      <c r="K68" s="54" t="n">
        <f aca="false">IF(OR(배관기본물량!$G68="",배관기본물량!$B68&lt;&gt;"설치"),"",IF(N(H68)&gt;0,IF(ISNUMBER(G68),J68*G68,0),I68*(1+M68)))</f>
        <v>0</v>
      </c>
      <c r="L68" s="16" t="str">
        <f aca="false">IF(OR(배관기본물량!$G68="",배관기본물량!$B68&lt;&gt;"설치"),"",IF(배관기본물량!V68&lt;&gt;"",배관기본물량!V68,IF(배관기본물량!G68="PIPE",IF(OR(LEFT(배관기본물량!F68,3)="STS",LEFT(배관기본물량!F68,3)="SUS"),"STS 강관",IF(N(배관기본물량!I68)&lt;=50,"강관(50A이하)","강관(50A초과)")),"배관 FITTING류(VALVE 外)")))</f>
        <v>배관 FITTING류(VALVE 外)</v>
      </c>
      <c r="M68" s="58" t="n">
        <f aca="false">IF(OR(배관기본물량!$G68="",배관기본물량!$B68&lt;&gt;"설치"),"",IFERROR(INDEX(제작기준!$B$5:$B$30,MATCH(L68,제작기준!$A$5:$A$30,0)),0))</f>
        <v>0.015</v>
      </c>
      <c r="N68" s="6" t="str">
        <f aca="false">IF(OR(배관기본물량!$G68="",배관기본물량!$B68&lt;&gt;"설치"),"",배관기본물량!$AB68)</f>
        <v>C/C</v>
      </c>
    </row>
    <row r="69" customFormat="false" ht="15" hidden="false" customHeight="true" outlineLevel="0" collapsed="false">
      <c r="A69" s="6" t="n">
        <f aca="false">IF(OR(배관기본물량!$G69="",배관기본물량!$B69&lt;&gt;"설치"),"",배관기본물량!A69)</f>
        <v>63</v>
      </c>
      <c r="B69" s="16" t="str">
        <f aca="false">IF(OR(배관기본물량!$G69="",배관기본물량!$B69&lt;&gt;"설치"),"",배관기본물량!H69)</f>
        <v>GASKET</v>
      </c>
      <c r="C69" s="6" t="n">
        <f aca="false">IF(OR(배관기본물량!$G69="",배관기본물량!$B69&lt;&gt;"설치"),"",IF(배관기본물량!I69="","",배관기본물량!I69))</f>
        <v>250</v>
      </c>
      <c r="D69" s="6" t="str">
        <f aca="false">IF(OR(배관기본물량!$G69="",배관기본물량!$B69&lt;&gt;"설치"),"",배관기본물량!F69&amp;"")</f>
        <v>SUS304/C.S</v>
      </c>
      <c r="E69" s="6" t="str">
        <f aca="false">IF(OR(배관기본물량!$G69="",배관기본물량!$B69&lt;&gt;"설치"),"",배관기본물량!K69&amp;"")</f>
        <v>EA</v>
      </c>
      <c r="F69" s="35" t="n">
        <f aca="false">IF(OR(배관기본물량!$G69="",배관기본물량!$B69&lt;&gt;"설치"),"",IF(배관기본물량!L69="","",배관기본물량!L69))</f>
        <v>2</v>
      </c>
      <c r="G69" s="37" t="str">
        <f aca="false">IF(OR(배관기본물량!$G69="",배관기본물량!$B69&lt;&gt;"설치"),"",IF(배관기본물량!G69="PIPE",배관기본물량!M69,IF(배관기본물량!N69="","",배관기본물량!N69)))</f>
        <v/>
      </c>
      <c r="H69" s="35" t="n">
        <f aca="false">IF(OR(배관기본물량!$G69="",배관기본물량!$B69&lt;&gt;"설치"),"",IF(배관기본물량!G69="PIPE",N(배관기본물량!R69),N(배관기본물량!L69)))</f>
        <v>2</v>
      </c>
      <c r="I69" s="54" t="n">
        <f aca="false">IF(OR(배관기본물량!$G69="",배관기본물량!$B69&lt;&gt;"설치"),"",배관기본물량!P69)</f>
        <v>0</v>
      </c>
      <c r="J69" s="34" t="n">
        <f aca="false">IF(OR(배관기본물량!$G69="",배관기본물량!$B69&lt;&gt;"설치"),"",IF(배관기본물량!G69="PIPE",IF(AND(N(배관기본물량!I69)&gt;0,N(배관기본물량!I69)&gt;=배관기준!$AG$15),ROUNDUP(H69/배관기준!$AG$16,0)*배관기준!$AG$16,ROUNDUP(H69*(1+M69),0)),ROUND(H69*(1+M69),0)))</f>
        <v>2</v>
      </c>
      <c r="K69" s="54" t="n">
        <f aca="false">IF(OR(배관기본물량!$G69="",배관기본물량!$B69&lt;&gt;"설치"),"",IF(N(H69)&gt;0,IF(ISNUMBER(G69),J69*G69,0),I69*(1+M69)))</f>
        <v>0</v>
      </c>
      <c r="L69" s="16" t="str">
        <f aca="false">IF(OR(배관기본물량!$G69="",배관기본물량!$B69&lt;&gt;"설치"),"",IF(배관기본물량!V69&lt;&gt;"",배관기본물량!V69,IF(배관기본물량!G69="PIPE",IF(OR(LEFT(배관기본물량!F69,3)="STS",LEFT(배관기본물량!F69,3)="SUS"),"STS 강관",IF(N(배관기본물량!I69)&lt;=50,"강관(50A이하)","강관(50A초과)")),"배관 FITTING류(VALVE 外)")))</f>
        <v>배관 FITTING류(VALVE 外)</v>
      </c>
      <c r="M69" s="58" t="n">
        <f aca="false">IF(OR(배관기본물량!$G69="",배관기본물량!$B69&lt;&gt;"설치"),"",IFERROR(INDEX(제작기준!$B$5:$B$30,MATCH(L69,제작기준!$A$5:$A$30,0)),0))</f>
        <v>0.015</v>
      </c>
      <c r="N69" s="6" t="str">
        <f aca="false">IF(OR(배관기본물량!$G69="",배관기본물량!$B69&lt;&gt;"설치"),"",배관기본물량!$AB69)</f>
        <v>C/C</v>
      </c>
    </row>
    <row r="70" customFormat="false" ht="15" hidden="false" customHeight="true" outlineLevel="0" collapsed="false">
      <c r="A70" s="6" t="n">
        <f aca="false">IF(OR(배관기본물량!$G70="",배관기본물량!$B70&lt;&gt;"설치"),"",배관기본물량!A70)</f>
        <v>64</v>
      </c>
      <c r="B70" s="16" t="str">
        <f aca="false">IF(OR(배관기본물량!$G70="",배관기본물량!$B70&lt;&gt;"설치"),"",배관기본물량!H70)</f>
        <v>GASKET</v>
      </c>
      <c r="C70" s="6" t="n">
        <f aca="false">IF(OR(배관기본물량!$G70="",배관기본물량!$B70&lt;&gt;"설치"),"",IF(배관기본물량!I70="","",배관기본물량!I70))</f>
        <v>300</v>
      </c>
      <c r="D70" s="6" t="str">
        <f aca="false">IF(OR(배관기본물량!$G70="",배관기본물량!$B70&lt;&gt;"설치"),"",배관기본물량!F70&amp;"")</f>
        <v>SUS304/C.S</v>
      </c>
      <c r="E70" s="6" t="str">
        <f aca="false">IF(OR(배관기본물량!$G70="",배관기본물량!$B70&lt;&gt;"설치"),"",배관기본물량!K70&amp;"")</f>
        <v>EA</v>
      </c>
      <c r="F70" s="35" t="n">
        <f aca="false">IF(OR(배관기본물량!$G70="",배관기본물량!$B70&lt;&gt;"설치"),"",IF(배관기본물량!L70="","",배관기본물량!L70))</f>
        <v>1</v>
      </c>
      <c r="G70" s="37" t="str">
        <f aca="false">IF(OR(배관기본물량!$G70="",배관기본물량!$B70&lt;&gt;"설치"),"",IF(배관기본물량!G70="PIPE",배관기본물량!M70,IF(배관기본물량!N70="","",배관기본물량!N70)))</f>
        <v/>
      </c>
      <c r="H70" s="35" t="n">
        <f aca="false">IF(OR(배관기본물량!$G70="",배관기본물량!$B70&lt;&gt;"설치"),"",IF(배관기본물량!G70="PIPE",N(배관기본물량!R70),N(배관기본물량!L70)))</f>
        <v>1</v>
      </c>
      <c r="I70" s="54" t="n">
        <f aca="false">IF(OR(배관기본물량!$G70="",배관기본물량!$B70&lt;&gt;"설치"),"",배관기본물량!P70)</f>
        <v>0</v>
      </c>
      <c r="J70" s="34" t="n">
        <f aca="false">IF(OR(배관기본물량!$G70="",배관기본물량!$B70&lt;&gt;"설치"),"",IF(배관기본물량!G70="PIPE",IF(AND(N(배관기본물량!I70)&gt;0,N(배관기본물량!I70)&gt;=배관기준!$AG$15),ROUNDUP(H70/배관기준!$AG$16,0)*배관기준!$AG$16,ROUNDUP(H70*(1+M70),0)),ROUND(H70*(1+M70),0)))</f>
        <v>1</v>
      </c>
      <c r="K70" s="54" t="n">
        <f aca="false">IF(OR(배관기본물량!$G70="",배관기본물량!$B70&lt;&gt;"설치"),"",IF(N(H70)&gt;0,IF(ISNUMBER(G70),J70*G70,0),I70*(1+M70)))</f>
        <v>0</v>
      </c>
      <c r="L70" s="16" t="str">
        <f aca="false">IF(OR(배관기본물량!$G70="",배관기본물량!$B70&lt;&gt;"설치"),"",IF(배관기본물량!V70&lt;&gt;"",배관기본물량!V70,IF(배관기본물량!G70="PIPE",IF(OR(LEFT(배관기본물량!F70,3)="STS",LEFT(배관기본물량!F70,3)="SUS"),"STS 강관",IF(N(배관기본물량!I70)&lt;=50,"강관(50A이하)","강관(50A초과)")),"배관 FITTING류(VALVE 外)")))</f>
        <v>배관 FITTING류(VALVE 外)</v>
      </c>
      <c r="M70" s="58" t="n">
        <f aca="false">IF(OR(배관기본물량!$G70="",배관기본물량!$B70&lt;&gt;"설치"),"",IFERROR(INDEX(제작기준!$B$5:$B$30,MATCH(L70,제작기준!$A$5:$A$30,0)),0))</f>
        <v>0.015</v>
      </c>
      <c r="N70" s="6" t="str">
        <f aca="false">IF(OR(배관기본물량!$G70="",배관기본물량!$B70&lt;&gt;"설치"),"",배관기본물량!$AB70)</f>
        <v>C/C</v>
      </c>
    </row>
    <row r="71" customFormat="false" ht="15" hidden="false" customHeight="true" outlineLevel="0" collapsed="false">
      <c r="A71" s="6" t="n">
        <f aca="false">IF(OR(배관기본물량!$G71="",배관기본물량!$B71&lt;&gt;"설치"),"",배관기본물량!A71)</f>
        <v>65</v>
      </c>
      <c r="B71" s="16" t="str">
        <f aca="false">IF(OR(배관기본물량!$G71="",배관기본물량!$B71&lt;&gt;"설치"),"",배관기본물량!H71)</f>
        <v>H.B/N M12x40L</v>
      </c>
      <c r="C71" s="6" t="str">
        <f aca="false">IF(OR(배관기본물량!$G71="",배관기본물량!$B71&lt;&gt;"설치"),"",IF(배관기본물량!I71="","",배관기본물량!I71))</f>
        <v/>
      </c>
      <c r="D71" s="6" t="str">
        <f aca="false">IF(OR(배관기본물량!$G71="",배관기본물량!$B71&lt;&gt;"설치"),"",배관기본물량!F71&amp;"")</f>
        <v>SS400</v>
      </c>
      <c r="E71" s="6" t="str">
        <f aca="false">IF(OR(배관기본물량!$G71="",배관기본물량!$B71&lt;&gt;"설치"),"",배관기본물량!K71&amp;"")</f>
        <v>SET</v>
      </c>
      <c r="F71" s="35" t="n">
        <f aca="false">IF(OR(배관기본물량!$G71="",배관기본물량!$B71&lt;&gt;"설치"),"",IF(배관기본물량!L71="","",배관기본물량!L71))</f>
        <v>24</v>
      </c>
      <c r="G71" s="37" t="n">
        <f aca="false">IF(OR(배관기본물량!$G71="",배관기본물량!$B71&lt;&gt;"설치"),"",IF(배관기본물량!G71="PIPE",배관기본물량!M71,IF(배관기본물량!N71="","",배관기본물량!N71)))</f>
        <v>0.1</v>
      </c>
      <c r="H71" s="35" t="n">
        <f aca="false">IF(OR(배관기본물량!$G71="",배관기본물량!$B71&lt;&gt;"설치"),"",IF(배관기본물량!G71="PIPE",N(배관기본물량!R71),N(배관기본물량!L71)))</f>
        <v>24</v>
      </c>
      <c r="I71" s="54" t="n">
        <f aca="false">IF(OR(배관기본물량!$G71="",배관기본물량!$B71&lt;&gt;"설치"),"",배관기본물량!P71)</f>
        <v>2.4</v>
      </c>
      <c r="J71" s="34" t="n">
        <f aca="false">IF(OR(배관기본물량!$G71="",배관기본물량!$B71&lt;&gt;"설치"),"",IF(배관기본물량!G71="PIPE",IF(AND(N(배관기본물량!I71)&gt;0,N(배관기본물량!I71)&gt;=배관기준!$AG$15),ROUNDUP(H71/배관기준!$AG$16,0)*배관기준!$AG$16,ROUNDUP(H71*(1+M71),0)),ROUND(H71*(1+M71),0)))</f>
        <v>25</v>
      </c>
      <c r="K71" s="54" t="n">
        <f aca="false">IF(OR(배관기본물량!$G71="",배관기본물량!$B71&lt;&gt;"설치"),"",IF(N(H71)&gt;0,IF(ISNUMBER(G71),J71*G71,0),I71*(1+M71)))</f>
        <v>2.5</v>
      </c>
      <c r="L71" s="16" t="str">
        <f aca="false">IF(OR(배관기본물량!$G71="",배관기본물량!$B71&lt;&gt;"설치"),"",IF(배관기본물량!V71&lt;&gt;"",배관기본물량!V71,IF(배관기본물량!G71="PIPE",IF(OR(LEFT(배관기본물량!F71,3)="STS",LEFT(배관기본물량!F71,3)="SUS"),"STS 강관",IF(N(배관기본물량!I71)&lt;=50,"강관(50A이하)","강관(50A초과)")),"배관 FITTING류(VALVE 外)")))</f>
        <v>일반볼트</v>
      </c>
      <c r="M71" s="58" t="n">
        <f aca="false">IF(OR(배관기본물량!$G71="",배관기본물량!$B71&lt;&gt;"설치"),"",IFERROR(INDEX(제작기준!$B$5:$B$30,MATCH(L71,제작기준!$A$5:$A$30,0)),0))</f>
        <v>0.05</v>
      </c>
      <c r="N71" s="6" t="str">
        <f aca="false">IF(OR(배관기본물량!$G71="",배관기본물량!$B71&lt;&gt;"설치"),"",배관기본물량!$AB71)</f>
        <v/>
      </c>
    </row>
    <row r="72" customFormat="false" ht="15" hidden="false" customHeight="true" outlineLevel="0" collapsed="false">
      <c r="A72" s="6" t="n">
        <f aca="false">IF(OR(배관기본물량!$G72="",배관기본물량!$B72&lt;&gt;"설치"),"",배관기본물량!A72)</f>
        <v>66</v>
      </c>
      <c r="B72" s="16" t="str">
        <f aca="false">IF(OR(배관기본물량!$G72="",배관기본물량!$B72&lt;&gt;"설치"),"",배관기본물량!H72)</f>
        <v>H.B/N M16x50L</v>
      </c>
      <c r="C72" s="6" t="str">
        <f aca="false">IF(OR(배관기본물량!$G72="",배관기본물량!$B72&lt;&gt;"설치"),"",IF(배관기본물량!I72="","",배관기본물량!I72))</f>
        <v/>
      </c>
      <c r="D72" s="6" t="str">
        <f aca="false">IF(OR(배관기본물량!$G72="",배관기본물량!$B72&lt;&gt;"설치"),"",배관기본물량!F72&amp;"")</f>
        <v>SS400</v>
      </c>
      <c r="E72" s="6" t="str">
        <f aca="false">IF(OR(배관기본물량!$G72="",배관기본물량!$B72&lt;&gt;"설치"),"",배관기본물량!K72&amp;"")</f>
        <v>SET</v>
      </c>
      <c r="F72" s="35" t="n">
        <f aca="false">IF(OR(배관기본물량!$G72="",배관기본물량!$B72&lt;&gt;"설치"),"",IF(배관기본물량!L72="","",배관기본물량!L72))</f>
        <v>24</v>
      </c>
      <c r="G72" s="37" t="n">
        <f aca="false">IF(OR(배관기본물량!$G72="",배관기본물량!$B72&lt;&gt;"설치"),"",IF(배관기본물량!G72="PIPE",배관기본물량!M72,IF(배관기본물량!N72="","",배관기본물량!N72)))</f>
        <v>0.2</v>
      </c>
      <c r="H72" s="35" t="n">
        <f aca="false">IF(OR(배관기본물량!$G72="",배관기본물량!$B72&lt;&gt;"설치"),"",IF(배관기본물량!G72="PIPE",N(배관기본물량!R72),N(배관기본물량!L72)))</f>
        <v>24</v>
      </c>
      <c r="I72" s="54" t="n">
        <f aca="false">IF(OR(배관기본물량!$G72="",배관기본물량!$B72&lt;&gt;"설치"),"",배관기본물량!P72)</f>
        <v>4.8</v>
      </c>
      <c r="J72" s="34" t="n">
        <f aca="false">IF(OR(배관기본물량!$G72="",배관기본물량!$B72&lt;&gt;"설치"),"",IF(배관기본물량!G72="PIPE",IF(AND(N(배관기본물량!I72)&gt;0,N(배관기본물량!I72)&gt;=배관기준!$AG$15),ROUNDUP(H72/배관기준!$AG$16,0)*배관기준!$AG$16,ROUNDUP(H72*(1+M72),0)),ROUND(H72*(1+M72),0)))</f>
        <v>25</v>
      </c>
      <c r="K72" s="54" t="n">
        <f aca="false">IF(OR(배관기본물량!$G72="",배관기본물량!$B72&lt;&gt;"설치"),"",IF(N(H72)&gt;0,IF(ISNUMBER(G72),J72*G72,0),I72*(1+M72)))</f>
        <v>5</v>
      </c>
      <c r="L72" s="16" t="str">
        <f aca="false">IF(OR(배관기본물량!$G72="",배관기본물량!$B72&lt;&gt;"설치"),"",IF(배관기본물량!V72&lt;&gt;"",배관기본물량!V72,IF(배관기본물량!G72="PIPE",IF(OR(LEFT(배관기본물량!F72,3)="STS",LEFT(배관기본물량!F72,3)="SUS"),"STS 강관",IF(N(배관기본물량!I72)&lt;=50,"강관(50A이하)","강관(50A초과)")),"배관 FITTING류(VALVE 外)")))</f>
        <v>일반볼트</v>
      </c>
      <c r="M72" s="58" t="n">
        <f aca="false">IF(OR(배관기본물량!$G72="",배관기본물량!$B72&lt;&gt;"설치"),"",IFERROR(INDEX(제작기준!$B$5:$B$30,MATCH(L72,제작기준!$A$5:$A$30,0)),0))</f>
        <v>0.05</v>
      </c>
      <c r="N72" s="6" t="str">
        <f aca="false">IF(OR(배관기본물량!$G72="",배관기본물량!$B72&lt;&gt;"설치"),"",배관기본물량!$AB72)</f>
        <v/>
      </c>
    </row>
    <row r="73" customFormat="false" ht="15" hidden="false" customHeight="true" outlineLevel="0" collapsed="false">
      <c r="A73" s="6" t="n">
        <f aca="false">IF(OR(배관기본물량!$G73="",배관기본물량!$B73&lt;&gt;"설치"),"",배관기본물량!A73)</f>
        <v>67</v>
      </c>
      <c r="B73" s="16" t="str">
        <f aca="false">IF(OR(배관기본물량!$G73="",배관기본물량!$B73&lt;&gt;"설치"),"",배관기본물량!H73)</f>
        <v>H.B/N M16x55L</v>
      </c>
      <c r="C73" s="6" t="str">
        <f aca="false">IF(OR(배관기본물량!$G73="",배관기본물량!$B73&lt;&gt;"설치"),"",IF(배관기본물량!I73="","",배관기본물량!I73))</f>
        <v/>
      </c>
      <c r="D73" s="6" t="str">
        <f aca="false">IF(OR(배관기본물량!$G73="",배관기본물량!$B73&lt;&gt;"설치"),"",배관기본물량!F73&amp;"")</f>
        <v>SS400</v>
      </c>
      <c r="E73" s="6" t="str">
        <f aca="false">IF(OR(배관기본물량!$G73="",배관기본물량!$B73&lt;&gt;"설치"),"",배관기본물량!K73&amp;"")</f>
        <v>SET</v>
      </c>
      <c r="F73" s="35" t="n">
        <f aca="false">IF(OR(배관기본물량!$G73="",배관기본물량!$B73&lt;&gt;"설치"),"",IF(배관기본물량!L73="","",배관기본물량!L73))</f>
        <v>8</v>
      </c>
      <c r="G73" s="37" t="n">
        <f aca="false">IF(OR(배관기본물량!$G73="",배관기본물량!$B73&lt;&gt;"설치"),"",IF(배관기본물량!G73="PIPE",배관기본물량!M73,IF(배관기본물량!N73="","",배관기본물량!N73)))</f>
        <v>0.2</v>
      </c>
      <c r="H73" s="35" t="n">
        <f aca="false">IF(OR(배관기본물량!$G73="",배관기본물량!$B73&lt;&gt;"설치"),"",IF(배관기본물량!G73="PIPE",N(배관기본물량!R73),N(배관기본물량!L73)))</f>
        <v>8</v>
      </c>
      <c r="I73" s="54" t="n">
        <f aca="false">IF(OR(배관기본물량!$G73="",배관기본물량!$B73&lt;&gt;"설치"),"",배관기본물량!P73)</f>
        <v>1.6</v>
      </c>
      <c r="J73" s="34" t="n">
        <f aca="false">IF(OR(배관기본물량!$G73="",배관기본물량!$B73&lt;&gt;"설치"),"",IF(배관기본물량!G73="PIPE",IF(AND(N(배관기본물량!I73)&gt;0,N(배관기본물량!I73)&gt;=배관기준!$AG$15),ROUNDUP(H73/배관기준!$AG$16,0)*배관기준!$AG$16,ROUNDUP(H73*(1+M73),0)),ROUND(H73*(1+M73),0)))</f>
        <v>8</v>
      </c>
      <c r="K73" s="54" t="n">
        <f aca="false">IF(OR(배관기본물량!$G73="",배관기본물량!$B73&lt;&gt;"설치"),"",IF(N(H73)&gt;0,IF(ISNUMBER(G73),J73*G73,0),I73*(1+M73)))</f>
        <v>1.6</v>
      </c>
      <c r="L73" s="16" t="str">
        <f aca="false">IF(OR(배관기본물량!$G73="",배관기본물량!$B73&lt;&gt;"설치"),"",IF(배관기본물량!V73&lt;&gt;"",배관기본물량!V73,IF(배관기본물량!G73="PIPE",IF(OR(LEFT(배관기본물량!F73,3)="STS",LEFT(배관기본물량!F73,3)="SUS"),"STS 강관",IF(N(배관기본물량!I73)&lt;=50,"강관(50A이하)","강관(50A초과)")),"배관 FITTING류(VALVE 外)")))</f>
        <v>일반볼트</v>
      </c>
      <c r="M73" s="58" t="n">
        <f aca="false">IF(OR(배관기본물량!$G73="",배관기본물량!$B73&lt;&gt;"설치"),"",IFERROR(INDEX(제작기준!$B$5:$B$30,MATCH(L73,제작기준!$A$5:$A$30,0)),0))</f>
        <v>0.05</v>
      </c>
      <c r="N73" s="6" t="str">
        <f aca="false">IF(OR(배관기본물량!$G73="",배관기본물량!$B73&lt;&gt;"설치"),"",배관기본물량!$AB73)</f>
        <v/>
      </c>
    </row>
    <row r="74" customFormat="false" ht="15" hidden="false" customHeight="true" outlineLevel="0" collapsed="false">
      <c r="A74" s="6" t="n">
        <f aca="false">IF(OR(배관기본물량!$G74="",배관기본물량!$B74&lt;&gt;"설치"),"",배관기본물량!A74)</f>
        <v>68</v>
      </c>
      <c r="B74" s="16" t="str">
        <f aca="false">IF(OR(배관기본물량!$G74="",배관기본물량!$B74&lt;&gt;"설치"),"",배관기본물량!H74)</f>
        <v>H.B/N M20x70L</v>
      </c>
      <c r="C74" s="6" t="str">
        <f aca="false">IF(OR(배관기본물량!$G74="",배관기본물량!$B74&lt;&gt;"설치"),"",IF(배관기본물량!I74="","",배관기본물량!I74))</f>
        <v/>
      </c>
      <c r="D74" s="6" t="str">
        <f aca="false">IF(OR(배관기본물량!$G74="",배관기본물량!$B74&lt;&gt;"설치"),"",배관기본물량!F74&amp;"")</f>
        <v>SS400</v>
      </c>
      <c r="E74" s="6" t="str">
        <f aca="false">IF(OR(배관기본물량!$G74="",배관기본물량!$B74&lt;&gt;"설치"),"",배관기본물량!K74&amp;"")</f>
        <v>SET</v>
      </c>
      <c r="F74" s="35" t="n">
        <f aca="false">IF(OR(배관기본물량!$G74="",배관기본물량!$B74&lt;&gt;"설치"),"",IF(배관기본물량!L74="","",배관기본물량!L74))</f>
        <v>80</v>
      </c>
      <c r="G74" s="37" t="n">
        <f aca="false">IF(OR(배관기본물량!$G74="",배관기본물량!$B74&lt;&gt;"설치"),"",IF(배관기본물량!G74="PIPE",배관기본물량!M74,IF(배관기본물량!N74="","",배관기본물량!N74)))</f>
        <v>0.3</v>
      </c>
      <c r="H74" s="35" t="n">
        <f aca="false">IF(OR(배관기본물량!$G74="",배관기본물량!$B74&lt;&gt;"설치"),"",IF(배관기본물량!G74="PIPE",N(배관기본물량!R74),N(배관기본물량!L74)))</f>
        <v>80</v>
      </c>
      <c r="I74" s="54" t="n">
        <f aca="false">IF(OR(배관기본물량!$G74="",배관기본물량!$B74&lt;&gt;"설치"),"",배관기본물량!P74)</f>
        <v>24</v>
      </c>
      <c r="J74" s="34" t="n">
        <f aca="false">IF(OR(배관기본물량!$G74="",배관기본물량!$B74&lt;&gt;"설치"),"",IF(배관기본물량!G74="PIPE",IF(AND(N(배관기본물량!I74)&gt;0,N(배관기본물량!I74)&gt;=배관기준!$AG$15),ROUNDUP(H74/배관기준!$AG$16,0)*배관기준!$AG$16,ROUNDUP(H74*(1+M74),0)),ROUND(H74*(1+M74),0)))</f>
        <v>84</v>
      </c>
      <c r="K74" s="54" t="n">
        <f aca="false">IF(OR(배관기본물량!$G74="",배관기본물량!$B74&lt;&gt;"설치"),"",IF(N(H74)&gt;0,IF(ISNUMBER(G74),J74*G74,0),I74*(1+M74)))</f>
        <v>25.2</v>
      </c>
      <c r="L74" s="16" t="str">
        <f aca="false">IF(OR(배관기본물량!$G74="",배관기본물량!$B74&lt;&gt;"설치"),"",IF(배관기본물량!V74&lt;&gt;"",배관기본물량!V74,IF(배관기본물량!G74="PIPE",IF(OR(LEFT(배관기본물량!F74,3)="STS",LEFT(배관기본물량!F74,3)="SUS"),"STS 강관",IF(N(배관기본물량!I74)&lt;=50,"강관(50A이하)","강관(50A초과)")),"배관 FITTING류(VALVE 外)")))</f>
        <v>일반볼트</v>
      </c>
      <c r="M74" s="58" t="n">
        <f aca="false">IF(OR(배관기본물량!$G74="",배관기본물량!$B74&lt;&gt;"설치"),"",IFERROR(INDEX(제작기준!$B$5:$B$30,MATCH(L74,제작기준!$A$5:$A$30,0)),0))</f>
        <v>0.05</v>
      </c>
      <c r="N74" s="6" t="str">
        <f aca="false">IF(OR(배관기본물량!$G74="",배관기본물량!$B74&lt;&gt;"설치"),"",배관기본물량!$AB74)</f>
        <v/>
      </c>
    </row>
    <row r="75" customFormat="false" ht="15" hidden="false" customHeight="true" outlineLevel="0" collapsed="false">
      <c r="A75" s="6" t="n">
        <f aca="false">IF(OR(배관기본물량!$G75="",배관기본물량!$B75&lt;&gt;"설치"),"",배관기본물량!A75)</f>
        <v>69</v>
      </c>
      <c r="B75" s="16" t="str">
        <f aca="false">IF(OR(배관기본물량!$G75="",배관기본물량!$B75&lt;&gt;"설치"),"",배관기본물량!H75)</f>
        <v>S.B/N M30x200L 200A-40K</v>
      </c>
      <c r="C75" s="6" t="str">
        <f aca="false">IF(OR(배관기본물량!$G75="",배관기본물량!$B75&lt;&gt;"설치"),"",IF(배관기본물량!I75="","",배관기본물량!I75))</f>
        <v/>
      </c>
      <c r="D75" s="6" t="str">
        <f aca="false">IF(OR(배관기본물량!$G75="",배관기본물량!$B75&lt;&gt;"설치"),"",배관기본물량!F75&amp;"")</f>
        <v>S35C/S25C</v>
      </c>
      <c r="E75" s="6" t="str">
        <f aca="false">IF(OR(배관기본물량!$G75="",배관기본물량!$B75&lt;&gt;"설치"),"",배관기본물량!K75&amp;"")</f>
        <v>SET</v>
      </c>
      <c r="F75" s="35" t="n">
        <f aca="false">IF(OR(배관기본물량!$G75="",배관기본물량!$B75&lt;&gt;"설치"),"",IF(배관기본물량!L75="","",배관기본물량!L75))</f>
        <v>48</v>
      </c>
      <c r="G75" s="37" t="n">
        <f aca="false">IF(OR(배관기본물량!$G75="",배관기본물량!$B75&lt;&gt;"설치"),"",IF(배관기본물량!G75="PIPE",배관기본물량!M75,IF(배관기본물량!N75="","",배관기본물량!N75)))</f>
        <v>1.5</v>
      </c>
      <c r="H75" s="35" t="n">
        <f aca="false">IF(OR(배관기본물량!$G75="",배관기본물량!$B75&lt;&gt;"설치"),"",IF(배관기본물량!G75="PIPE",N(배관기본물량!R75),N(배관기본물량!L75)))</f>
        <v>48</v>
      </c>
      <c r="I75" s="54" t="n">
        <f aca="false">IF(OR(배관기본물량!$G75="",배관기본물량!$B75&lt;&gt;"설치"),"",배관기본물량!P75)</f>
        <v>72</v>
      </c>
      <c r="J75" s="34" t="n">
        <f aca="false">IF(OR(배관기본물량!$G75="",배관기본물량!$B75&lt;&gt;"설치"),"",IF(배관기본물량!G75="PIPE",IF(AND(N(배관기본물량!I75)&gt;0,N(배관기본물량!I75)&gt;=배관기준!$AG$15),ROUNDUP(H75/배관기준!$AG$16,0)*배관기준!$AG$16,ROUNDUP(H75*(1+M75),0)),ROUND(H75*(1+M75),0)))</f>
        <v>49</v>
      </c>
      <c r="K75" s="54" t="n">
        <f aca="false">IF(OR(배관기본물량!$G75="",배관기본물량!$B75&lt;&gt;"설치"),"",IF(N(H75)&gt;0,IF(ISNUMBER(G75),J75*G75,0),I75*(1+M75)))</f>
        <v>73.5</v>
      </c>
      <c r="L75" s="16" t="str">
        <f aca="false">IF(OR(배관기본물량!$G75="",배관기본물량!$B75&lt;&gt;"설치"),"",IF(배관기본물량!V75&lt;&gt;"",배관기본물량!V75,IF(배관기본물량!G75="PIPE",IF(OR(LEFT(배관기본물량!F75,3)="STS",LEFT(배관기본물량!F75,3)="SUS"),"STS 강관",IF(N(배관기본물량!I75)&lt;=50,"강관(50A이하)","강관(50A초과)")),"배관 FITTING류(VALVE 外)")))</f>
        <v>고장력볼트</v>
      </c>
      <c r="M75" s="58" t="n">
        <f aca="false">IF(OR(배관기본물량!$G75="",배관기본물량!$B75&lt;&gt;"설치"),"",IFERROR(INDEX(제작기준!$B$5:$B$30,MATCH(L75,제작기준!$A$5:$A$30,0)),0))</f>
        <v>0.03</v>
      </c>
      <c r="N75" s="6" t="str">
        <f aca="false">IF(OR(배관기본물량!$G75="",배관기본물량!$B75&lt;&gt;"설치"),"",배관기본물량!$AB75)</f>
        <v/>
      </c>
    </row>
    <row r="76" customFormat="false" ht="15" hidden="false" customHeight="true" outlineLevel="0" collapsed="false">
      <c r="A76" s="6" t="n">
        <f aca="false">IF(OR(배관기본물량!$G76="",배관기본물량!$B76&lt;&gt;"설치"),"",배관기본물량!A76)</f>
        <v>70</v>
      </c>
      <c r="B76" s="16" t="str">
        <f aca="false">IF(OR(배관기본물량!$G76="",배관기본물량!$B76&lt;&gt;"설치"),"",배관기본물량!H76)</f>
        <v>S.B/N M30x200L 250A-40K</v>
      </c>
      <c r="C76" s="6" t="str">
        <f aca="false">IF(OR(배관기본물량!$G76="",배관기본물량!$B76&lt;&gt;"설치"),"",IF(배관기본물량!I76="","",배관기본물량!I76))</f>
        <v/>
      </c>
      <c r="D76" s="6" t="str">
        <f aca="false">IF(OR(배관기본물량!$G76="",배관기본물량!$B76&lt;&gt;"설치"),"",배관기본물량!F76&amp;"")</f>
        <v>S35C/S25C</v>
      </c>
      <c r="E76" s="6" t="str">
        <f aca="false">IF(OR(배관기본물량!$G76="",배관기본물량!$B76&lt;&gt;"설치"),"",배관기본물량!K76&amp;"")</f>
        <v>SET</v>
      </c>
      <c r="F76" s="35" t="n">
        <f aca="false">IF(OR(배관기본물량!$G76="",배관기본물량!$B76&lt;&gt;"설치"),"",IF(배관기본물량!L76="","",배관기본물량!L76))</f>
        <v>22</v>
      </c>
      <c r="G76" s="37" t="n">
        <f aca="false">IF(OR(배관기본물량!$G76="",배관기본물량!$B76&lt;&gt;"설치"),"",IF(배관기본물량!G76="PIPE",배관기본물량!M76,IF(배관기본물량!N76="","",배관기본물량!N76)))</f>
        <v>1.5</v>
      </c>
      <c r="H76" s="35" t="n">
        <f aca="false">IF(OR(배관기본물량!$G76="",배관기본물량!$B76&lt;&gt;"설치"),"",IF(배관기본물량!G76="PIPE",N(배관기본물량!R76),N(배관기본물량!L76)))</f>
        <v>22</v>
      </c>
      <c r="I76" s="54" t="n">
        <f aca="false">IF(OR(배관기본물량!$G76="",배관기본물량!$B76&lt;&gt;"설치"),"",배관기본물량!P76)</f>
        <v>33</v>
      </c>
      <c r="J76" s="34" t="n">
        <f aca="false">IF(OR(배관기본물량!$G76="",배관기본물량!$B76&lt;&gt;"설치"),"",IF(배관기본물량!G76="PIPE",IF(AND(N(배관기본물량!I76)&gt;0,N(배관기본물량!I76)&gt;=배관기준!$AG$15),ROUNDUP(H76/배관기준!$AG$16,0)*배관기준!$AG$16,ROUNDUP(H76*(1+M76),0)),ROUND(H76*(1+M76),0)))</f>
        <v>23</v>
      </c>
      <c r="K76" s="54" t="n">
        <f aca="false">IF(OR(배관기본물량!$G76="",배관기본물량!$B76&lt;&gt;"설치"),"",IF(N(H76)&gt;0,IF(ISNUMBER(G76),J76*G76,0),I76*(1+M76)))</f>
        <v>34.5</v>
      </c>
      <c r="L76" s="16" t="str">
        <f aca="false">IF(OR(배관기본물량!$G76="",배관기본물량!$B76&lt;&gt;"설치"),"",IF(배관기본물량!V76&lt;&gt;"",배관기본물량!V76,IF(배관기본물량!G76="PIPE",IF(OR(LEFT(배관기본물량!F76,3)="STS",LEFT(배관기본물량!F76,3)="SUS"),"STS 강관",IF(N(배관기본물량!I76)&lt;=50,"강관(50A이하)","강관(50A초과)")),"배관 FITTING류(VALVE 外)")))</f>
        <v>고장력볼트</v>
      </c>
      <c r="M76" s="58" t="n">
        <f aca="false">IF(OR(배관기본물량!$G76="",배관기본물량!$B76&lt;&gt;"설치"),"",IFERROR(INDEX(제작기준!$B$5:$B$30,MATCH(L76,제작기준!$A$5:$A$30,0)),0))</f>
        <v>0.03</v>
      </c>
      <c r="N76" s="6" t="str">
        <f aca="false">IF(OR(배관기본물량!$G76="",배관기본물량!$B76&lt;&gt;"설치"),"",배관기본물량!$AB76)</f>
        <v/>
      </c>
    </row>
    <row r="77" customFormat="false" ht="15" hidden="false" customHeight="true" outlineLevel="0" collapsed="false">
      <c r="A77" s="6" t="n">
        <f aca="false">IF(OR(배관기본물량!$G77="",배관기본물량!$B77&lt;&gt;"설치"),"",배관기본물량!A77)</f>
        <v>71</v>
      </c>
      <c r="B77" s="16" t="str">
        <f aca="false">IF(OR(배관기본물량!$G77="",배관기본물량!$B77&lt;&gt;"설치"),"",배관기본물량!H77)</f>
        <v>S.B/N M36x220L 300A-40K</v>
      </c>
      <c r="C77" s="6" t="str">
        <f aca="false">IF(OR(배관기본물량!$G77="",배관기본물량!$B77&lt;&gt;"설치"),"",IF(배관기본물량!I77="","",배관기본물량!I77))</f>
        <v/>
      </c>
      <c r="D77" s="6" t="str">
        <f aca="false">IF(OR(배관기본물량!$G77="",배관기본물량!$B77&lt;&gt;"설치"),"",배관기본물량!F77&amp;"")</f>
        <v>S35C/S25C</v>
      </c>
      <c r="E77" s="6" t="str">
        <f aca="false">IF(OR(배관기본물량!$G77="",배관기본물량!$B77&lt;&gt;"설치"),"",배관기본물량!K77&amp;"")</f>
        <v>SET</v>
      </c>
      <c r="F77" s="35" t="n">
        <f aca="false">IF(OR(배관기본물량!$G77="",배관기본물량!$B77&lt;&gt;"설치"),"",IF(배관기본물량!L77="","",배관기본물량!L77))</f>
        <v>12</v>
      </c>
      <c r="G77" s="37" t="n">
        <f aca="false">IF(OR(배관기본물량!$G77="",배관기본물량!$B77&lt;&gt;"설치"),"",IF(배관기본물량!G77="PIPE",배관기본물량!M77,IF(배관기본물량!N77="","",배관기본물량!N77)))</f>
        <v>2</v>
      </c>
      <c r="H77" s="35" t="n">
        <f aca="false">IF(OR(배관기본물량!$G77="",배관기본물량!$B77&lt;&gt;"설치"),"",IF(배관기본물량!G77="PIPE",N(배관기본물량!R77),N(배관기본물량!L77)))</f>
        <v>12</v>
      </c>
      <c r="I77" s="54" t="n">
        <f aca="false">IF(OR(배관기본물량!$G77="",배관기본물량!$B77&lt;&gt;"설치"),"",배관기본물량!P77)</f>
        <v>24</v>
      </c>
      <c r="J77" s="34" t="n">
        <f aca="false">IF(OR(배관기본물량!$G77="",배관기본물량!$B77&lt;&gt;"설치"),"",IF(배관기본물량!G77="PIPE",IF(AND(N(배관기본물량!I77)&gt;0,N(배관기본물량!I77)&gt;=배관기준!$AG$15),ROUNDUP(H77/배관기준!$AG$16,0)*배관기준!$AG$16,ROUNDUP(H77*(1+M77),0)),ROUND(H77*(1+M77),0)))</f>
        <v>12</v>
      </c>
      <c r="K77" s="54" t="n">
        <f aca="false">IF(OR(배관기본물량!$G77="",배관기본물량!$B77&lt;&gt;"설치"),"",IF(N(H77)&gt;0,IF(ISNUMBER(G77),J77*G77,0),I77*(1+M77)))</f>
        <v>24</v>
      </c>
      <c r="L77" s="16" t="str">
        <f aca="false">IF(OR(배관기본물량!$G77="",배관기본물량!$B77&lt;&gt;"설치"),"",IF(배관기본물량!V77&lt;&gt;"",배관기본물량!V77,IF(배관기본물량!G77="PIPE",IF(OR(LEFT(배관기본물량!F77,3)="STS",LEFT(배관기본물량!F77,3)="SUS"),"STS 강관",IF(N(배관기본물량!I77)&lt;=50,"강관(50A이하)","강관(50A초과)")),"배관 FITTING류(VALVE 外)")))</f>
        <v>고장력볼트</v>
      </c>
      <c r="M77" s="58" t="n">
        <f aca="false">IF(OR(배관기본물량!$G77="",배관기본물량!$B77&lt;&gt;"설치"),"",IFERROR(INDEX(제작기준!$B$5:$B$30,MATCH(L77,제작기준!$A$5:$A$30,0)),0))</f>
        <v>0.03</v>
      </c>
      <c r="N77" s="6" t="str">
        <f aca="false">IF(OR(배관기본물량!$G77="",배관기본물량!$B77&lt;&gt;"설치"),"",배관기본물량!$AB77)</f>
        <v/>
      </c>
    </row>
    <row r="78" customFormat="false" ht="15" hidden="false" customHeight="true" outlineLevel="0" collapsed="false">
      <c r="A78" s="6" t="str">
        <f aca="false">IF(OR(배관기본물량!$G78="",배관기본물량!$B78&lt;&gt;"설치"),"",배관기본물량!A78)</f>
        <v/>
      </c>
      <c r="B78" s="16" t="str">
        <f aca="false">IF(OR(배관기본물량!$G78="",배관기본물량!$B78&lt;&gt;"설치"),"",배관기본물량!H78)</f>
        <v/>
      </c>
      <c r="C78" s="6" t="str">
        <f aca="false">IF(OR(배관기본물량!$G78="",배관기본물량!$B78&lt;&gt;"설치"),"",IF(배관기본물량!I78="","",배관기본물량!I78))</f>
        <v/>
      </c>
      <c r="D78" s="6" t="str">
        <f aca="false">IF(OR(배관기본물량!$G78="",배관기본물량!$B78&lt;&gt;"설치"),"",배관기본물량!F78&amp;"")</f>
        <v/>
      </c>
      <c r="E78" s="6" t="str">
        <f aca="false">IF(OR(배관기본물량!$G78="",배관기본물량!$B78&lt;&gt;"설치"),"",배관기본물량!K78&amp;"")</f>
        <v/>
      </c>
      <c r="F78" s="35" t="str">
        <f aca="false">IF(OR(배관기본물량!$G78="",배관기본물량!$B78&lt;&gt;"설치"),"",IF(배관기본물량!L78="","",배관기본물량!L78))</f>
        <v/>
      </c>
      <c r="G78" s="37" t="str">
        <f aca="false">IF(OR(배관기본물량!$G78="",배관기본물량!$B78&lt;&gt;"설치"),"",IF(배관기본물량!G78="PIPE",배관기본물량!M78,IF(배관기본물량!N78="","",배관기본물량!N78)))</f>
        <v/>
      </c>
      <c r="H78" s="35" t="str">
        <f aca="false">IF(OR(배관기본물량!$G78="",배관기본물량!$B78&lt;&gt;"설치"),"",IF(배관기본물량!G78="PIPE",N(배관기본물량!R78),N(배관기본물량!L78)))</f>
        <v/>
      </c>
      <c r="I78" s="54" t="str">
        <f aca="false">IF(OR(배관기본물량!$G78="",배관기본물량!$B78&lt;&gt;"설치"),"",배관기본물량!P78)</f>
        <v/>
      </c>
      <c r="J78" s="34" t="str">
        <f aca="false">IF(OR(배관기본물량!$G78="",배관기본물량!$B78&lt;&gt;"설치"),"",IF(배관기본물량!G78="PIPE",IF(AND(N(배관기본물량!I78)&gt;0,N(배관기본물량!I78)&gt;=배관기준!$AG$15),ROUNDUP(H78/배관기준!$AG$16,0)*배관기준!$AG$16,ROUNDUP(H78*(1+M78),0)),ROUND(H78*(1+M78),0)))</f>
        <v/>
      </c>
      <c r="K78" s="54" t="str">
        <f aca="false">IF(OR(배관기본물량!$G78="",배관기본물량!$B78&lt;&gt;"설치"),"",IF(N(H78)&gt;0,IF(ISNUMBER(G78),J78*G78,0),I78*(1+M78)))</f>
        <v/>
      </c>
      <c r="L78" s="16" t="str">
        <f aca="false">IF(OR(배관기본물량!$G78="",배관기본물량!$B78&lt;&gt;"설치"),"",IF(배관기본물량!V78&lt;&gt;"",배관기본물량!V78,IF(배관기본물량!G78="PIPE",IF(OR(LEFT(배관기본물량!F78,3)="STS",LEFT(배관기본물량!F78,3)="SUS"),"STS 강관",IF(N(배관기본물량!I78)&lt;=50,"강관(50A이하)","강관(50A초과)")),"배관 FITTING류(VALVE 外)")))</f>
        <v/>
      </c>
      <c r="M78" s="58" t="str">
        <f aca="false">IF(OR(배관기본물량!$G78="",배관기본물량!$B78&lt;&gt;"설치"),"",IFERROR(INDEX(제작기준!$B$5:$B$30,MATCH(L78,제작기준!$A$5:$A$30,0)),0))</f>
        <v/>
      </c>
      <c r="N78" s="6" t="str">
        <f aca="false">IF(OR(배관기본물량!$G78="",배관기본물량!$B78&lt;&gt;"설치"),"",배관기본물량!$AB78)</f>
        <v/>
      </c>
    </row>
    <row r="79" customFormat="false" ht="15" hidden="false" customHeight="true" outlineLevel="0" collapsed="false">
      <c r="A79" s="6" t="str">
        <f aca="false">IF(OR(배관기본물량!$G79="",배관기본물량!$B79&lt;&gt;"설치"),"",배관기본물량!A79)</f>
        <v/>
      </c>
      <c r="B79" s="16" t="str">
        <f aca="false">IF(OR(배관기본물량!$G79="",배관기본물량!$B79&lt;&gt;"설치"),"",배관기본물량!H79)</f>
        <v/>
      </c>
      <c r="C79" s="6" t="str">
        <f aca="false">IF(OR(배관기본물량!$G79="",배관기본물량!$B79&lt;&gt;"설치"),"",IF(배관기본물량!I79="","",배관기본물량!I79))</f>
        <v/>
      </c>
      <c r="D79" s="6" t="str">
        <f aca="false">IF(OR(배관기본물량!$G79="",배관기본물량!$B79&lt;&gt;"설치"),"",배관기본물량!F79&amp;"")</f>
        <v/>
      </c>
      <c r="E79" s="6" t="str">
        <f aca="false">IF(OR(배관기본물량!$G79="",배관기본물량!$B79&lt;&gt;"설치"),"",배관기본물량!K79&amp;"")</f>
        <v/>
      </c>
      <c r="F79" s="35" t="str">
        <f aca="false">IF(OR(배관기본물량!$G79="",배관기본물량!$B79&lt;&gt;"설치"),"",IF(배관기본물량!L79="","",배관기본물량!L79))</f>
        <v/>
      </c>
      <c r="G79" s="37" t="str">
        <f aca="false">IF(OR(배관기본물량!$G79="",배관기본물량!$B79&lt;&gt;"설치"),"",IF(배관기본물량!G79="PIPE",배관기본물량!M79,IF(배관기본물량!N79="","",배관기본물량!N79)))</f>
        <v/>
      </c>
      <c r="H79" s="35" t="str">
        <f aca="false">IF(OR(배관기본물량!$G79="",배관기본물량!$B79&lt;&gt;"설치"),"",IF(배관기본물량!G79="PIPE",N(배관기본물량!R79),N(배관기본물량!L79)))</f>
        <v/>
      </c>
      <c r="I79" s="54" t="str">
        <f aca="false">IF(OR(배관기본물량!$G79="",배관기본물량!$B79&lt;&gt;"설치"),"",배관기본물량!P79)</f>
        <v/>
      </c>
      <c r="J79" s="34" t="str">
        <f aca="false">IF(OR(배관기본물량!$G79="",배관기본물량!$B79&lt;&gt;"설치"),"",IF(배관기본물량!G79="PIPE",IF(AND(N(배관기본물량!I79)&gt;0,N(배관기본물량!I79)&gt;=배관기준!$AG$15),ROUNDUP(H79/배관기준!$AG$16,0)*배관기준!$AG$16,ROUNDUP(H79*(1+M79),0)),ROUND(H79*(1+M79),0)))</f>
        <v/>
      </c>
      <c r="K79" s="54" t="str">
        <f aca="false">IF(OR(배관기본물량!$G79="",배관기본물량!$B79&lt;&gt;"설치"),"",IF(N(H79)&gt;0,IF(ISNUMBER(G79),J79*G79,0),I79*(1+M79)))</f>
        <v/>
      </c>
      <c r="L79" s="16" t="str">
        <f aca="false">IF(OR(배관기본물량!$G79="",배관기본물량!$B79&lt;&gt;"설치"),"",IF(배관기본물량!V79&lt;&gt;"",배관기본물량!V79,IF(배관기본물량!G79="PIPE",IF(OR(LEFT(배관기본물량!F79,3)="STS",LEFT(배관기본물량!F79,3)="SUS"),"STS 강관",IF(N(배관기본물량!I79)&lt;=50,"강관(50A이하)","강관(50A초과)")),"배관 FITTING류(VALVE 外)")))</f>
        <v/>
      </c>
      <c r="M79" s="58" t="str">
        <f aca="false">IF(OR(배관기본물량!$G79="",배관기본물량!$B79&lt;&gt;"설치"),"",IFERROR(INDEX(제작기준!$B$5:$B$30,MATCH(L79,제작기준!$A$5:$A$30,0)),0))</f>
        <v/>
      </c>
      <c r="N79" s="6" t="str">
        <f aca="false">IF(OR(배관기본물량!$G79="",배관기본물량!$B79&lt;&gt;"설치"),"",배관기본물량!$AB79)</f>
        <v/>
      </c>
    </row>
    <row r="80" customFormat="false" ht="15" hidden="false" customHeight="true" outlineLevel="0" collapsed="false">
      <c r="A80" s="6" t="str">
        <f aca="false">IF(OR(배관기본물량!$G80="",배관기본물량!$B80&lt;&gt;"설치"),"",배관기본물량!A80)</f>
        <v/>
      </c>
      <c r="B80" s="16" t="str">
        <f aca="false">IF(OR(배관기본물량!$G80="",배관기본물량!$B80&lt;&gt;"설치"),"",배관기본물량!H80)</f>
        <v/>
      </c>
      <c r="C80" s="6" t="str">
        <f aca="false">IF(OR(배관기본물량!$G80="",배관기본물량!$B80&lt;&gt;"설치"),"",IF(배관기본물량!I80="","",배관기본물량!I80))</f>
        <v/>
      </c>
      <c r="D80" s="6" t="str">
        <f aca="false">IF(OR(배관기본물량!$G80="",배관기본물량!$B80&lt;&gt;"설치"),"",배관기본물량!F80&amp;"")</f>
        <v/>
      </c>
      <c r="E80" s="6" t="str">
        <f aca="false">IF(OR(배관기본물량!$G80="",배관기본물량!$B80&lt;&gt;"설치"),"",배관기본물량!K80&amp;"")</f>
        <v/>
      </c>
      <c r="F80" s="35" t="str">
        <f aca="false">IF(OR(배관기본물량!$G80="",배관기본물량!$B80&lt;&gt;"설치"),"",IF(배관기본물량!L80="","",배관기본물량!L80))</f>
        <v/>
      </c>
      <c r="G80" s="37" t="str">
        <f aca="false">IF(OR(배관기본물량!$G80="",배관기본물량!$B80&lt;&gt;"설치"),"",IF(배관기본물량!G80="PIPE",배관기본물량!M80,IF(배관기본물량!N80="","",배관기본물량!N80)))</f>
        <v/>
      </c>
      <c r="H80" s="35" t="str">
        <f aca="false">IF(OR(배관기본물량!$G80="",배관기본물량!$B80&lt;&gt;"설치"),"",IF(배관기본물량!G80="PIPE",N(배관기본물량!R80),N(배관기본물량!L80)))</f>
        <v/>
      </c>
      <c r="I80" s="54" t="str">
        <f aca="false">IF(OR(배관기본물량!$G80="",배관기본물량!$B80&lt;&gt;"설치"),"",배관기본물량!P80)</f>
        <v/>
      </c>
      <c r="J80" s="34" t="str">
        <f aca="false">IF(OR(배관기본물량!$G80="",배관기본물량!$B80&lt;&gt;"설치"),"",IF(배관기본물량!G80="PIPE",IF(AND(N(배관기본물량!I80)&gt;0,N(배관기본물량!I80)&gt;=배관기준!$AG$15),ROUNDUP(H80/배관기준!$AG$16,0)*배관기준!$AG$16,ROUNDUP(H80*(1+M80),0)),ROUND(H80*(1+M80),0)))</f>
        <v/>
      </c>
      <c r="K80" s="54" t="str">
        <f aca="false">IF(OR(배관기본물량!$G80="",배관기본물량!$B80&lt;&gt;"설치"),"",IF(N(H80)&gt;0,IF(ISNUMBER(G80),J80*G80,0),I80*(1+M80)))</f>
        <v/>
      </c>
      <c r="L80" s="16" t="str">
        <f aca="false">IF(OR(배관기본물량!$G80="",배관기본물량!$B80&lt;&gt;"설치"),"",IF(배관기본물량!V80&lt;&gt;"",배관기본물량!V80,IF(배관기본물량!G80="PIPE",IF(OR(LEFT(배관기본물량!F80,3)="STS",LEFT(배관기본물량!F80,3)="SUS"),"STS 강관",IF(N(배관기본물량!I80)&lt;=50,"강관(50A이하)","강관(50A초과)")),"배관 FITTING류(VALVE 外)")))</f>
        <v/>
      </c>
      <c r="M80" s="58" t="str">
        <f aca="false">IF(OR(배관기본물량!$G80="",배관기본물량!$B80&lt;&gt;"설치"),"",IFERROR(INDEX(제작기준!$B$5:$B$30,MATCH(L80,제작기준!$A$5:$A$30,0)),0))</f>
        <v/>
      </c>
      <c r="N80" s="6" t="str">
        <f aca="false">IF(OR(배관기본물량!$G80="",배관기본물량!$B80&lt;&gt;"설치"),"",배관기본물량!$AB80)</f>
        <v/>
      </c>
    </row>
    <row r="81" customFormat="false" ht="15" hidden="false" customHeight="true" outlineLevel="0" collapsed="false">
      <c r="A81" s="6" t="str">
        <f aca="false">IF(OR(배관기본물량!$G81="",배관기본물량!$B81&lt;&gt;"설치"),"",배관기본물량!A81)</f>
        <v/>
      </c>
      <c r="B81" s="16" t="str">
        <f aca="false">IF(OR(배관기본물량!$G81="",배관기본물량!$B81&lt;&gt;"설치"),"",배관기본물량!H81)</f>
        <v/>
      </c>
      <c r="C81" s="6" t="str">
        <f aca="false">IF(OR(배관기본물량!$G81="",배관기본물량!$B81&lt;&gt;"설치"),"",IF(배관기본물량!I81="","",배관기본물량!I81))</f>
        <v/>
      </c>
      <c r="D81" s="6" t="str">
        <f aca="false">IF(OR(배관기본물량!$G81="",배관기본물량!$B81&lt;&gt;"설치"),"",배관기본물량!F81&amp;"")</f>
        <v/>
      </c>
      <c r="E81" s="6" t="str">
        <f aca="false">IF(OR(배관기본물량!$G81="",배관기본물량!$B81&lt;&gt;"설치"),"",배관기본물량!K81&amp;"")</f>
        <v/>
      </c>
      <c r="F81" s="35" t="str">
        <f aca="false">IF(OR(배관기본물량!$G81="",배관기본물량!$B81&lt;&gt;"설치"),"",IF(배관기본물량!L81="","",배관기본물량!L81))</f>
        <v/>
      </c>
      <c r="G81" s="37" t="str">
        <f aca="false">IF(OR(배관기본물량!$G81="",배관기본물량!$B81&lt;&gt;"설치"),"",IF(배관기본물량!G81="PIPE",배관기본물량!M81,IF(배관기본물량!N81="","",배관기본물량!N81)))</f>
        <v/>
      </c>
      <c r="H81" s="35" t="str">
        <f aca="false">IF(OR(배관기본물량!$G81="",배관기본물량!$B81&lt;&gt;"설치"),"",IF(배관기본물량!G81="PIPE",N(배관기본물량!R81),N(배관기본물량!L81)))</f>
        <v/>
      </c>
      <c r="I81" s="54" t="str">
        <f aca="false">IF(OR(배관기본물량!$G81="",배관기본물량!$B81&lt;&gt;"설치"),"",배관기본물량!P81)</f>
        <v/>
      </c>
      <c r="J81" s="34" t="str">
        <f aca="false">IF(OR(배관기본물량!$G81="",배관기본물량!$B81&lt;&gt;"설치"),"",IF(배관기본물량!G81="PIPE",IF(AND(N(배관기본물량!I81)&gt;0,N(배관기본물량!I81)&gt;=배관기준!$AG$15),ROUNDUP(H81/배관기준!$AG$16,0)*배관기준!$AG$16,ROUNDUP(H81*(1+M81),0)),ROUND(H81*(1+M81),0)))</f>
        <v/>
      </c>
      <c r="K81" s="54" t="str">
        <f aca="false">IF(OR(배관기본물량!$G81="",배관기본물량!$B81&lt;&gt;"설치"),"",IF(N(H81)&gt;0,IF(ISNUMBER(G81),J81*G81,0),I81*(1+M81)))</f>
        <v/>
      </c>
      <c r="L81" s="16" t="str">
        <f aca="false">IF(OR(배관기본물량!$G81="",배관기본물량!$B81&lt;&gt;"설치"),"",IF(배관기본물량!V81&lt;&gt;"",배관기본물량!V81,IF(배관기본물량!G81="PIPE",IF(OR(LEFT(배관기본물량!F81,3)="STS",LEFT(배관기본물량!F81,3)="SUS"),"STS 강관",IF(N(배관기본물량!I81)&lt;=50,"강관(50A이하)","강관(50A초과)")),"배관 FITTING류(VALVE 外)")))</f>
        <v/>
      </c>
      <c r="M81" s="58" t="str">
        <f aca="false">IF(OR(배관기본물량!$G81="",배관기본물량!$B81&lt;&gt;"설치"),"",IFERROR(INDEX(제작기준!$B$5:$B$30,MATCH(L81,제작기준!$A$5:$A$30,0)),0))</f>
        <v/>
      </c>
      <c r="N81" s="6" t="str">
        <f aca="false">IF(OR(배관기본물량!$G81="",배관기본물량!$B81&lt;&gt;"설치"),"",배관기본물량!$AB81)</f>
        <v/>
      </c>
    </row>
    <row r="82" customFormat="false" ht="15" hidden="false" customHeight="true" outlineLevel="0" collapsed="false">
      <c r="A82" s="6" t="str">
        <f aca="false">IF(OR(배관기본물량!$G82="",배관기본물량!$B82&lt;&gt;"설치"),"",배관기본물량!A82)</f>
        <v/>
      </c>
      <c r="B82" s="16" t="str">
        <f aca="false">IF(OR(배관기본물량!$G82="",배관기본물량!$B82&lt;&gt;"설치"),"",배관기본물량!H82)</f>
        <v/>
      </c>
      <c r="C82" s="6" t="str">
        <f aca="false">IF(OR(배관기본물량!$G82="",배관기본물량!$B82&lt;&gt;"설치"),"",IF(배관기본물량!I82="","",배관기본물량!I82))</f>
        <v/>
      </c>
      <c r="D82" s="6" t="str">
        <f aca="false">IF(OR(배관기본물량!$G82="",배관기본물량!$B82&lt;&gt;"설치"),"",배관기본물량!F82&amp;"")</f>
        <v/>
      </c>
      <c r="E82" s="6" t="str">
        <f aca="false">IF(OR(배관기본물량!$G82="",배관기본물량!$B82&lt;&gt;"설치"),"",배관기본물량!K82&amp;"")</f>
        <v/>
      </c>
      <c r="F82" s="35" t="str">
        <f aca="false">IF(OR(배관기본물량!$G82="",배관기본물량!$B82&lt;&gt;"설치"),"",IF(배관기본물량!L82="","",배관기본물량!L82))</f>
        <v/>
      </c>
      <c r="G82" s="37" t="str">
        <f aca="false">IF(OR(배관기본물량!$G82="",배관기본물량!$B82&lt;&gt;"설치"),"",IF(배관기본물량!G82="PIPE",배관기본물량!M82,IF(배관기본물량!N82="","",배관기본물량!N82)))</f>
        <v/>
      </c>
      <c r="H82" s="35" t="str">
        <f aca="false">IF(OR(배관기본물량!$G82="",배관기본물량!$B82&lt;&gt;"설치"),"",IF(배관기본물량!G82="PIPE",N(배관기본물량!R82),N(배관기본물량!L82)))</f>
        <v/>
      </c>
      <c r="I82" s="54" t="str">
        <f aca="false">IF(OR(배관기본물량!$G82="",배관기본물량!$B82&lt;&gt;"설치"),"",배관기본물량!P82)</f>
        <v/>
      </c>
      <c r="J82" s="34" t="str">
        <f aca="false">IF(OR(배관기본물량!$G82="",배관기본물량!$B82&lt;&gt;"설치"),"",IF(배관기본물량!G82="PIPE",IF(AND(N(배관기본물량!I82)&gt;0,N(배관기본물량!I82)&gt;=배관기준!$AG$15),ROUNDUP(H82/배관기준!$AG$16,0)*배관기준!$AG$16,ROUNDUP(H82*(1+M82),0)),ROUND(H82*(1+M82),0)))</f>
        <v/>
      </c>
      <c r="K82" s="54" t="str">
        <f aca="false">IF(OR(배관기본물량!$G82="",배관기본물량!$B82&lt;&gt;"설치"),"",IF(N(H82)&gt;0,IF(ISNUMBER(G82),J82*G82,0),I82*(1+M82)))</f>
        <v/>
      </c>
      <c r="L82" s="16" t="str">
        <f aca="false">IF(OR(배관기본물량!$G82="",배관기본물량!$B82&lt;&gt;"설치"),"",IF(배관기본물량!V82&lt;&gt;"",배관기본물량!V82,IF(배관기본물량!G82="PIPE",IF(OR(LEFT(배관기본물량!F82,3)="STS",LEFT(배관기본물량!F82,3)="SUS"),"STS 강관",IF(N(배관기본물량!I82)&lt;=50,"강관(50A이하)","강관(50A초과)")),"배관 FITTING류(VALVE 外)")))</f>
        <v/>
      </c>
      <c r="M82" s="58" t="str">
        <f aca="false">IF(OR(배관기본물량!$G82="",배관기본물량!$B82&lt;&gt;"설치"),"",IFERROR(INDEX(제작기준!$B$5:$B$30,MATCH(L82,제작기준!$A$5:$A$30,0)),0))</f>
        <v/>
      </c>
      <c r="N82" s="6" t="str">
        <f aca="false">IF(OR(배관기본물량!$G82="",배관기본물량!$B82&lt;&gt;"설치"),"",배관기본물량!$AB82)</f>
        <v/>
      </c>
    </row>
    <row r="83" customFormat="false" ht="15" hidden="false" customHeight="true" outlineLevel="0" collapsed="false">
      <c r="A83" s="6" t="str">
        <f aca="false">IF(OR(배관기본물량!$G83="",배관기본물량!$B83&lt;&gt;"설치"),"",배관기본물량!A83)</f>
        <v/>
      </c>
      <c r="B83" s="16" t="str">
        <f aca="false">IF(OR(배관기본물량!$G83="",배관기본물량!$B83&lt;&gt;"설치"),"",배관기본물량!H83)</f>
        <v/>
      </c>
      <c r="C83" s="6" t="str">
        <f aca="false">IF(OR(배관기본물량!$G83="",배관기본물량!$B83&lt;&gt;"설치"),"",IF(배관기본물량!I83="","",배관기본물량!I83))</f>
        <v/>
      </c>
      <c r="D83" s="6" t="str">
        <f aca="false">IF(OR(배관기본물량!$G83="",배관기본물량!$B83&lt;&gt;"설치"),"",배관기본물량!F83&amp;"")</f>
        <v/>
      </c>
      <c r="E83" s="6" t="str">
        <f aca="false">IF(OR(배관기본물량!$G83="",배관기본물량!$B83&lt;&gt;"설치"),"",배관기본물량!K83&amp;"")</f>
        <v/>
      </c>
      <c r="F83" s="35" t="str">
        <f aca="false">IF(OR(배관기본물량!$G83="",배관기본물량!$B83&lt;&gt;"설치"),"",IF(배관기본물량!L83="","",배관기본물량!L83))</f>
        <v/>
      </c>
      <c r="G83" s="37" t="str">
        <f aca="false">IF(OR(배관기본물량!$G83="",배관기본물량!$B83&lt;&gt;"설치"),"",IF(배관기본물량!G83="PIPE",배관기본물량!M83,IF(배관기본물량!N83="","",배관기본물량!N83)))</f>
        <v/>
      </c>
      <c r="H83" s="35" t="str">
        <f aca="false">IF(OR(배관기본물량!$G83="",배관기본물량!$B83&lt;&gt;"설치"),"",IF(배관기본물량!G83="PIPE",N(배관기본물량!R83),N(배관기본물량!L83)))</f>
        <v/>
      </c>
      <c r="I83" s="54" t="str">
        <f aca="false">IF(OR(배관기본물량!$G83="",배관기본물량!$B83&lt;&gt;"설치"),"",배관기본물량!P83)</f>
        <v/>
      </c>
      <c r="J83" s="34" t="str">
        <f aca="false">IF(OR(배관기본물량!$G83="",배관기본물량!$B83&lt;&gt;"설치"),"",IF(배관기본물량!G83="PIPE",IF(AND(N(배관기본물량!I83)&gt;0,N(배관기본물량!I83)&gt;=배관기준!$AG$15),ROUNDUP(H83/배관기준!$AG$16,0)*배관기준!$AG$16,ROUNDUP(H83*(1+M83),0)),ROUND(H83*(1+M83),0)))</f>
        <v/>
      </c>
      <c r="K83" s="54" t="str">
        <f aca="false">IF(OR(배관기본물량!$G83="",배관기본물량!$B83&lt;&gt;"설치"),"",IF(N(H83)&gt;0,IF(ISNUMBER(G83),J83*G83,0),I83*(1+M83)))</f>
        <v/>
      </c>
      <c r="L83" s="16" t="str">
        <f aca="false">IF(OR(배관기본물량!$G83="",배관기본물량!$B83&lt;&gt;"설치"),"",IF(배관기본물량!V83&lt;&gt;"",배관기본물량!V83,IF(배관기본물량!G83="PIPE",IF(OR(LEFT(배관기본물량!F83,3)="STS",LEFT(배관기본물량!F83,3)="SUS"),"STS 강관",IF(N(배관기본물량!I83)&lt;=50,"강관(50A이하)","강관(50A초과)")),"배관 FITTING류(VALVE 外)")))</f>
        <v/>
      </c>
      <c r="M83" s="58" t="str">
        <f aca="false">IF(OR(배관기본물량!$G83="",배관기본물량!$B83&lt;&gt;"설치"),"",IFERROR(INDEX(제작기준!$B$5:$B$30,MATCH(L83,제작기준!$A$5:$A$30,0)),0))</f>
        <v/>
      </c>
      <c r="N83" s="6" t="str">
        <f aca="false">IF(OR(배관기본물량!$G83="",배관기본물량!$B83&lt;&gt;"설치"),"",배관기본물량!$AB83)</f>
        <v/>
      </c>
    </row>
    <row r="84" customFormat="false" ht="15" hidden="false" customHeight="true" outlineLevel="0" collapsed="false">
      <c r="A84" s="6" t="str">
        <f aca="false">IF(OR(배관기본물량!$G84="",배관기본물량!$B84&lt;&gt;"설치"),"",배관기본물량!A84)</f>
        <v/>
      </c>
      <c r="B84" s="16" t="str">
        <f aca="false">IF(OR(배관기본물량!$G84="",배관기본물량!$B84&lt;&gt;"설치"),"",배관기본물량!H84)</f>
        <v/>
      </c>
      <c r="C84" s="6" t="str">
        <f aca="false">IF(OR(배관기본물량!$G84="",배관기본물량!$B84&lt;&gt;"설치"),"",IF(배관기본물량!I84="","",배관기본물량!I84))</f>
        <v/>
      </c>
      <c r="D84" s="6" t="str">
        <f aca="false">IF(OR(배관기본물량!$G84="",배관기본물량!$B84&lt;&gt;"설치"),"",배관기본물량!F84&amp;"")</f>
        <v/>
      </c>
      <c r="E84" s="6" t="str">
        <f aca="false">IF(OR(배관기본물량!$G84="",배관기본물량!$B84&lt;&gt;"설치"),"",배관기본물량!K84&amp;"")</f>
        <v/>
      </c>
      <c r="F84" s="35" t="str">
        <f aca="false">IF(OR(배관기본물량!$G84="",배관기본물량!$B84&lt;&gt;"설치"),"",IF(배관기본물량!L84="","",배관기본물량!L84))</f>
        <v/>
      </c>
      <c r="G84" s="37" t="str">
        <f aca="false">IF(OR(배관기본물량!$G84="",배관기본물량!$B84&lt;&gt;"설치"),"",IF(배관기본물량!G84="PIPE",배관기본물량!M84,IF(배관기본물량!N84="","",배관기본물량!N84)))</f>
        <v/>
      </c>
      <c r="H84" s="35" t="str">
        <f aca="false">IF(OR(배관기본물량!$G84="",배관기본물량!$B84&lt;&gt;"설치"),"",IF(배관기본물량!G84="PIPE",N(배관기본물량!R84),N(배관기본물량!L84)))</f>
        <v/>
      </c>
      <c r="I84" s="54" t="str">
        <f aca="false">IF(OR(배관기본물량!$G84="",배관기본물량!$B84&lt;&gt;"설치"),"",배관기본물량!P84)</f>
        <v/>
      </c>
      <c r="J84" s="34" t="str">
        <f aca="false">IF(OR(배관기본물량!$G84="",배관기본물량!$B84&lt;&gt;"설치"),"",IF(배관기본물량!G84="PIPE",IF(AND(N(배관기본물량!I84)&gt;0,N(배관기본물량!I84)&gt;=배관기준!$AG$15),ROUNDUP(H84/배관기준!$AG$16,0)*배관기준!$AG$16,ROUNDUP(H84*(1+M84),0)),ROUND(H84*(1+M84),0)))</f>
        <v/>
      </c>
      <c r="K84" s="54" t="str">
        <f aca="false">IF(OR(배관기본물량!$G84="",배관기본물량!$B84&lt;&gt;"설치"),"",IF(N(H84)&gt;0,IF(ISNUMBER(G84),J84*G84,0),I84*(1+M84)))</f>
        <v/>
      </c>
      <c r="L84" s="16" t="str">
        <f aca="false">IF(OR(배관기본물량!$G84="",배관기본물량!$B84&lt;&gt;"설치"),"",IF(배관기본물량!V84&lt;&gt;"",배관기본물량!V84,IF(배관기본물량!G84="PIPE",IF(OR(LEFT(배관기본물량!F84,3)="STS",LEFT(배관기본물량!F84,3)="SUS"),"STS 강관",IF(N(배관기본물량!I84)&lt;=50,"강관(50A이하)","강관(50A초과)")),"배관 FITTING류(VALVE 外)")))</f>
        <v/>
      </c>
      <c r="M84" s="58" t="str">
        <f aca="false">IF(OR(배관기본물량!$G84="",배관기본물량!$B84&lt;&gt;"설치"),"",IFERROR(INDEX(제작기준!$B$5:$B$30,MATCH(L84,제작기준!$A$5:$A$30,0)),0))</f>
        <v/>
      </c>
      <c r="N84" s="6" t="str">
        <f aca="false">IF(OR(배관기본물량!$G84="",배관기본물량!$B84&lt;&gt;"설치"),"",배관기본물량!$AB84)</f>
        <v/>
      </c>
    </row>
    <row r="85" customFormat="false" ht="15" hidden="false" customHeight="true" outlineLevel="0" collapsed="false">
      <c r="A85" s="6" t="str">
        <f aca="false">IF(OR(배관기본물량!$G85="",배관기본물량!$B85&lt;&gt;"설치"),"",배관기본물량!A85)</f>
        <v/>
      </c>
      <c r="B85" s="16" t="str">
        <f aca="false">IF(OR(배관기본물량!$G85="",배관기본물량!$B85&lt;&gt;"설치"),"",배관기본물량!H85)</f>
        <v/>
      </c>
      <c r="C85" s="6" t="str">
        <f aca="false">IF(OR(배관기본물량!$G85="",배관기본물량!$B85&lt;&gt;"설치"),"",IF(배관기본물량!I85="","",배관기본물량!I85))</f>
        <v/>
      </c>
      <c r="D85" s="6" t="str">
        <f aca="false">IF(OR(배관기본물량!$G85="",배관기본물량!$B85&lt;&gt;"설치"),"",배관기본물량!F85&amp;"")</f>
        <v/>
      </c>
      <c r="E85" s="6" t="str">
        <f aca="false">IF(OR(배관기본물량!$G85="",배관기본물량!$B85&lt;&gt;"설치"),"",배관기본물량!K85&amp;"")</f>
        <v/>
      </c>
      <c r="F85" s="35" t="str">
        <f aca="false">IF(OR(배관기본물량!$G85="",배관기본물량!$B85&lt;&gt;"설치"),"",IF(배관기본물량!L85="","",배관기본물량!L85))</f>
        <v/>
      </c>
      <c r="G85" s="37" t="str">
        <f aca="false">IF(OR(배관기본물량!$G85="",배관기본물량!$B85&lt;&gt;"설치"),"",IF(배관기본물량!G85="PIPE",배관기본물량!M85,IF(배관기본물량!N85="","",배관기본물량!N85)))</f>
        <v/>
      </c>
      <c r="H85" s="35" t="str">
        <f aca="false">IF(OR(배관기본물량!$G85="",배관기본물량!$B85&lt;&gt;"설치"),"",IF(배관기본물량!G85="PIPE",N(배관기본물량!R85),N(배관기본물량!L85)))</f>
        <v/>
      </c>
      <c r="I85" s="54" t="str">
        <f aca="false">IF(OR(배관기본물량!$G85="",배관기본물량!$B85&lt;&gt;"설치"),"",배관기본물량!P85)</f>
        <v/>
      </c>
      <c r="J85" s="34" t="str">
        <f aca="false">IF(OR(배관기본물량!$G85="",배관기본물량!$B85&lt;&gt;"설치"),"",IF(배관기본물량!G85="PIPE",IF(AND(N(배관기본물량!I85)&gt;0,N(배관기본물량!I85)&gt;=배관기준!$AG$15),ROUNDUP(H85/배관기준!$AG$16,0)*배관기준!$AG$16,ROUNDUP(H85*(1+M85),0)),ROUND(H85*(1+M85),0)))</f>
        <v/>
      </c>
      <c r="K85" s="54" t="str">
        <f aca="false">IF(OR(배관기본물량!$G85="",배관기본물량!$B85&lt;&gt;"설치"),"",IF(N(H85)&gt;0,IF(ISNUMBER(G85),J85*G85,0),I85*(1+M85)))</f>
        <v/>
      </c>
      <c r="L85" s="16" t="str">
        <f aca="false">IF(OR(배관기본물량!$G85="",배관기본물량!$B85&lt;&gt;"설치"),"",IF(배관기본물량!V85&lt;&gt;"",배관기본물량!V85,IF(배관기본물량!G85="PIPE",IF(OR(LEFT(배관기본물량!F85,3)="STS",LEFT(배관기본물량!F85,3)="SUS"),"STS 강관",IF(N(배관기본물량!I85)&lt;=50,"강관(50A이하)","강관(50A초과)")),"배관 FITTING류(VALVE 外)")))</f>
        <v/>
      </c>
      <c r="M85" s="58" t="str">
        <f aca="false">IF(OR(배관기본물량!$G85="",배관기본물량!$B85&lt;&gt;"설치"),"",IFERROR(INDEX(제작기준!$B$5:$B$30,MATCH(L85,제작기준!$A$5:$A$30,0)),0))</f>
        <v/>
      </c>
      <c r="N85" s="6" t="str">
        <f aca="false">IF(OR(배관기본물량!$G85="",배관기본물량!$B85&lt;&gt;"설치"),"",배관기본물량!$AB85)</f>
        <v/>
      </c>
    </row>
    <row r="86" customFormat="false" ht="15" hidden="false" customHeight="true" outlineLevel="0" collapsed="false">
      <c r="A86" s="6" t="str">
        <f aca="false">IF(OR(배관기본물량!$G86="",배관기본물량!$B86&lt;&gt;"설치"),"",배관기본물량!A86)</f>
        <v/>
      </c>
      <c r="B86" s="16" t="str">
        <f aca="false">IF(OR(배관기본물량!$G86="",배관기본물량!$B86&lt;&gt;"설치"),"",배관기본물량!H86)</f>
        <v/>
      </c>
      <c r="C86" s="6" t="str">
        <f aca="false">IF(OR(배관기본물량!$G86="",배관기본물량!$B86&lt;&gt;"설치"),"",IF(배관기본물량!I86="","",배관기본물량!I86))</f>
        <v/>
      </c>
      <c r="D86" s="6" t="str">
        <f aca="false">IF(OR(배관기본물량!$G86="",배관기본물량!$B86&lt;&gt;"설치"),"",배관기본물량!F86&amp;"")</f>
        <v/>
      </c>
      <c r="E86" s="6" t="str">
        <f aca="false">IF(OR(배관기본물량!$G86="",배관기본물량!$B86&lt;&gt;"설치"),"",배관기본물량!K86&amp;"")</f>
        <v/>
      </c>
      <c r="F86" s="35" t="str">
        <f aca="false">IF(OR(배관기본물량!$G86="",배관기본물량!$B86&lt;&gt;"설치"),"",IF(배관기본물량!L86="","",배관기본물량!L86))</f>
        <v/>
      </c>
      <c r="G86" s="37" t="str">
        <f aca="false">IF(OR(배관기본물량!$G86="",배관기본물량!$B86&lt;&gt;"설치"),"",IF(배관기본물량!G86="PIPE",배관기본물량!M86,IF(배관기본물량!N86="","",배관기본물량!N86)))</f>
        <v/>
      </c>
      <c r="H86" s="35" t="str">
        <f aca="false">IF(OR(배관기본물량!$G86="",배관기본물량!$B86&lt;&gt;"설치"),"",IF(배관기본물량!G86="PIPE",N(배관기본물량!R86),N(배관기본물량!L86)))</f>
        <v/>
      </c>
      <c r="I86" s="54" t="str">
        <f aca="false">IF(OR(배관기본물량!$G86="",배관기본물량!$B86&lt;&gt;"설치"),"",배관기본물량!P86)</f>
        <v/>
      </c>
      <c r="J86" s="34" t="str">
        <f aca="false">IF(OR(배관기본물량!$G86="",배관기본물량!$B86&lt;&gt;"설치"),"",IF(배관기본물량!G86="PIPE",IF(AND(N(배관기본물량!I86)&gt;0,N(배관기본물량!I86)&gt;=배관기준!$AG$15),ROUNDUP(H86/배관기준!$AG$16,0)*배관기준!$AG$16,ROUNDUP(H86*(1+M86),0)),ROUND(H86*(1+M86),0)))</f>
        <v/>
      </c>
      <c r="K86" s="54" t="str">
        <f aca="false">IF(OR(배관기본물량!$G86="",배관기본물량!$B86&lt;&gt;"설치"),"",IF(N(H86)&gt;0,IF(ISNUMBER(G86),J86*G86,0),I86*(1+M86)))</f>
        <v/>
      </c>
      <c r="L86" s="16" t="str">
        <f aca="false">IF(OR(배관기본물량!$G86="",배관기본물량!$B86&lt;&gt;"설치"),"",IF(배관기본물량!V86&lt;&gt;"",배관기본물량!V86,IF(배관기본물량!G86="PIPE",IF(OR(LEFT(배관기본물량!F86,3)="STS",LEFT(배관기본물량!F86,3)="SUS"),"STS 강관",IF(N(배관기본물량!I86)&lt;=50,"강관(50A이하)","강관(50A초과)")),"배관 FITTING류(VALVE 外)")))</f>
        <v/>
      </c>
      <c r="M86" s="58" t="str">
        <f aca="false">IF(OR(배관기본물량!$G86="",배관기본물량!$B86&lt;&gt;"설치"),"",IFERROR(INDEX(제작기준!$B$5:$B$30,MATCH(L86,제작기준!$A$5:$A$30,0)),0))</f>
        <v/>
      </c>
      <c r="N86" s="6" t="str">
        <f aca="false">IF(OR(배관기본물량!$G86="",배관기본물량!$B86&lt;&gt;"설치"),"",배관기본물량!$AB86)</f>
        <v/>
      </c>
    </row>
    <row r="87" customFormat="false" ht="15" hidden="false" customHeight="true" outlineLevel="0" collapsed="false">
      <c r="A87" s="6" t="str">
        <f aca="false">IF(OR(배관기본물량!$G87="",배관기본물량!$B87&lt;&gt;"설치"),"",배관기본물량!A87)</f>
        <v/>
      </c>
      <c r="B87" s="16" t="str">
        <f aca="false">IF(OR(배관기본물량!$G87="",배관기본물량!$B87&lt;&gt;"설치"),"",배관기본물량!H87)</f>
        <v/>
      </c>
      <c r="C87" s="6" t="str">
        <f aca="false">IF(OR(배관기본물량!$G87="",배관기본물량!$B87&lt;&gt;"설치"),"",IF(배관기본물량!I87="","",배관기본물량!I87))</f>
        <v/>
      </c>
      <c r="D87" s="6" t="str">
        <f aca="false">IF(OR(배관기본물량!$G87="",배관기본물량!$B87&lt;&gt;"설치"),"",배관기본물량!F87&amp;"")</f>
        <v/>
      </c>
      <c r="E87" s="6" t="str">
        <f aca="false">IF(OR(배관기본물량!$G87="",배관기본물량!$B87&lt;&gt;"설치"),"",배관기본물량!K87&amp;"")</f>
        <v/>
      </c>
      <c r="F87" s="35" t="str">
        <f aca="false">IF(OR(배관기본물량!$G87="",배관기본물량!$B87&lt;&gt;"설치"),"",IF(배관기본물량!L87="","",배관기본물량!L87))</f>
        <v/>
      </c>
      <c r="G87" s="37" t="str">
        <f aca="false">IF(OR(배관기본물량!$G87="",배관기본물량!$B87&lt;&gt;"설치"),"",IF(배관기본물량!G87="PIPE",배관기본물량!M87,IF(배관기본물량!N87="","",배관기본물량!N87)))</f>
        <v/>
      </c>
      <c r="H87" s="35" t="str">
        <f aca="false">IF(OR(배관기본물량!$G87="",배관기본물량!$B87&lt;&gt;"설치"),"",IF(배관기본물량!G87="PIPE",N(배관기본물량!R87),N(배관기본물량!L87)))</f>
        <v/>
      </c>
      <c r="I87" s="54" t="str">
        <f aca="false">IF(OR(배관기본물량!$G87="",배관기본물량!$B87&lt;&gt;"설치"),"",배관기본물량!P87)</f>
        <v/>
      </c>
      <c r="J87" s="34" t="str">
        <f aca="false">IF(OR(배관기본물량!$G87="",배관기본물량!$B87&lt;&gt;"설치"),"",IF(배관기본물량!G87="PIPE",IF(AND(N(배관기본물량!I87)&gt;0,N(배관기본물량!I87)&gt;=배관기준!$AG$15),ROUNDUP(H87/배관기준!$AG$16,0)*배관기준!$AG$16,ROUNDUP(H87*(1+M87),0)),ROUND(H87*(1+M87),0)))</f>
        <v/>
      </c>
      <c r="K87" s="54" t="str">
        <f aca="false">IF(OR(배관기본물량!$G87="",배관기본물량!$B87&lt;&gt;"설치"),"",IF(N(H87)&gt;0,IF(ISNUMBER(G87),J87*G87,0),I87*(1+M87)))</f>
        <v/>
      </c>
      <c r="L87" s="16" t="str">
        <f aca="false">IF(OR(배관기본물량!$G87="",배관기본물량!$B87&lt;&gt;"설치"),"",IF(배관기본물량!V87&lt;&gt;"",배관기본물량!V87,IF(배관기본물량!G87="PIPE",IF(OR(LEFT(배관기본물량!F87,3)="STS",LEFT(배관기본물량!F87,3)="SUS"),"STS 강관",IF(N(배관기본물량!I87)&lt;=50,"강관(50A이하)","강관(50A초과)")),"배관 FITTING류(VALVE 外)")))</f>
        <v/>
      </c>
      <c r="M87" s="58" t="str">
        <f aca="false">IF(OR(배관기본물량!$G87="",배관기본물량!$B87&lt;&gt;"설치"),"",IFERROR(INDEX(제작기준!$B$5:$B$30,MATCH(L87,제작기준!$A$5:$A$30,0)),0))</f>
        <v/>
      </c>
      <c r="N87" s="6" t="str">
        <f aca="false">IF(OR(배관기본물량!$G87="",배관기본물량!$B87&lt;&gt;"설치"),"",배관기본물량!$AB87)</f>
        <v/>
      </c>
    </row>
    <row r="88" customFormat="false" ht="15" hidden="false" customHeight="true" outlineLevel="0" collapsed="false">
      <c r="A88" s="6" t="str">
        <f aca="false">IF(OR(배관기본물량!$G88="",배관기본물량!$B88&lt;&gt;"설치"),"",배관기본물량!A88)</f>
        <v/>
      </c>
      <c r="B88" s="16" t="str">
        <f aca="false">IF(OR(배관기본물량!$G88="",배관기본물량!$B88&lt;&gt;"설치"),"",배관기본물량!H88)</f>
        <v/>
      </c>
      <c r="C88" s="6" t="str">
        <f aca="false">IF(OR(배관기본물량!$G88="",배관기본물량!$B88&lt;&gt;"설치"),"",IF(배관기본물량!I88="","",배관기본물량!I88))</f>
        <v/>
      </c>
      <c r="D88" s="6" t="str">
        <f aca="false">IF(OR(배관기본물량!$G88="",배관기본물량!$B88&lt;&gt;"설치"),"",배관기본물량!F88&amp;"")</f>
        <v/>
      </c>
      <c r="E88" s="6" t="str">
        <f aca="false">IF(OR(배관기본물량!$G88="",배관기본물량!$B88&lt;&gt;"설치"),"",배관기본물량!K88&amp;"")</f>
        <v/>
      </c>
      <c r="F88" s="35" t="str">
        <f aca="false">IF(OR(배관기본물량!$G88="",배관기본물량!$B88&lt;&gt;"설치"),"",IF(배관기본물량!L88="","",배관기본물량!L88))</f>
        <v/>
      </c>
      <c r="G88" s="37" t="str">
        <f aca="false">IF(OR(배관기본물량!$G88="",배관기본물량!$B88&lt;&gt;"설치"),"",IF(배관기본물량!G88="PIPE",배관기본물량!M88,IF(배관기본물량!N88="","",배관기본물량!N88)))</f>
        <v/>
      </c>
      <c r="H88" s="35" t="str">
        <f aca="false">IF(OR(배관기본물량!$G88="",배관기본물량!$B88&lt;&gt;"설치"),"",IF(배관기본물량!G88="PIPE",N(배관기본물량!R88),N(배관기본물량!L88)))</f>
        <v/>
      </c>
      <c r="I88" s="54" t="str">
        <f aca="false">IF(OR(배관기본물량!$G88="",배관기본물량!$B88&lt;&gt;"설치"),"",배관기본물량!P88)</f>
        <v/>
      </c>
      <c r="J88" s="34" t="str">
        <f aca="false">IF(OR(배관기본물량!$G88="",배관기본물량!$B88&lt;&gt;"설치"),"",IF(배관기본물량!G88="PIPE",IF(AND(N(배관기본물량!I88)&gt;0,N(배관기본물량!I88)&gt;=배관기준!$AG$15),ROUNDUP(H88/배관기준!$AG$16,0)*배관기준!$AG$16,ROUNDUP(H88*(1+M88),0)),ROUND(H88*(1+M88),0)))</f>
        <v/>
      </c>
      <c r="K88" s="54" t="str">
        <f aca="false">IF(OR(배관기본물량!$G88="",배관기본물량!$B88&lt;&gt;"설치"),"",IF(N(H88)&gt;0,IF(ISNUMBER(G88),J88*G88,0),I88*(1+M88)))</f>
        <v/>
      </c>
      <c r="L88" s="16" t="str">
        <f aca="false">IF(OR(배관기본물량!$G88="",배관기본물량!$B88&lt;&gt;"설치"),"",IF(배관기본물량!V88&lt;&gt;"",배관기본물량!V88,IF(배관기본물량!G88="PIPE",IF(OR(LEFT(배관기본물량!F88,3)="STS",LEFT(배관기본물량!F88,3)="SUS"),"STS 강관",IF(N(배관기본물량!I88)&lt;=50,"강관(50A이하)","강관(50A초과)")),"배관 FITTING류(VALVE 外)")))</f>
        <v/>
      </c>
      <c r="M88" s="58" t="str">
        <f aca="false">IF(OR(배관기본물량!$G88="",배관기본물량!$B88&lt;&gt;"설치"),"",IFERROR(INDEX(제작기준!$B$5:$B$30,MATCH(L88,제작기준!$A$5:$A$30,0)),0))</f>
        <v/>
      </c>
      <c r="N88" s="6" t="str">
        <f aca="false">IF(OR(배관기본물량!$G88="",배관기본물량!$B88&lt;&gt;"설치"),"",배관기본물량!$AB88)</f>
        <v/>
      </c>
    </row>
    <row r="89" customFormat="false" ht="15" hidden="false" customHeight="true" outlineLevel="0" collapsed="false">
      <c r="A89" s="6" t="str">
        <f aca="false">IF(OR(배관기본물량!$G89="",배관기본물량!$B89&lt;&gt;"설치"),"",배관기본물량!A89)</f>
        <v/>
      </c>
      <c r="B89" s="16" t="str">
        <f aca="false">IF(OR(배관기본물량!$G89="",배관기본물량!$B89&lt;&gt;"설치"),"",배관기본물량!H89)</f>
        <v/>
      </c>
      <c r="C89" s="6" t="str">
        <f aca="false">IF(OR(배관기본물량!$G89="",배관기본물량!$B89&lt;&gt;"설치"),"",IF(배관기본물량!I89="","",배관기본물량!I89))</f>
        <v/>
      </c>
      <c r="D89" s="6" t="str">
        <f aca="false">IF(OR(배관기본물량!$G89="",배관기본물량!$B89&lt;&gt;"설치"),"",배관기본물량!F89&amp;"")</f>
        <v/>
      </c>
      <c r="E89" s="6" t="str">
        <f aca="false">IF(OR(배관기본물량!$G89="",배관기본물량!$B89&lt;&gt;"설치"),"",배관기본물량!K89&amp;"")</f>
        <v/>
      </c>
      <c r="F89" s="35" t="str">
        <f aca="false">IF(OR(배관기본물량!$G89="",배관기본물량!$B89&lt;&gt;"설치"),"",IF(배관기본물량!L89="","",배관기본물량!L89))</f>
        <v/>
      </c>
      <c r="G89" s="37" t="str">
        <f aca="false">IF(OR(배관기본물량!$G89="",배관기본물량!$B89&lt;&gt;"설치"),"",IF(배관기본물량!G89="PIPE",배관기본물량!M89,IF(배관기본물량!N89="","",배관기본물량!N89)))</f>
        <v/>
      </c>
      <c r="H89" s="35" t="str">
        <f aca="false">IF(OR(배관기본물량!$G89="",배관기본물량!$B89&lt;&gt;"설치"),"",IF(배관기본물량!G89="PIPE",N(배관기본물량!R89),N(배관기본물량!L89)))</f>
        <v/>
      </c>
      <c r="I89" s="54" t="str">
        <f aca="false">IF(OR(배관기본물량!$G89="",배관기본물량!$B89&lt;&gt;"설치"),"",배관기본물량!P89)</f>
        <v/>
      </c>
      <c r="J89" s="34" t="str">
        <f aca="false">IF(OR(배관기본물량!$G89="",배관기본물량!$B89&lt;&gt;"설치"),"",IF(배관기본물량!G89="PIPE",IF(AND(N(배관기본물량!I89)&gt;0,N(배관기본물량!I89)&gt;=배관기준!$AG$15),ROUNDUP(H89/배관기준!$AG$16,0)*배관기준!$AG$16,ROUNDUP(H89*(1+M89),0)),ROUND(H89*(1+M89),0)))</f>
        <v/>
      </c>
      <c r="K89" s="54" t="str">
        <f aca="false">IF(OR(배관기본물량!$G89="",배관기본물량!$B89&lt;&gt;"설치"),"",IF(N(H89)&gt;0,IF(ISNUMBER(G89),J89*G89,0),I89*(1+M89)))</f>
        <v/>
      </c>
      <c r="L89" s="16" t="str">
        <f aca="false">IF(OR(배관기본물량!$G89="",배관기본물량!$B89&lt;&gt;"설치"),"",IF(배관기본물량!V89&lt;&gt;"",배관기본물량!V89,IF(배관기본물량!G89="PIPE",IF(OR(LEFT(배관기본물량!F89,3)="STS",LEFT(배관기본물량!F89,3)="SUS"),"STS 강관",IF(N(배관기본물량!I89)&lt;=50,"강관(50A이하)","강관(50A초과)")),"배관 FITTING류(VALVE 外)")))</f>
        <v/>
      </c>
      <c r="M89" s="58" t="str">
        <f aca="false">IF(OR(배관기본물량!$G89="",배관기본물량!$B89&lt;&gt;"설치"),"",IFERROR(INDEX(제작기준!$B$5:$B$30,MATCH(L89,제작기준!$A$5:$A$30,0)),0))</f>
        <v/>
      </c>
      <c r="N89" s="6" t="str">
        <f aca="false">IF(OR(배관기본물량!$G89="",배관기본물량!$B89&lt;&gt;"설치"),"",배관기본물량!$AB89)</f>
        <v/>
      </c>
    </row>
    <row r="90" customFormat="false" ht="15" hidden="false" customHeight="true" outlineLevel="0" collapsed="false">
      <c r="A90" s="6" t="str">
        <f aca="false">IF(OR(배관기본물량!$G90="",배관기본물량!$B90&lt;&gt;"설치"),"",배관기본물량!A90)</f>
        <v/>
      </c>
      <c r="B90" s="16" t="str">
        <f aca="false">IF(OR(배관기본물량!$G90="",배관기본물량!$B90&lt;&gt;"설치"),"",배관기본물량!H90)</f>
        <v/>
      </c>
      <c r="C90" s="6" t="str">
        <f aca="false">IF(OR(배관기본물량!$G90="",배관기본물량!$B90&lt;&gt;"설치"),"",IF(배관기본물량!I90="","",배관기본물량!I90))</f>
        <v/>
      </c>
      <c r="D90" s="6" t="str">
        <f aca="false">IF(OR(배관기본물량!$G90="",배관기본물량!$B90&lt;&gt;"설치"),"",배관기본물량!F90&amp;"")</f>
        <v/>
      </c>
      <c r="E90" s="6" t="str">
        <f aca="false">IF(OR(배관기본물량!$G90="",배관기본물량!$B90&lt;&gt;"설치"),"",배관기본물량!K90&amp;"")</f>
        <v/>
      </c>
      <c r="F90" s="35" t="str">
        <f aca="false">IF(OR(배관기본물량!$G90="",배관기본물량!$B90&lt;&gt;"설치"),"",IF(배관기본물량!L90="","",배관기본물량!L90))</f>
        <v/>
      </c>
      <c r="G90" s="37" t="str">
        <f aca="false">IF(OR(배관기본물량!$G90="",배관기본물량!$B90&lt;&gt;"설치"),"",IF(배관기본물량!G90="PIPE",배관기본물량!M90,IF(배관기본물량!N90="","",배관기본물량!N90)))</f>
        <v/>
      </c>
      <c r="H90" s="35" t="str">
        <f aca="false">IF(OR(배관기본물량!$G90="",배관기본물량!$B90&lt;&gt;"설치"),"",IF(배관기본물량!G90="PIPE",N(배관기본물량!R90),N(배관기본물량!L90)))</f>
        <v/>
      </c>
      <c r="I90" s="54" t="str">
        <f aca="false">IF(OR(배관기본물량!$G90="",배관기본물량!$B90&lt;&gt;"설치"),"",배관기본물량!P90)</f>
        <v/>
      </c>
      <c r="J90" s="34" t="str">
        <f aca="false">IF(OR(배관기본물량!$G90="",배관기본물량!$B90&lt;&gt;"설치"),"",IF(배관기본물량!G90="PIPE",IF(AND(N(배관기본물량!I90)&gt;0,N(배관기본물량!I90)&gt;=배관기준!$AG$15),ROUNDUP(H90/배관기준!$AG$16,0)*배관기준!$AG$16,ROUNDUP(H90*(1+M90),0)),ROUND(H90*(1+M90),0)))</f>
        <v/>
      </c>
      <c r="K90" s="54" t="str">
        <f aca="false">IF(OR(배관기본물량!$G90="",배관기본물량!$B90&lt;&gt;"설치"),"",IF(N(H90)&gt;0,IF(ISNUMBER(G90),J90*G90,0),I90*(1+M90)))</f>
        <v/>
      </c>
      <c r="L90" s="16" t="str">
        <f aca="false">IF(OR(배관기본물량!$G90="",배관기본물량!$B90&lt;&gt;"설치"),"",IF(배관기본물량!V90&lt;&gt;"",배관기본물량!V90,IF(배관기본물량!G90="PIPE",IF(OR(LEFT(배관기본물량!F90,3)="STS",LEFT(배관기본물량!F90,3)="SUS"),"STS 강관",IF(N(배관기본물량!I90)&lt;=50,"강관(50A이하)","강관(50A초과)")),"배관 FITTING류(VALVE 外)")))</f>
        <v/>
      </c>
      <c r="M90" s="58" t="str">
        <f aca="false">IF(OR(배관기본물량!$G90="",배관기본물량!$B90&lt;&gt;"설치"),"",IFERROR(INDEX(제작기준!$B$5:$B$30,MATCH(L90,제작기준!$A$5:$A$30,0)),0))</f>
        <v/>
      </c>
      <c r="N90" s="6" t="str">
        <f aca="false">IF(OR(배관기본물량!$G90="",배관기본물량!$B90&lt;&gt;"설치"),"",배관기본물량!$AB90)</f>
        <v/>
      </c>
    </row>
    <row r="91" customFormat="false" ht="15" hidden="false" customHeight="true" outlineLevel="0" collapsed="false">
      <c r="A91" s="6" t="str">
        <f aca="false">IF(OR(배관기본물량!$G91="",배관기본물량!$B91&lt;&gt;"설치"),"",배관기본물량!A91)</f>
        <v/>
      </c>
      <c r="B91" s="16" t="str">
        <f aca="false">IF(OR(배관기본물량!$G91="",배관기본물량!$B91&lt;&gt;"설치"),"",배관기본물량!H91)</f>
        <v/>
      </c>
      <c r="C91" s="6" t="str">
        <f aca="false">IF(OR(배관기본물량!$G91="",배관기본물량!$B91&lt;&gt;"설치"),"",IF(배관기본물량!I91="","",배관기본물량!I91))</f>
        <v/>
      </c>
      <c r="D91" s="6" t="str">
        <f aca="false">IF(OR(배관기본물량!$G91="",배관기본물량!$B91&lt;&gt;"설치"),"",배관기본물량!F91&amp;"")</f>
        <v/>
      </c>
      <c r="E91" s="6" t="str">
        <f aca="false">IF(OR(배관기본물량!$G91="",배관기본물량!$B91&lt;&gt;"설치"),"",배관기본물량!K91&amp;"")</f>
        <v/>
      </c>
      <c r="F91" s="35" t="str">
        <f aca="false">IF(OR(배관기본물량!$G91="",배관기본물량!$B91&lt;&gt;"설치"),"",IF(배관기본물량!L91="","",배관기본물량!L91))</f>
        <v/>
      </c>
      <c r="G91" s="37" t="str">
        <f aca="false">IF(OR(배관기본물량!$G91="",배관기본물량!$B91&lt;&gt;"설치"),"",IF(배관기본물량!G91="PIPE",배관기본물량!M91,IF(배관기본물량!N91="","",배관기본물량!N91)))</f>
        <v/>
      </c>
      <c r="H91" s="35" t="str">
        <f aca="false">IF(OR(배관기본물량!$G91="",배관기본물량!$B91&lt;&gt;"설치"),"",IF(배관기본물량!G91="PIPE",N(배관기본물량!R91),N(배관기본물량!L91)))</f>
        <v/>
      </c>
      <c r="I91" s="54" t="str">
        <f aca="false">IF(OR(배관기본물량!$G91="",배관기본물량!$B91&lt;&gt;"설치"),"",배관기본물량!P91)</f>
        <v/>
      </c>
      <c r="J91" s="34" t="str">
        <f aca="false">IF(OR(배관기본물량!$G91="",배관기본물량!$B91&lt;&gt;"설치"),"",IF(배관기본물량!G91="PIPE",IF(AND(N(배관기본물량!I91)&gt;0,N(배관기본물량!I91)&gt;=배관기준!$AG$15),ROUNDUP(H91/배관기준!$AG$16,0)*배관기준!$AG$16,ROUNDUP(H91*(1+M91),0)),ROUND(H91*(1+M91),0)))</f>
        <v/>
      </c>
      <c r="K91" s="54" t="str">
        <f aca="false">IF(OR(배관기본물량!$G91="",배관기본물량!$B91&lt;&gt;"설치"),"",IF(N(H91)&gt;0,IF(ISNUMBER(G91),J91*G91,0),I91*(1+M91)))</f>
        <v/>
      </c>
      <c r="L91" s="16" t="str">
        <f aca="false">IF(OR(배관기본물량!$G91="",배관기본물량!$B91&lt;&gt;"설치"),"",IF(배관기본물량!V91&lt;&gt;"",배관기본물량!V91,IF(배관기본물량!G91="PIPE",IF(OR(LEFT(배관기본물량!F91,3)="STS",LEFT(배관기본물량!F91,3)="SUS"),"STS 강관",IF(N(배관기본물량!I91)&lt;=50,"강관(50A이하)","강관(50A초과)")),"배관 FITTING류(VALVE 外)")))</f>
        <v/>
      </c>
      <c r="M91" s="58" t="str">
        <f aca="false">IF(OR(배관기본물량!$G91="",배관기본물량!$B91&lt;&gt;"설치"),"",IFERROR(INDEX(제작기준!$B$5:$B$30,MATCH(L91,제작기준!$A$5:$A$30,0)),0))</f>
        <v/>
      </c>
      <c r="N91" s="6" t="str">
        <f aca="false">IF(OR(배관기본물량!$G91="",배관기본물량!$B91&lt;&gt;"설치"),"",배관기본물량!$AB91)</f>
        <v/>
      </c>
    </row>
    <row r="92" customFormat="false" ht="15" hidden="false" customHeight="true" outlineLevel="0" collapsed="false">
      <c r="A92" s="6" t="str">
        <f aca="false">IF(OR(배관기본물량!$G92="",배관기본물량!$B92&lt;&gt;"설치"),"",배관기본물량!A92)</f>
        <v/>
      </c>
      <c r="B92" s="16" t="str">
        <f aca="false">IF(OR(배관기본물량!$G92="",배관기본물량!$B92&lt;&gt;"설치"),"",배관기본물량!H92)</f>
        <v/>
      </c>
      <c r="C92" s="6" t="str">
        <f aca="false">IF(OR(배관기본물량!$G92="",배관기본물량!$B92&lt;&gt;"설치"),"",IF(배관기본물량!I92="","",배관기본물량!I92))</f>
        <v/>
      </c>
      <c r="D92" s="6" t="str">
        <f aca="false">IF(OR(배관기본물량!$G92="",배관기본물량!$B92&lt;&gt;"설치"),"",배관기본물량!F92&amp;"")</f>
        <v/>
      </c>
      <c r="E92" s="6" t="str">
        <f aca="false">IF(OR(배관기본물량!$G92="",배관기본물량!$B92&lt;&gt;"설치"),"",배관기본물량!K92&amp;"")</f>
        <v/>
      </c>
      <c r="F92" s="35" t="str">
        <f aca="false">IF(OR(배관기본물량!$G92="",배관기본물량!$B92&lt;&gt;"설치"),"",IF(배관기본물량!L92="","",배관기본물량!L92))</f>
        <v/>
      </c>
      <c r="G92" s="37" t="str">
        <f aca="false">IF(OR(배관기본물량!$G92="",배관기본물량!$B92&lt;&gt;"설치"),"",IF(배관기본물량!G92="PIPE",배관기본물량!M92,IF(배관기본물량!N92="","",배관기본물량!N92)))</f>
        <v/>
      </c>
      <c r="H92" s="35" t="str">
        <f aca="false">IF(OR(배관기본물량!$G92="",배관기본물량!$B92&lt;&gt;"설치"),"",IF(배관기본물량!G92="PIPE",N(배관기본물량!R92),N(배관기본물량!L92)))</f>
        <v/>
      </c>
      <c r="I92" s="54" t="str">
        <f aca="false">IF(OR(배관기본물량!$G92="",배관기본물량!$B92&lt;&gt;"설치"),"",배관기본물량!P92)</f>
        <v/>
      </c>
      <c r="J92" s="34" t="str">
        <f aca="false">IF(OR(배관기본물량!$G92="",배관기본물량!$B92&lt;&gt;"설치"),"",IF(배관기본물량!G92="PIPE",IF(AND(N(배관기본물량!I92)&gt;0,N(배관기본물량!I92)&gt;=배관기준!$AG$15),ROUNDUP(H92/배관기준!$AG$16,0)*배관기준!$AG$16,ROUNDUP(H92*(1+M92),0)),ROUND(H92*(1+M92),0)))</f>
        <v/>
      </c>
      <c r="K92" s="54" t="str">
        <f aca="false">IF(OR(배관기본물량!$G92="",배관기본물량!$B92&lt;&gt;"설치"),"",IF(N(H92)&gt;0,IF(ISNUMBER(G92),J92*G92,0),I92*(1+M92)))</f>
        <v/>
      </c>
      <c r="L92" s="16" t="str">
        <f aca="false">IF(OR(배관기본물량!$G92="",배관기본물량!$B92&lt;&gt;"설치"),"",IF(배관기본물량!V92&lt;&gt;"",배관기본물량!V92,IF(배관기본물량!G92="PIPE",IF(OR(LEFT(배관기본물량!F92,3)="STS",LEFT(배관기본물량!F92,3)="SUS"),"STS 강관",IF(N(배관기본물량!I92)&lt;=50,"강관(50A이하)","강관(50A초과)")),"배관 FITTING류(VALVE 外)")))</f>
        <v/>
      </c>
      <c r="M92" s="58" t="str">
        <f aca="false">IF(OR(배관기본물량!$G92="",배관기본물량!$B92&lt;&gt;"설치"),"",IFERROR(INDEX(제작기준!$B$5:$B$30,MATCH(L92,제작기준!$A$5:$A$30,0)),0))</f>
        <v/>
      </c>
      <c r="N92" s="6" t="str">
        <f aca="false">IF(OR(배관기본물량!$G92="",배관기본물량!$B92&lt;&gt;"설치"),"",배관기본물량!$AB92)</f>
        <v/>
      </c>
    </row>
    <row r="93" customFormat="false" ht="15" hidden="false" customHeight="true" outlineLevel="0" collapsed="false">
      <c r="A93" s="6" t="str">
        <f aca="false">IF(OR(배관기본물량!$G93="",배관기본물량!$B93&lt;&gt;"설치"),"",배관기본물량!A93)</f>
        <v/>
      </c>
      <c r="B93" s="16" t="str">
        <f aca="false">IF(OR(배관기본물량!$G93="",배관기본물량!$B93&lt;&gt;"설치"),"",배관기본물량!H93)</f>
        <v/>
      </c>
      <c r="C93" s="6" t="str">
        <f aca="false">IF(OR(배관기본물량!$G93="",배관기본물량!$B93&lt;&gt;"설치"),"",IF(배관기본물량!I93="","",배관기본물량!I93))</f>
        <v/>
      </c>
      <c r="D93" s="6" t="str">
        <f aca="false">IF(OR(배관기본물량!$G93="",배관기본물량!$B93&lt;&gt;"설치"),"",배관기본물량!F93&amp;"")</f>
        <v/>
      </c>
      <c r="E93" s="6" t="str">
        <f aca="false">IF(OR(배관기본물량!$G93="",배관기본물량!$B93&lt;&gt;"설치"),"",배관기본물량!K93&amp;"")</f>
        <v/>
      </c>
      <c r="F93" s="35" t="str">
        <f aca="false">IF(OR(배관기본물량!$G93="",배관기본물량!$B93&lt;&gt;"설치"),"",IF(배관기본물량!L93="","",배관기본물량!L93))</f>
        <v/>
      </c>
      <c r="G93" s="37" t="str">
        <f aca="false">IF(OR(배관기본물량!$G93="",배관기본물량!$B93&lt;&gt;"설치"),"",IF(배관기본물량!G93="PIPE",배관기본물량!M93,IF(배관기본물량!N93="","",배관기본물량!N93)))</f>
        <v/>
      </c>
      <c r="H93" s="35" t="str">
        <f aca="false">IF(OR(배관기본물량!$G93="",배관기본물량!$B93&lt;&gt;"설치"),"",IF(배관기본물량!G93="PIPE",N(배관기본물량!R93),N(배관기본물량!L93)))</f>
        <v/>
      </c>
      <c r="I93" s="54" t="str">
        <f aca="false">IF(OR(배관기본물량!$G93="",배관기본물량!$B93&lt;&gt;"설치"),"",배관기본물량!P93)</f>
        <v/>
      </c>
      <c r="J93" s="34" t="str">
        <f aca="false">IF(OR(배관기본물량!$G93="",배관기본물량!$B93&lt;&gt;"설치"),"",IF(배관기본물량!G93="PIPE",IF(AND(N(배관기본물량!I93)&gt;0,N(배관기본물량!I93)&gt;=배관기준!$AG$15),ROUNDUP(H93/배관기준!$AG$16,0)*배관기준!$AG$16,ROUNDUP(H93*(1+M93),0)),ROUND(H93*(1+M93),0)))</f>
        <v/>
      </c>
      <c r="K93" s="54" t="str">
        <f aca="false">IF(OR(배관기본물량!$G93="",배관기본물량!$B93&lt;&gt;"설치"),"",IF(N(H93)&gt;0,IF(ISNUMBER(G93),J93*G93,0),I93*(1+M93)))</f>
        <v/>
      </c>
      <c r="L93" s="16" t="str">
        <f aca="false">IF(OR(배관기본물량!$G93="",배관기본물량!$B93&lt;&gt;"설치"),"",IF(배관기본물량!V93&lt;&gt;"",배관기본물량!V93,IF(배관기본물량!G93="PIPE",IF(OR(LEFT(배관기본물량!F93,3)="STS",LEFT(배관기본물량!F93,3)="SUS"),"STS 강관",IF(N(배관기본물량!I93)&lt;=50,"강관(50A이하)","강관(50A초과)")),"배관 FITTING류(VALVE 外)")))</f>
        <v/>
      </c>
      <c r="M93" s="58" t="str">
        <f aca="false">IF(OR(배관기본물량!$G93="",배관기본물량!$B93&lt;&gt;"설치"),"",IFERROR(INDEX(제작기준!$B$5:$B$30,MATCH(L93,제작기준!$A$5:$A$30,0)),0))</f>
        <v/>
      </c>
      <c r="N93" s="6" t="str">
        <f aca="false">IF(OR(배관기본물량!$G93="",배관기본물량!$B93&lt;&gt;"설치"),"",배관기본물량!$AB93)</f>
        <v/>
      </c>
    </row>
    <row r="94" customFormat="false" ht="15" hidden="false" customHeight="true" outlineLevel="0" collapsed="false">
      <c r="A94" s="6" t="str">
        <f aca="false">IF(OR(배관기본물량!$G94="",배관기본물량!$B94&lt;&gt;"설치"),"",배관기본물량!A94)</f>
        <v/>
      </c>
      <c r="B94" s="16" t="str">
        <f aca="false">IF(OR(배관기본물량!$G94="",배관기본물량!$B94&lt;&gt;"설치"),"",배관기본물량!H94)</f>
        <v/>
      </c>
      <c r="C94" s="6" t="str">
        <f aca="false">IF(OR(배관기본물량!$G94="",배관기본물량!$B94&lt;&gt;"설치"),"",IF(배관기본물량!I94="","",배관기본물량!I94))</f>
        <v/>
      </c>
      <c r="D94" s="6" t="str">
        <f aca="false">IF(OR(배관기본물량!$G94="",배관기본물량!$B94&lt;&gt;"설치"),"",배관기본물량!F94&amp;"")</f>
        <v/>
      </c>
      <c r="E94" s="6" t="str">
        <f aca="false">IF(OR(배관기본물량!$G94="",배관기본물량!$B94&lt;&gt;"설치"),"",배관기본물량!K94&amp;"")</f>
        <v/>
      </c>
      <c r="F94" s="35" t="str">
        <f aca="false">IF(OR(배관기본물량!$G94="",배관기본물량!$B94&lt;&gt;"설치"),"",IF(배관기본물량!L94="","",배관기본물량!L94))</f>
        <v/>
      </c>
      <c r="G94" s="37" t="str">
        <f aca="false">IF(OR(배관기본물량!$G94="",배관기본물량!$B94&lt;&gt;"설치"),"",IF(배관기본물량!G94="PIPE",배관기본물량!M94,IF(배관기본물량!N94="","",배관기본물량!N94)))</f>
        <v/>
      </c>
      <c r="H94" s="35" t="str">
        <f aca="false">IF(OR(배관기본물량!$G94="",배관기본물량!$B94&lt;&gt;"설치"),"",IF(배관기본물량!G94="PIPE",N(배관기본물량!R94),N(배관기본물량!L94)))</f>
        <v/>
      </c>
      <c r="I94" s="54" t="str">
        <f aca="false">IF(OR(배관기본물량!$G94="",배관기본물량!$B94&lt;&gt;"설치"),"",배관기본물량!P94)</f>
        <v/>
      </c>
      <c r="J94" s="34" t="str">
        <f aca="false">IF(OR(배관기본물량!$G94="",배관기본물량!$B94&lt;&gt;"설치"),"",IF(배관기본물량!G94="PIPE",IF(AND(N(배관기본물량!I94)&gt;0,N(배관기본물량!I94)&gt;=배관기준!$AG$15),ROUNDUP(H94/배관기준!$AG$16,0)*배관기준!$AG$16,ROUNDUP(H94*(1+M94),0)),ROUND(H94*(1+M94),0)))</f>
        <v/>
      </c>
      <c r="K94" s="54" t="str">
        <f aca="false">IF(OR(배관기본물량!$G94="",배관기본물량!$B94&lt;&gt;"설치"),"",IF(N(H94)&gt;0,IF(ISNUMBER(G94),J94*G94,0),I94*(1+M94)))</f>
        <v/>
      </c>
      <c r="L94" s="16" t="str">
        <f aca="false">IF(OR(배관기본물량!$G94="",배관기본물량!$B94&lt;&gt;"설치"),"",IF(배관기본물량!V94&lt;&gt;"",배관기본물량!V94,IF(배관기본물량!G94="PIPE",IF(OR(LEFT(배관기본물량!F94,3)="STS",LEFT(배관기본물량!F94,3)="SUS"),"STS 강관",IF(N(배관기본물량!I94)&lt;=50,"강관(50A이하)","강관(50A초과)")),"배관 FITTING류(VALVE 外)")))</f>
        <v/>
      </c>
      <c r="M94" s="58" t="str">
        <f aca="false">IF(OR(배관기본물량!$G94="",배관기본물량!$B94&lt;&gt;"설치"),"",IFERROR(INDEX(제작기준!$B$5:$B$30,MATCH(L94,제작기준!$A$5:$A$30,0)),0))</f>
        <v/>
      </c>
      <c r="N94" s="6" t="str">
        <f aca="false">IF(OR(배관기본물량!$G94="",배관기본물량!$B94&lt;&gt;"설치"),"",배관기본물량!$AB94)</f>
        <v/>
      </c>
    </row>
    <row r="95" customFormat="false" ht="15" hidden="false" customHeight="true" outlineLevel="0" collapsed="false">
      <c r="A95" s="6" t="str">
        <f aca="false">IF(OR(배관기본물량!$G95="",배관기본물량!$B95&lt;&gt;"설치"),"",배관기본물량!A95)</f>
        <v/>
      </c>
      <c r="B95" s="16" t="str">
        <f aca="false">IF(OR(배관기본물량!$G95="",배관기본물량!$B95&lt;&gt;"설치"),"",배관기본물량!H95)</f>
        <v/>
      </c>
      <c r="C95" s="6" t="str">
        <f aca="false">IF(OR(배관기본물량!$G95="",배관기본물량!$B95&lt;&gt;"설치"),"",IF(배관기본물량!I95="","",배관기본물량!I95))</f>
        <v/>
      </c>
      <c r="D95" s="6" t="str">
        <f aca="false">IF(OR(배관기본물량!$G95="",배관기본물량!$B95&lt;&gt;"설치"),"",배관기본물량!F95&amp;"")</f>
        <v/>
      </c>
      <c r="E95" s="6" t="str">
        <f aca="false">IF(OR(배관기본물량!$G95="",배관기본물량!$B95&lt;&gt;"설치"),"",배관기본물량!K95&amp;"")</f>
        <v/>
      </c>
      <c r="F95" s="35" t="str">
        <f aca="false">IF(OR(배관기본물량!$G95="",배관기본물량!$B95&lt;&gt;"설치"),"",IF(배관기본물량!L95="","",배관기본물량!L95))</f>
        <v/>
      </c>
      <c r="G95" s="37" t="str">
        <f aca="false">IF(OR(배관기본물량!$G95="",배관기본물량!$B95&lt;&gt;"설치"),"",IF(배관기본물량!G95="PIPE",배관기본물량!M95,IF(배관기본물량!N95="","",배관기본물량!N95)))</f>
        <v/>
      </c>
      <c r="H95" s="35" t="str">
        <f aca="false">IF(OR(배관기본물량!$G95="",배관기본물량!$B95&lt;&gt;"설치"),"",IF(배관기본물량!G95="PIPE",N(배관기본물량!R95),N(배관기본물량!L95)))</f>
        <v/>
      </c>
      <c r="I95" s="54" t="str">
        <f aca="false">IF(OR(배관기본물량!$G95="",배관기본물량!$B95&lt;&gt;"설치"),"",배관기본물량!P95)</f>
        <v/>
      </c>
      <c r="J95" s="34" t="str">
        <f aca="false">IF(OR(배관기본물량!$G95="",배관기본물량!$B95&lt;&gt;"설치"),"",IF(배관기본물량!G95="PIPE",IF(AND(N(배관기본물량!I95)&gt;0,N(배관기본물량!I95)&gt;=배관기준!$AG$15),ROUNDUP(H95/배관기준!$AG$16,0)*배관기준!$AG$16,ROUNDUP(H95*(1+M95),0)),ROUND(H95*(1+M95),0)))</f>
        <v/>
      </c>
      <c r="K95" s="54" t="str">
        <f aca="false">IF(OR(배관기본물량!$G95="",배관기본물량!$B95&lt;&gt;"설치"),"",IF(N(H95)&gt;0,IF(ISNUMBER(G95),J95*G95,0),I95*(1+M95)))</f>
        <v/>
      </c>
      <c r="L95" s="16" t="str">
        <f aca="false">IF(OR(배관기본물량!$G95="",배관기본물량!$B95&lt;&gt;"설치"),"",IF(배관기본물량!V95&lt;&gt;"",배관기본물량!V95,IF(배관기본물량!G95="PIPE",IF(OR(LEFT(배관기본물량!F95,3)="STS",LEFT(배관기본물량!F95,3)="SUS"),"STS 강관",IF(N(배관기본물량!I95)&lt;=50,"강관(50A이하)","강관(50A초과)")),"배관 FITTING류(VALVE 外)")))</f>
        <v/>
      </c>
      <c r="M95" s="58" t="str">
        <f aca="false">IF(OR(배관기본물량!$G95="",배관기본물량!$B95&lt;&gt;"설치"),"",IFERROR(INDEX(제작기준!$B$5:$B$30,MATCH(L95,제작기준!$A$5:$A$30,0)),0))</f>
        <v/>
      </c>
      <c r="N95" s="6" t="str">
        <f aca="false">IF(OR(배관기본물량!$G95="",배관기본물량!$B95&lt;&gt;"설치"),"",배관기본물량!$AB95)</f>
        <v/>
      </c>
    </row>
    <row r="96" customFormat="false" ht="15" hidden="false" customHeight="true" outlineLevel="0" collapsed="false">
      <c r="A96" s="6" t="str">
        <f aca="false">IF(OR(배관기본물량!$G96="",배관기본물량!$B96&lt;&gt;"설치"),"",배관기본물량!A96)</f>
        <v/>
      </c>
      <c r="B96" s="16" t="str">
        <f aca="false">IF(OR(배관기본물량!$G96="",배관기본물량!$B96&lt;&gt;"설치"),"",배관기본물량!H96)</f>
        <v/>
      </c>
      <c r="C96" s="6" t="str">
        <f aca="false">IF(OR(배관기본물량!$G96="",배관기본물량!$B96&lt;&gt;"설치"),"",IF(배관기본물량!I96="","",배관기본물량!I96))</f>
        <v/>
      </c>
      <c r="D96" s="6" t="str">
        <f aca="false">IF(OR(배관기본물량!$G96="",배관기본물량!$B96&lt;&gt;"설치"),"",배관기본물량!F96&amp;"")</f>
        <v/>
      </c>
      <c r="E96" s="6" t="str">
        <f aca="false">IF(OR(배관기본물량!$G96="",배관기본물량!$B96&lt;&gt;"설치"),"",배관기본물량!K96&amp;"")</f>
        <v/>
      </c>
      <c r="F96" s="35" t="str">
        <f aca="false">IF(OR(배관기본물량!$G96="",배관기본물량!$B96&lt;&gt;"설치"),"",IF(배관기본물량!L96="","",배관기본물량!L96))</f>
        <v/>
      </c>
      <c r="G96" s="37" t="str">
        <f aca="false">IF(OR(배관기본물량!$G96="",배관기본물량!$B96&lt;&gt;"설치"),"",IF(배관기본물량!G96="PIPE",배관기본물량!M96,IF(배관기본물량!N96="","",배관기본물량!N96)))</f>
        <v/>
      </c>
      <c r="H96" s="35" t="str">
        <f aca="false">IF(OR(배관기본물량!$G96="",배관기본물량!$B96&lt;&gt;"설치"),"",IF(배관기본물량!G96="PIPE",N(배관기본물량!R96),N(배관기본물량!L96)))</f>
        <v/>
      </c>
      <c r="I96" s="54" t="str">
        <f aca="false">IF(OR(배관기본물량!$G96="",배관기본물량!$B96&lt;&gt;"설치"),"",배관기본물량!P96)</f>
        <v/>
      </c>
      <c r="J96" s="34" t="str">
        <f aca="false">IF(OR(배관기본물량!$G96="",배관기본물량!$B96&lt;&gt;"설치"),"",IF(배관기본물량!G96="PIPE",IF(AND(N(배관기본물량!I96)&gt;0,N(배관기본물량!I96)&gt;=배관기준!$AG$15),ROUNDUP(H96/배관기준!$AG$16,0)*배관기준!$AG$16,ROUNDUP(H96*(1+M96),0)),ROUND(H96*(1+M96),0)))</f>
        <v/>
      </c>
      <c r="K96" s="54" t="str">
        <f aca="false">IF(OR(배관기본물량!$G96="",배관기본물량!$B96&lt;&gt;"설치"),"",IF(N(H96)&gt;0,IF(ISNUMBER(G96),J96*G96,0),I96*(1+M96)))</f>
        <v/>
      </c>
      <c r="L96" s="16" t="str">
        <f aca="false">IF(OR(배관기본물량!$G96="",배관기본물량!$B96&lt;&gt;"설치"),"",IF(배관기본물량!V96&lt;&gt;"",배관기본물량!V96,IF(배관기본물량!G96="PIPE",IF(OR(LEFT(배관기본물량!F96,3)="STS",LEFT(배관기본물량!F96,3)="SUS"),"STS 강관",IF(N(배관기본물량!I96)&lt;=50,"강관(50A이하)","강관(50A초과)")),"배관 FITTING류(VALVE 外)")))</f>
        <v/>
      </c>
      <c r="M96" s="58" t="str">
        <f aca="false">IF(OR(배관기본물량!$G96="",배관기본물량!$B96&lt;&gt;"설치"),"",IFERROR(INDEX(제작기준!$B$5:$B$30,MATCH(L96,제작기준!$A$5:$A$30,0)),0))</f>
        <v/>
      </c>
      <c r="N96" s="6" t="str">
        <f aca="false">IF(OR(배관기본물량!$G96="",배관기본물량!$B96&lt;&gt;"설치"),"",배관기본물량!$AB96)</f>
        <v/>
      </c>
    </row>
    <row r="97" customFormat="false" ht="15" hidden="false" customHeight="true" outlineLevel="0" collapsed="false">
      <c r="A97" s="6" t="str">
        <f aca="false">IF(OR(배관기본물량!$G97="",배관기본물량!$B97&lt;&gt;"설치"),"",배관기본물량!A97)</f>
        <v/>
      </c>
      <c r="B97" s="16" t="str">
        <f aca="false">IF(OR(배관기본물량!$G97="",배관기본물량!$B97&lt;&gt;"설치"),"",배관기본물량!H97)</f>
        <v/>
      </c>
      <c r="C97" s="6" t="str">
        <f aca="false">IF(OR(배관기본물량!$G97="",배관기본물량!$B97&lt;&gt;"설치"),"",IF(배관기본물량!I97="","",배관기본물량!I97))</f>
        <v/>
      </c>
      <c r="D97" s="6" t="str">
        <f aca="false">IF(OR(배관기본물량!$G97="",배관기본물량!$B97&lt;&gt;"설치"),"",배관기본물량!F97&amp;"")</f>
        <v/>
      </c>
      <c r="E97" s="6" t="str">
        <f aca="false">IF(OR(배관기본물량!$G97="",배관기본물량!$B97&lt;&gt;"설치"),"",배관기본물량!K97&amp;"")</f>
        <v/>
      </c>
      <c r="F97" s="35" t="str">
        <f aca="false">IF(OR(배관기본물량!$G97="",배관기본물량!$B97&lt;&gt;"설치"),"",IF(배관기본물량!L97="","",배관기본물량!L97))</f>
        <v/>
      </c>
      <c r="G97" s="37" t="str">
        <f aca="false">IF(OR(배관기본물량!$G97="",배관기본물량!$B97&lt;&gt;"설치"),"",IF(배관기본물량!G97="PIPE",배관기본물량!M97,IF(배관기본물량!N97="","",배관기본물량!N97)))</f>
        <v/>
      </c>
      <c r="H97" s="35" t="str">
        <f aca="false">IF(OR(배관기본물량!$G97="",배관기본물량!$B97&lt;&gt;"설치"),"",IF(배관기본물량!G97="PIPE",N(배관기본물량!R97),N(배관기본물량!L97)))</f>
        <v/>
      </c>
      <c r="I97" s="54" t="str">
        <f aca="false">IF(OR(배관기본물량!$G97="",배관기본물량!$B97&lt;&gt;"설치"),"",배관기본물량!P97)</f>
        <v/>
      </c>
      <c r="J97" s="34" t="str">
        <f aca="false">IF(OR(배관기본물량!$G97="",배관기본물량!$B97&lt;&gt;"설치"),"",IF(배관기본물량!G97="PIPE",IF(AND(N(배관기본물량!I97)&gt;0,N(배관기본물량!I97)&gt;=배관기준!$AG$15),ROUNDUP(H97/배관기준!$AG$16,0)*배관기준!$AG$16,ROUNDUP(H97*(1+M97),0)),ROUND(H97*(1+M97),0)))</f>
        <v/>
      </c>
      <c r="K97" s="54" t="str">
        <f aca="false">IF(OR(배관기본물량!$G97="",배관기본물량!$B97&lt;&gt;"설치"),"",IF(N(H97)&gt;0,IF(ISNUMBER(G97),J97*G97,0),I97*(1+M97)))</f>
        <v/>
      </c>
      <c r="L97" s="16" t="str">
        <f aca="false">IF(OR(배관기본물량!$G97="",배관기본물량!$B97&lt;&gt;"설치"),"",IF(배관기본물량!V97&lt;&gt;"",배관기본물량!V97,IF(배관기본물량!G97="PIPE",IF(OR(LEFT(배관기본물량!F97,3)="STS",LEFT(배관기본물량!F97,3)="SUS"),"STS 강관",IF(N(배관기본물량!I97)&lt;=50,"강관(50A이하)","강관(50A초과)")),"배관 FITTING류(VALVE 外)")))</f>
        <v/>
      </c>
      <c r="M97" s="58" t="str">
        <f aca="false">IF(OR(배관기본물량!$G97="",배관기본물량!$B97&lt;&gt;"설치"),"",IFERROR(INDEX(제작기준!$B$5:$B$30,MATCH(L97,제작기준!$A$5:$A$30,0)),0))</f>
        <v/>
      </c>
      <c r="N97" s="6" t="str">
        <f aca="false">IF(OR(배관기본물량!$G97="",배관기본물량!$B97&lt;&gt;"설치"),"",배관기본물량!$AB97)</f>
        <v/>
      </c>
    </row>
    <row r="98" customFormat="false" ht="15" hidden="false" customHeight="true" outlineLevel="0" collapsed="false">
      <c r="A98" s="6" t="str">
        <f aca="false">IF(OR(배관기본물량!$G98="",배관기본물량!$B98&lt;&gt;"설치"),"",배관기본물량!A98)</f>
        <v/>
      </c>
      <c r="B98" s="16" t="str">
        <f aca="false">IF(OR(배관기본물량!$G98="",배관기본물량!$B98&lt;&gt;"설치"),"",배관기본물량!H98)</f>
        <v/>
      </c>
      <c r="C98" s="6" t="str">
        <f aca="false">IF(OR(배관기본물량!$G98="",배관기본물량!$B98&lt;&gt;"설치"),"",IF(배관기본물량!I98="","",배관기본물량!I98))</f>
        <v/>
      </c>
      <c r="D98" s="6" t="str">
        <f aca="false">IF(OR(배관기본물량!$G98="",배관기본물량!$B98&lt;&gt;"설치"),"",배관기본물량!F98&amp;"")</f>
        <v/>
      </c>
      <c r="E98" s="6" t="str">
        <f aca="false">IF(OR(배관기본물량!$G98="",배관기본물량!$B98&lt;&gt;"설치"),"",배관기본물량!K98&amp;"")</f>
        <v/>
      </c>
      <c r="F98" s="35" t="str">
        <f aca="false">IF(OR(배관기본물량!$G98="",배관기본물량!$B98&lt;&gt;"설치"),"",IF(배관기본물량!L98="","",배관기본물량!L98))</f>
        <v/>
      </c>
      <c r="G98" s="37" t="str">
        <f aca="false">IF(OR(배관기본물량!$G98="",배관기본물량!$B98&lt;&gt;"설치"),"",IF(배관기본물량!G98="PIPE",배관기본물량!M98,IF(배관기본물량!N98="","",배관기본물량!N98)))</f>
        <v/>
      </c>
      <c r="H98" s="35" t="str">
        <f aca="false">IF(OR(배관기본물량!$G98="",배관기본물량!$B98&lt;&gt;"설치"),"",IF(배관기본물량!G98="PIPE",N(배관기본물량!R98),N(배관기본물량!L98)))</f>
        <v/>
      </c>
      <c r="I98" s="54" t="str">
        <f aca="false">IF(OR(배관기본물량!$G98="",배관기본물량!$B98&lt;&gt;"설치"),"",배관기본물량!P98)</f>
        <v/>
      </c>
      <c r="J98" s="34" t="str">
        <f aca="false">IF(OR(배관기본물량!$G98="",배관기본물량!$B98&lt;&gt;"설치"),"",IF(배관기본물량!G98="PIPE",IF(AND(N(배관기본물량!I98)&gt;0,N(배관기본물량!I98)&gt;=배관기준!$AG$15),ROUNDUP(H98/배관기준!$AG$16,0)*배관기준!$AG$16,ROUNDUP(H98*(1+M98),0)),ROUND(H98*(1+M98),0)))</f>
        <v/>
      </c>
      <c r="K98" s="54" t="str">
        <f aca="false">IF(OR(배관기본물량!$G98="",배관기본물량!$B98&lt;&gt;"설치"),"",IF(N(H98)&gt;0,IF(ISNUMBER(G98),J98*G98,0),I98*(1+M98)))</f>
        <v/>
      </c>
      <c r="L98" s="16" t="str">
        <f aca="false">IF(OR(배관기본물량!$G98="",배관기본물량!$B98&lt;&gt;"설치"),"",IF(배관기본물량!V98&lt;&gt;"",배관기본물량!V98,IF(배관기본물량!G98="PIPE",IF(OR(LEFT(배관기본물량!F98,3)="STS",LEFT(배관기본물량!F98,3)="SUS"),"STS 강관",IF(N(배관기본물량!I98)&lt;=50,"강관(50A이하)","강관(50A초과)")),"배관 FITTING류(VALVE 外)")))</f>
        <v/>
      </c>
      <c r="M98" s="58" t="str">
        <f aca="false">IF(OR(배관기본물량!$G98="",배관기본물량!$B98&lt;&gt;"설치"),"",IFERROR(INDEX(제작기준!$B$5:$B$30,MATCH(L98,제작기준!$A$5:$A$30,0)),0))</f>
        <v/>
      </c>
      <c r="N98" s="6" t="str">
        <f aca="false">IF(OR(배관기본물량!$G98="",배관기본물량!$B98&lt;&gt;"설치"),"",배관기본물량!$AB98)</f>
        <v/>
      </c>
    </row>
    <row r="99" customFormat="false" ht="15" hidden="false" customHeight="true" outlineLevel="0" collapsed="false">
      <c r="A99" s="6" t="str">
        <f aca="false">IF(OR(배관기본물량!$G99="",배관기본물량!$B99&lt;&gt;"설치"),"",배관기본물량!A99)</f>
        <v/>
      </c>
      <c r="B99" s="16" t="str">
        <f aca="false">IF(OR(배관기본물량!$G99="",배관기본물량!$B99&lt;&gt;"설치"),"",배관기본물량!H99)</f>
        <v/>
      </c>
      <c r="C99" s="6" t="str">
        <f aca="false">IF(OR(배관기본물량!$G99="",배관기본물량!$B99&lt;&gt;"설치"),"",IF(배관기본물량!I99="","",배관기본물량!I99))</f>
        <v/>
      </c>
      <c r="D99" s="6" t="str">
        <f aca="false">IF(OR(배관기본물량!$G99="",배관기본물량!$B99&lt;&gt;"설치"),"",배관기본물량!F99&amp;"")</f>
        <v/>
      </c>
      <c r="E99" s="6" t="str">
        <f aca="false">IF(OR(배관기본물량!$G99="",배관기본물량!$B99&lt;&gt;"설치"),"",배관기본물량!K99&amp;"")</f>
        <v/>
      </c>
      <c r="F99" s="35" t="str">
        <f aca="false">IF(OR(배관기본물량!$G99="",배관기본물량!$B99&lt;&gt;"설치"),"",IF(배관기본물량!L99="","",배관기본물량!L99))</f>
        <v/>
      </c>
      <c r="G99" s="37" t="str">
        <f aca="false">IF(OR(배관기본물량!$G99="",배관기본물량!$B99&lt;&gt;"설치"),"",IF(배관기본물량!G99="PIPE",배관기본물량!M99,IF(배관기본물량!N99="","",배관기본물량!N99)))</f>
        <v/>
      </c>
      <c r="H99" s="35" t="str">
        <f aca="false">IF(OR(배관기본물량!$G99="",배관기본물량!$B99&lt;&gt;"설치"),"",IF(배관기본물량!G99="PIPE",N(배관기본물량!R99),N(배관기본물량!L99)))</f>
        <v/>
      </c>
      <c r="I99" s="54" t="str">
        <f aca="false">IF(OR(배관기본물량!$G99="",배관기본물량!$B99&lt;&gt;"설치"),"",배관기본물량!P99)</f>
        <v/>
      </c>
      <c r="J99" s="34" t="str">
        <f aca="false">IF(OR(배관기본물량!$G99="",배관기본물량!$B99&lt;&gt;"설치"),"",IF(배관기본물량!G99="PIPE",IF(AND(N(배관기본물량!I99)&gt;0,N(배관기본물량!I99)&gt;=배관기준!$AG$15),ROUNDUP(H99/배관기준!$AG$16,0)*배관기준!$AG$16,ROUNDUP(H99*(1+M99),0)),ROUND(H99*(1+M99),0)))</f>
        <v/>
      </c>
      <c r="K99" s="54" t="str">
        <f aca="false">IF(OR(배관기본물량!$G99="",배관기본물량!$B99&lt;&gt;"설치"),"",IF(N(H99)&gt;0,IF(ISNUMBER(G99),J99*G99,0),I99*(1+M99)))</f>
        <v/>
      </c>
      <c r="L99" s="16" t="str">
        <f aca="false">IF(OR(배관기본물량!$G99="",배관기본물량!$B99&lt;&gt;"설치"),"",IF(배관기본물량!V99&lt;&gt;"",배관기본물량!V99,IF(배관기본물량!G99="PIPE",IF(OR(LEFT(배관기본물량!F99,3)="STS",LEFT(배관기본물량!F99,3)="SUS"),"STS 강관",IF(N(배관기본물량!I99)&lt;=50,"강관(50A이하)","강관(50A초과)")),"배관 FITTING류(VALVE 外)")))</f>
        <v/>
      </c>
      <c r="M99" s="58" t="str">
        <f aca="false">IF(OR(배관기본물량!$G99="",배관기본물량!$B99&lt;&gt;"설치"),"",IFERROR(INDEX(제작기준!$B$5:$B$30,MATCH(L99,제작기준!$A$5:$A$30,0)),0))</f>
        <v/>
      </c>
      <c r="N99" s="6" t="str">
        <f aca="false">IF(OR(배관기본물량!$G99="",배관기본물량!$B99&lt;&gt;"설치"),"",배관기본물량!$AB99)</f>
        <v/>
      </c>
    </row>
    <row r="100" customFormat="false" ht="15" hidden="false" customHeight="true" outlineLevel="0" collapsed="false">
      <c r="A100" s="6" t="str">
        <f aca="false">IF(OR(배관기본물량!$G100="",배관기본물량!$B100&lt;&gt;"설치"),"",배관기본물량!A100)</f>
        <v/>
      </c>
      <c r="B100" s="16" t="str">
        <f aca="false">IF(OR(배관기본물량!$G100="",배관기본물량!$B100&lt;&gt;"설치"),"",배관기본물량!H100)</f>
        <v/>
      </c>
      <c r="C100" s="6" t="str">
        <f aca="false">IF(OR(배관기본물량!$G100="",배관기본물량!$B100&lt;&gt;"설치"),"",IF(배관기본물량!I100="","",배관기본물량!I100))</f>
        <v/>
      </c>
      <c r="D100" s="6" t="str">
        <f aca="false">IF(OR(배관기본물량!$G100="",배관기본물량!$B100&lt;&gt;"설치"),"",배관기본물량!F100&amp;"")</f>
        <v/>
      </c>
      <c r="E100" s="6" t="str">
        <f aca="false">IF(OR(배관기본물량!$G100="",배관기본물량!$B100&lt;&gt;"설치"),"",배관기본물량!K100&amp;"")</f>
        <v/>
      </c>
      <c r="F100" s="35" t="str">
        <f aca="false">IF(OR(배관기본물량!$G100="",배관기본물량!$B100&lt;&gt;"설치"),"",IF(배관기본물량!L100="","",배관기본물량!L100))</f>
        <v/>
      </c>
      <c r="G100" s="37" t="str">
        <f aca="false">IF(OR(배관기본물량!$G100="",배관기본물량!$B100&lt;&gt;"설치"),"",IF(배관기본물량!G100="PIPE",배관기본물량!M100,IF(배관기본물량!N100="","",배관기본물량!N100)))</f>
        <v/>
      </c>
      <c r="H100" s="35" t="str">
        <f aca="false">IF(OR(배관기본물량!$G100="",배관기본물량!$B100&lt;&gt;"설치"),"",IF(배관기본물량!G100="PIPE",N(배관기본물량!R100),N(배관기본물량!L100)))</f>
        <v/>
      </c>
      <c r="I100" s="54" t="str">
        <f aca="false">IF(OR(배관기본물량!$G100="",배관기본물량!$B100&lt;&gt;"설치"),"",배관기본물량!P100)</f>
        <v/>
      </c>
      <c r="J100" s="34" t="str">
        <f aca="false">IF(OR(배관기본물량!$G100="",배관기본물량!$B100&lt;&gt;"설치"),"",IF(배관기본물량!G100="PIPE",IF(AND(N(배관기본물량!I100)&gt;0,N(배관기본물량!I100)&gt;=배관기준!$AG$15),ROUNDUP(H100/배관기준!$AG$16,0)*배관기준!$AG$16,ROUNDUP(H100*(1+M100),0)),ROUND(H100*(1+M100),0)))</f>
        <v/>
      </c>
      <c r="K100" s="54" t="str">
        <f aca="false">IF(OR(배관기본물량!$G100="",배관기본물량!$B100&lt;&gt;"설치"),"",IF(N(H100)&gt;0,IF(ISNUMBER(G100),J100*G100,0),I100*(1+M100)))</f>
        <v/>
      </c>
      <c r="L100" s="16" t="str">
        <f aca="false">IF(OR(배관기본물량!$G100="",배관기본물량!$B100&lt;&gt;"설치"),"",IF(배관기본물량!V100&lt;&gt;"",배관기본물량!V100,IF(배관기본물량!G100="PIPE",IF(OR(LEFT(배관기본물량!F100,3)="STS",LEFT(배관기본물량!F100,3)="SUS"),"STS 강관",IF(N(배관기본물량!I100)&lt;=50,"강관(50A이하)","강관(50A초과)")),"배관 FITTING류(VALVE 外)")))</f>
        <v/>
      </c>
      <c r="M100" s="58" t="str">
        <f aca="false">IF(OR(배관기본물량!$G100="",배관기본물량!$B100&lt;&gt;"설치"),"",IFERROR(INDEX(제작기준!$B$5:$B$30,MATCH(L100,제작기준!$A$5:$A$30,0)),0))</f>
        <v/>
      </c>
      <c r="N100" s="6" t="str">
        <f aca="false">IF(OR(배관기본물량!$G100="",배관기본물량!$B100&lt;&gt;"설치"),"",배관기본물량!$AB100)</f>
        <v/>
      </c>
    </row>
    <row r="101" customFormat="false" ht="15" hidden="false" customHeight="true" outlineLevel="0" collapsed="false">
      <c r="A101" s="6" t="str">
        <f aca="false">IF(OR(배관기본물량!$G101="",배관기본물량!$B101&lt;&gt;"설치"),"",배관기본물량!A101)</f>
        <v/>
      </c>
      <c r="B101" s="16" t="str">
        <f aca="false">IF(OR(배관기본물량!$G101="",배관기본물량!$B101&lt;&gt;"설치"),"",배관기본물량!H101)</f>
        <v/>
      </c>
      <c r="C101" s="6" t="str">
        <f aca="false">IF(OR(배관기본물량!$G101="",배관기본물량!$B101&lt;&gt;"설치"),"",IF(배관기본물량!I101="","",배관기본물량!I101))</f>
        <v/>
      </c>
      <c r="D101" s="6" t="str">
        <f aca="false">IF(OR(배관기본물량!$G101="",배관기본물량!$B101&lt;&gt;"설치"),"",배관기본물량!F101&amp;"")</f>
        <v/>
      </c>
      <c r="E101" s="6" t="str">
        <f aca="false">IF(OR(배관기본물량!$G101="",배관기본물량!$B101&lt;&gt;"설치"),"",배관기본물량!K101&amp;"")</f>
        <v/>
      </c>
      <c r="F101" s="35" t="str">
        <f aca="false">IF(OR(배관기본물량!$G101="",배관기본물량!$B101&lt;&gt;"설치"),"",IF(배관기본물량!L101="","",배관기본물량!L101))</f>
        <v/>
      </c>
      <c r="G101" s="37" t="str">
        <f aca="false">IF(OR(배관기본물량!$G101="",배관기본물량!$B101&lt;&gt;"설치"),"",IF(배관기본물량!G101="PIPE",배관기본물량!M101,IF(배관기본물량!N101="","",배관기본물량!N101)))</f>
        <v/>
      </c>
      <c r="H101" s="35" t="str">
        <f aca="false">IF(OR(배관기본물량!$G101="",배관기본물량!$B101&lt;&gt;"설치"),"",IF(배관기본물량!G101="PIPE",N(배관기본물량!R101),N(배관기본물량!L101)))</f>
        <v/>
      </c>
      <c r="I101" s="54" t="str">
        <f aca="false">IF(OR(배관기본물량!$G101="",배관기본물량!$B101&lt;&gt;"설치"),"",배관기본물량!P101)</f>
        <v/>
      </c>
      <c r="J101" s="34" t="str">
        <f aca="false">IF(OR(배관기본물량!$G101="",배관기본물량!$B101&lt;&gt;"설치"),"",IF(배관기본물량!G101="PIPE",IF(AND(N(배관기본물량!I101)&gt;0,N(배관기본물량!I101)&gt;=배관기준!$AG$15),ROUNDUP(H101/배관기준!$AG$16,0)*배관기준!$AG$16,ROUNDUP(H101*(1+M101),0)),ROUND(H101*(1+M101),0)))</f>
        <v/>
      </c>
      <c r="K101" s="54" t="str">
        <f aca="false">IF(OR(배관기본물량!$G101="",배관기본물량!$B101&lt;&gt;"설치"),"",IF(N(H101)&gt;0,IF(ISNUMBER(G101),J101*G101,0),I101*(1+M101)))</f>
        <v/>
      </c>
      <c r="L101" s="16" t="str">
        <f aca="false">IF(OR(배관기본물량!$G101="",배관기본물량!$B101&lt;&gt;"설치"),"",IF(배관기본물량!V101&lt;&gt;"",배관기본물량!V101,IF(배관기본물량!G101="PIPE",IF(OR(LEFT(배관기본물량!F101,3)="STS",LEFT(배관기본물량!F101,3)="SUS"),"STS 강관",IF(N(배관기본물량!I101)&lt;=50,"강관(50A이하)","강관(50A초과)")),"배관 FITTING류(VALVE 外)")))</f>
        <v/>
      </c>
      <c r="M101" s="58" t="str">
        <f aca="false">IF(OR(배관기본물량!$G101="",배관기본물량!$B101&lt;&gt;"설치"),"",IFERROR(INDEX(제작기준!$B$5:$B$30,MATCH(L101,제작기준!$A$5:$A$30,0)),0))</f>
        <v/>
      </c>
      <c r="N101" s="6" t="str">
        <f aca="false">IF(OR(배관기본물량!$G101="",배관기본물량!$B101&lt;&gt;"설치"),"",배관기본물량!$AB101)</f>
        <v/>
      </c>
    </row>
    <row r="102" customFormat="false" ht="15" hidden="false" customHeight="true" outlineLevel="0" collapsed="false">
      <c r="A102" s="6" t="str">
        <f aca="false">IF(OR(배관기본물량!$G102="",배관기본물량!$B102&lt;&gt;"설치"),"",배관기본물량!A102)</f>
        <v/>
      </c>
      <c r="B102" s="16" t="str">
        <f aca="false">IF(OR(배관기본물량!$G102="",배관기본물량!$B102&lt;&gt;"설치"),"",배관기본물량!H102)</f>
        <v/>
      </c>
      <c r="C102" s="6" t="str">
        <f aca="false">IF(OR(배관기본물량!$G102="",배관기본물량!$B102&lt;&gt;"설치"),"",IF(배관기본물량!I102="","",배관기본물량!I102))</f>
        <v/>
      </c>
      <c r="D102" s="6" t="str">
        <f aca="false">IF(OR(배관기본물량!$G102="",배관기본물량!$B102&lt;&gt;"설치"),"",배관기본물량!F102&amp;"")</f>
        <v/>
      </c>
      <c r="E102" s="6" t="str">
        <f aca="false">IF(OR(배관기본물량!$G102="",배관기본물량!$B102&lt;&gt;"설치"),"",배관기본물량!K102&amp;"")</f>
        <v/>
      </c>
      <c r="F102" s="35" t="str">
        <f aca="false">IF(OR(배관기본물량!$G102="",배관기본물량!$B102&lt;&gt;"설치"),"",IF(배관기본물량!L102="","",배관기본물량!L102))</f>
        <v/>
      </c>
      <c r="G102" s="37" t="str">
        <f aca="false">IF(OR(배관기본물량!$G102="",배관기본물량!$B102&lt;&gt;"설치"),"",IF(배관기본물량!G102="PIPE",배관기본물량!M102,IF(배관기본물량!N102="","",배관기본물량!N102)))</f>
        <v/>
      </c>
      <c r="H102" s="35" t="str">
        <f aca="false">IF(OR(배관기본물량!$G102="",배관기본물량!$B102&lt;&gt;"설치"),"",IF(배관기본물량!G102="PIPE",N(배관기본물량!R102),N(배관기본물량!L102)))</f>
        <v/>
      </c>
      <c r="I102" s="54" t="str">
        <f aca="false">IF(OR(배관기본물량!$G102="",배관기본물량!$B102&lt;&gt;"설치"),"",배관기본물량!P102)</f>
        <v/>
      </c>
      <c r="J102" s="34" t="str">
        <f aca="false">IF(OR(배관기본물량!$G102="",배관기본물량!$B102&lt;&gt;"설치"),"",IF(배관기본물량!G102="PIPE",IF(AND(N(배관기본물량!I102)&gt;0,N(배관기본물량!I102)&gt;=배관기준!$AG$15),ROUNDUP(H102/배관기준!$AG$16,0)*배관기준!$AG$16,ROUNDUP(H102*(1+M102),0)),ROUND(H102*(1+M102),0)))</f>
        <v/>
      </c>
      <c r="K102" s="54" t="str">
        <f aca="false">IF(OR(배관기본물량!$G102="",배관기본물량!$B102&lt;&gt;"설치"),"",IF(N(H102)&gt;0,IF(ISNUMBER(G102),J102*G102,0),I102*(1+M102)))</f>
        <v/>
      </c>
      <c r="L102" s="16" t="str">
        <f aca="false">IF(OR(배관기본물량!$G102="",배관기본물량!$B102&lt;&gt;"설치"),"",IF(배관기본물량!V102&lt;&gt;"",배관기본물량!V102,IF(배관기본물량!G102="PIPE",IF(OR(LEFT(배관기본물량!F102,3)="STS",LEFT(배관기본물량!F102,3)="SUS"),"STS 강관",IF(N(배관기본물량!I102)&lt;=50,"강관(50A이하)","강관(50A초과)")),"배관 FITTING류(VALVE 外)")))</f>
        <v/>
      </c>
      <c r="M102" s="58" t="str">
        <f aca="false">IF(OR(배관기본물량!$G102="",배관기본물량!$B102&lt;&gt;"설치"),"",IFERROR(INDEX(제작기준!$B$5:$B$30,MATCH(L102,제작기준!$A$5:$A$30,0)),0))</f>
        <v/>
      </c>
      <c r="N102" s="6" t="str">
        <f aca="false">IF(OR(배관기본물량!$G102="",배관기본물량!$B102&lt;&gt;"설치"),"",배관기본물량!$AB102)</f>
        <v/>
      </c>
    </row>
    <row r="103" customFormat="false" ht="15" hidden="false" customHeight="true" outlineLevel="0" collapsed="false">
      <c r="A103" s="6" t="str">
        <f aca="false">IF(OR(배관기본물량!$G103="",배관기본물량!$B103&lt;&gt;"설치"),"",배관기본물량!A103)</f>
        <v/>
      </c>
      <c r="B103" s="16" t="str">
        <f aca="false">IF(OR(배관기본물량!$G103="",배관기본물량!$B103&lt;&gt;"설치"),"",배관기본물량!H103)</f>
        <v/>
      </c>
      <c r="C103" s="6" t="str">
        <f aca="false">IF(OR(배관기본물량!$G103="",배관기본물량!$B103&lt;&gt;"설치"),"",IF(배관기본물량!I103="","",배관기본물량!I103))</f>
        <v/>
      </c>
      <c r="D103" s="6" t="str">
        <f aca="false">IF(OR(배관기본물량!$G103="",배관기본물량!$B103&lt;&gt;"설치"),"",배관기본물량!F103&amp;"")</f>
        <v/>
      </c>
      <c r="E103" s="6" t="str">
        <f aca="false">IF(OR(배관기본물량!$G103="",배관기본물량!$B103&lt;&gt;"설치"),"",배관기본물량!K103&amp;"")</f>
        <v/>
      </c>
      <c r="F103" s="35" t="str">
        <f aca="false">IF(OR(배관기본물량!$G103="",배관기본물량!$B103&lt;&gt;"설치"),"",IF(배관기본물량!L103="","",배관기본물량!L103))</f>
        <v/>
      </c>
      <c r="G103" s="37" t="str">
        <f aca="false">IF(OR(배관기본물량!$G103="",배관기본물량!$B103&lt;&gt;"설치"),"",IF(배관기본물량!G103="PIPE",배관기본물량!M103,IF(배관기본물량!N103="","",배관기본물량!N103)))</f>
        <v/>
      </c>
      <c r="H103" s="35" t="str">
        <f aca="false">IF(OR(배관기본물량!$G103="",배관기본물량!$B103&lt;&gt;"설치"),"",IF(배관기본물량!G103="PIPE",N(배관기본물량!R103),N(배관기본물량!L103)))</f>
        <v/>
      </c>
      <c r="I103" s="54" t="str">
        <f aca="false">IF(OR(배관기본물량!$G103="",배관기본물량!$B103&lt;&gt;"설치"),"",배관기본물량!P103)</f>
        <v/>
      </c>
      <c r="J103" s="34" t="str">
        <f aca="false">IF(OR(배관기본물량!$G103="",배관기본물량!$B103&lt;&gt;"설치"),"",IF(배관기본물량!G103="PIPE",IF(AND(N(배관기본물량!I103)&gt;0,N(배관기본물량!I103)&gt;=배관기준!$AG$15),ROUNDUP(H103/배관기준!$AG$16,0)*배관기준!$AG$16,ROUNDUP(H103*(1+M103),0)),ROUND(H103*(1+M103),0)))</f>
        <v/>
      </c>
      <c r="K103" s="54" t="str">
        <f aca="false">IF(OR(배관기본물량!$G103="",배관기본물량!$B103&lt;&gt;"설치"),"",IF(N(H103)&gt;0,IF(ISNUMBER(G103),J103*G103,0),I103*(1+M103)))</f>
        <v/>
      </c>
      <c r="L103" s="16" t="str">
        <f aca="false">IF(OR(배관기본물량!$G103="",배관기본물량!$B103&lt;&gt;"설치"),"",IF(배관기본물량!V103&lt;&gt;"",배관기본물량!V103,IF(배관기본물량!G103="PIPE",IF(OR(LEFT(배관기본물량!F103,3)="STS",LEFT(배관기본물량!F103,3)="SUS"),"STS 강관",IF(N(배관기본물량!I103)&lt;=50,"강관(50A이하)","강관(50A초과)")),"배관 FITTING류(VALVE 外)")))</f>
        <v/>
      </c>
      <c r="M103" s="58" t="str">
        <f aca="false">IF(OR(배관기본물량!$G103="",배관기본물량!$B103&lt;&gt;"설치"),"",IFERROR(INDEX(제작기준!$B$5:$B$30,MATCH(L103,제작기준!$A$5:$A$30,0)),0))</f>
        <v/>
      </c>
      <c r="N103" s="6" t="str">
        <f aca="false">IF(OR(배관기본물량!$G103="",배관기본물량!$B103&lt;&gt;"설치"),"",배관기본물량!$AB103)</f>
        <v/>
      </c>
    </row>
    <row r="104" customFormat="false" ht="15" hidden="false" customHeight="true" outlineLevel="0" collapsed="false">
      <c r="A104" s="6" t="str">
        <f aca="false">IF(OR(배관기본물량!$G104="",배관기본물량!$B104&lt;&gt;"설치"),"",배관기본물량!A104)</f>
        <v/>
      </c>
      <c r="B104" s="16" t="str">
        <f aca="false">IF(OR(배관기본물량!$G104="",배관기본물량!$B104&lt;&gt;"설치"),"",배관기본물량!H104)</f>
        <v/>
      </c>
      <c r="C104" s="6" t="str">
        <f aca="false">IF(OR(배관기본물량!$G104="",배관기본물량!$B104&lt;&gt;"설치"),"",IF(배관기본물량!I104="","",배관기본물량!I104))</f>
        <v/>
      </c>
      <c r="D104" s="6" t="str">
        <f aca="false">IF(OR(배관기본물량!$G104="",배관기본물량!$B104&lt;&gt;"설치"),"",배관기본물량!F104&amp;"")</f>
        <v/>
      </c>
      <c r="E104" s="6" t="str">
        <f aca="false">IF(OR(배관기본물량!$G104="",배관기본물량!$B104&lt;&gt;"설치"),"",배관기본물량!K104&amp;"")</f>
        <v/>
      </c>
      <c r="F104" s="35" t="str">
        <f aca="false">IF(OR(배관기본물량!$G104="",배관기본물량!$B104&lt;&gt;"설치"),"",IF(배관기본물량!L104="","",배관기본물량!L104))</f>
        <v/>
      </c>
      <c r="G104" s="37" t="str">
        <f aca="false">IF(OR(배관기본물량!$G104="",배관기본물량!$B104&lt;&gt;"설치"),"",IF(배관기본물량!G104="PIPE",배관기본물량!M104,IF(배관기본물량!N104="","",배관기본물량!N104)))</f>
        <v/>
      </c>
      <c r="H104" s="35" t="str">
        <f aca="false">IF(OR(배관기본물량!$G104="",배관기본물량!$B104&lt;&gt;"설치"),"",IF(배관기본물량!G104="PIPE",N(배관기본물량!R104),N(배관기본물량!L104)))</f>
        <v/>
      </c>
      <c r="I104" s="54" t="str">
        <f aca="false">IF(OR(배관기본물량!$G104="",배관기본물량!$B104&lt;&gt;"설치"),"",배관기본물량!P104)</f>
        <v/>
      </c>
      <c r="J104" s="34" t="str">
        <f aca="false">IF(OR(배관기본물량!$G104="",배관기본물량!$B104&lt;&gt;"설치"),"",IF(배관기본물량!G104="PIPE",IF(AND(N(배관기본물량!I104)&gt;0,N(배관기본물량!I104)&gt;=배관기준!$AG$15),ROUNDUP(H104/배관기준!$AG$16,0)*배관기준!$AG$16,ROUNDUP(H104*(1+M104),0)),ROUND(H104*(1+M104),0)))</f>
        <v/>
      </c>
      <c r="K104" s="54" t="str">
        <f aca="false">IF(OR(배관기본물량!$G104="",배관기본물량!$B104&lt;&gt;"설치"),"",IF(N(H104)&gt;0,IF(ISNUMBER(G104),J104*G104,0),I104*(1+M104)))</f>
        <v/>
      </c>
      <c r="L104" s="16" t="str">
        <f aca="false">IF(OR(배관기본물량!$G104="",배관기본물량!$B104&lt;&gt;"설치"),"",IF(배관기본물량!V104&lt;&gt;"",배관기본물량!V104,IF(배관기본물량!G104="PIPE",IF(OR(LEFT(배관기본물량!F104,3)="STS",LEFT(배관기본물량!F104,3)="SUS"),"STS 강관",IF(N(배관기본물량!I104)&lt;=50,"강관(50A이하)","강관(50A초과)")),"배관 FITTING류(VALVE 外)")))</f>
        <v/>
      </c>
      <c r="M104" s="58" t="str">
        <f aca="false">IF(OR(배관기본물량!$G104="",배관기본물량!$B104&lt;&gt;"설치"),"",IFERROR(INDEX(제작기준!$B$5:$B$30,MATCH(L104,제작기준!$A$5:$A$30,0)),0))</f>
        <v/>
      </c>
      <c r="N104" s="6" t="str">
        <f aca="false">IF(OR(배관기본물량!$G104="",배관기본물량!$B104&lt;&gt;"설치"),"",배관기본물량!$AB104)</f>
        <v/>
      </c>
    </row>
    <row r="105" customFormat="false" ht="15" hidden="false" customHeight="true" outlineLevel="0" collapsed="false">
      <c r="A105" s="6" t="str">
        <f aca="false">IF(OR(배관기본물량!$G105="",배관기본물량!$B105&lt;&gt;"설치"),"",배관기본물량!A105)</f>
        <v/>
      </c>
      <c r="B105" s="16" t="str">
        <f aca="false">IF(OR(배관기본물량!$G105="",배관기본물량!$B105&lt;&gt;"설치"),"",배관기본물량!H105)</f>
        <v/>
      </c>
      <c r="C105" s="6" t="str">
        <f aca="false">IF(OR(배관기본물량!$G105="",배관기본물량!$B105&lt;&gt;"설치"),"",IF(배관기본물량!I105="","",배관기본물량!I105))</f>
        <v/>
      </c>
      <c r="D105" s="6" t="str">
        <f aca="false">IF(OR(배관기본물량!$G105="",배관기본물량!$B105&lt;&gt;"설치"),"",배관기본물량!F105&amp;"")</f>
        <v/>
      </c>
      <c r="E105" s="6" t="str">
        <f aca="false">IF(OR(배관기본물량!$G105="",배관기본물량!$B105&lt;&gt;"설치"),"",배관기본물량!K105&amp;"")</f>
        <v/>
      </c>
      <c r="F105" s="35" t="str">
        <f aca="false">IF(OR(배관기본물량!$G105="",배관기본물량!$B105&lt;&gt;"설치"),"",IF(배관기본물량!L105="","",배관기본물량!L105))</f>
        <v/>
      </c>
      <c r="G105" s="37" t="str">
        <f aca="false">IF(OR(배관기본물량!$G105="",배관기본물량!$B105&lt;&gt;"설치"),"",IF(배관기본물량!G105="PIPE",배관기본물량!M105,IF(배관기본물량!N105="","",배관기본물량!N105)))</f>
        <v/>
      </c>
      <c r="H105" s="35" t="str">
        <f aca="false">IF(OR(배관기본물량!$G105="",배관기본물량!$B105&lt;&gt;"설치"),"",IF(배관기본물량!G105="PIPE",N(배관기본물량!R105),N(배관기본물량!L105)))</f>
        <v/>
      </c>
      <c r="I105" s="54" t="str">
        <f aca="false">IF(OR(배관기본물량!$G105="",배관기본물량!$B105&lt;&gt;"설치"),"",배관기본물량!P105)</f>
        <v/>
      </c>
      <c r="J105" s="34" t="str">
        <f aca="false">IF(OR(배관기본물량!$G105="",배관기본물량!$B105&lt;&gt;"설치"),"",IF(배관기본물량!G105="PIPE",IF(AND(N(배관기본물량!I105)&gt;0,N(배관기본물량!I105)&gt;=배관기준!$AG$15),ROUNDUP(H105/배관기준!$AG$16,0)*배관기준!$AG$16,ROUNDUP(H105*(1+M105),0)),ROUND(H105*(1+M105),0)))</f>
        <v/>
      </c>
      <c r="K105" s="54" t="str">
        <f aca="false">IF(OR(배관기본물량!$G105="",배관기본물량!$B105&lt;&gt;"설치"),"",IF(N(H105)&gt;0,IF(ISNUMBER(G105),J105*G105,0),I105*(1+M105)))</f>
        <v/>
      </c>
      <c r="L105" s="16" t="str">
        <f aca="false">IF(OR(배관기본물량!$G105="",배관기본물량!$B105&lt;&gt;"설치"),"",IF(배관기본물량!V105&lt;&gt;"",배관기본물량!V105,IF(배관기본물량!G105="PIPE",IF(OR(LEFT(배관기본물량!F105,3)="STS",LEFT(배관기본물량!F105,3)="SUS"),"STS 강관",IF(N(배관기본물량!I105)&lt;=50,"강관(50A이하)","강관(50A초과)")),"배관 FITTING류(VALVE 外)")))</f>
        <v/>
      </c>
      <c r="M105" s="58" t="str">
        <f aca="false">IF(OR(배관기본물량!$G105="",배관기본물량!$B105&lt;&gt;"설치"),"",IFERROR(INDEX(제작기준!$B$5:$B$30,MATCH(L105,제작기준!$A$5:$A$30,0)),0))</f>
        <v/>
      </c>
      <c r="N105" s="6" t="str">
        <f aca="false">IF(OR(배관기본물량!$G105="",배관기본물량!$B105&lt;&gt;"설치"),"",배관기본물량!$AB105)</f>
        <v/>
      </c>
    </row>
    <row r="106" customFormat="false" ht="15" hidden="false" customHeight="true" outlineLevel="0" collapsed="false">
      <c r="A106" s="6" t="str">
        <f aca="false">IF(OR(배관기본물량!$G106="",배관기본물량!$B106&lt;&gt;"설치"),"",배관기본물량!A106)</f>
        <v/>
      </c>
      <c r="B106" s="16" t="str">
        <f aca="false">IF(OR(배관기본물량!$G106="",배관기본물량!$B106&lt;&gt;"설치"),"",배관기본물량!H106)</f>
        <v/>
      </c>
      <c r="C106" s="6" t="str">
        <f aca="false">IF(OR(배관기본물량!$G106="",배관기본물량!$B106&lt;&gt;"설치"),"",IF(배관기본물량!I106="","",배관기본물량!I106))</f>
        <v/>
      </c>
      <c r="D106" s="6" t="str">
        <f aca="false">IF(OR(배관기본물량!$G106="",배관기본물량!$B106&lt;&gt;"설치"),"",배관기본물량!F106&amp;"")</f>
        <v/>
      </c>
      <c r="E106" s="6" t="str">
        <f aca="false">IF(OR(배관기본물량!$G106="",배관기본물량!$B106&lt;&gt;"설치"),"",배관기본물량!K106&amp;"")</f>
        <v/>
      </c>
      <c r="F106" s="35" t="str">
        <f aca="false">IF(OR(배관기본물량!$G106="",배관기본물량!$B106&lt;&gt;"설치"),"",IF(배관기본물량!L106="","",배관기본물량!L106))</f>
        <v/>
      </c>
      <c r="G106" s="37" t="str">
        <f aca="false">IF(OR(배관기본물량!$G106="",배관기본물량!$B106&lt;&gt;"설치"),"",IF(배관기본물량!G106="PIPE",배관기본물량!M106,IF(배관기본물량!N106="","",배관기본물량!N106)))</f>
        <v/>
      </c>
      <c r="H106" s="35" t="str">
        <f aca="false">IF(OR(배관기본물량!$G106="",배관기본물량!$B106&lt;&gt;"설치"),"",IF(배관기본물량!G106="PIPE",N(배관기본물량!R106),N(배관기본물량!L106)))</f>
        <v/>
      </c>
      <c r="I106" s="54" t="str">
        <f aca="false">IF(OR(배관기본물량!$G106="",배관기본물량!$B106&lt;&gt;"설치"),"",배관기본물량!P106)</f>
        <v/>
      </c>
      <c r="J106" s="34" t="str">
        <f aca="false">IF(OR(배관기본물량!$G106="",배관기본물량!$B106&lt;&gt;"설치"),"",IF(배관기본물량!G106="PIPE",IF(AND(N(배관기본물량!I106)&gt;0,N(배관기본물량!I106)&gt;=배관기준!$AG$15),ROUNDUP(H106/배관기준!$AG$16,0)*배관기준!$AG$16,ROUNDUP(H106*(1+M106),0)),ROUND(H106*(1+M106),0)))</f>
        <v/>
      </c>
      <c r="K106" s="54" t="str">
        <f aca="false">IF(OR(배관기본물량!$G106="",배관기본물량!$B106&lt;&gt;"설치"),"",IF(N(H106)&gt;0,IF(ISNUMBER(G106),J106*G106,0),I106*(1+M106)))</f>
        <v/>
      </c>
      <c r="L106" s="16" t="str">
        <f aca="false">IF(OR(배관기본물량!$G106="",배관기본물량!$B106&lt;&gt;"설치"),"",IF(배관기본물량!V106&lt;&gt;"",배관기본물량!V106,IF(배관기본물량!G106="PIPE",IF(OR(LEFT(배관기본물량!F106,3)="STS",LEFT(배관기본물량!F106,3)="SUS"),"STS 강관",IF(N(배관기본물량!I106)&lt;=50,"강관(50A이하)","강관(50A초과)")),"배관 FITTING류(VALVE 外)")))</f>
        <v/>
      </c>
      <c r="M106" s="58" t="str">
        <f aca="false">IF(OR(배관기본물량!$G106="",배관기본물량!$B106&lt;&gt;"설치"),"",IFERROR(INDEX(제작기준!$B$5:$B$30,MATCH(L106,제작기준!$A$5:$A$30,0)),0))</f>
        <v/>
      </c>
      <c r="N106" s="6" t="str">
        <f aca="false">IF(OR(배관기본물량!$G106="",배관기본물량!$B106&lt;&gt;"설치"),"",배관기본물량!$AB106)</f>
        <v/>
      </c>
    </row>
    <row r="107" customFormat="false" ht="15" hidden="false" customHeight="true" outlineLevel="0" collapsed="false">
      <c r="A107" s="6" t="str">
        <f aca="false">IF(OR(배관기본물량!$G107="",배관기본물량!$B107&lt;&gt;"설치"),"",배관기본물량!A107)</f>
        <v/>
      </c>
      <c r="B107" s="16" t="str">
        <f aca="false">IF(OR(배관기본물량!$G107="",배관기본물량!$B107&lt;&gt;"설치"),"",배관기본물량!H107)</f>
        <v/>
      </c>
      <c r="C107" s="6" t="str">
        <f aca="false">IF(OR(배관기본물량!$G107="",배관기본물량!$B107&lt;&gt;"설치"),"",IF(배관기본물량!I107="","",배관기본물량!I107))</f>
        <v/>
      </c>
      <c r="D107" s="6" t="str">
        <f aca="false">IF(OR(배관기본물량!$G107="",배관기본물량!$B107&lt;&gt;"설치"),"",배관기본물량!F107&amp;"")</f>
        <v/>
      </c>
      <c r="E107" s="6" t="str">
        <f aca="false">IF(OR(배관기본물량!$G107="",배관기본물량!$B107&lt;&gt;"설치"),"",배관기본물량!K107&amp;"")</f>
        <v/>
      </c>
      <c r="F107" s="35" t="str">
        <f aca="false">IF(OR(배관기본물량!$G107="",배관기본물량!$B107&lt;&gt;"설치"),"",IF(배관기본물량!L107="","",배관기본물량!L107))</f>
        <v/>
      </c>
      <c r="G107" s="37" t="str">
        <f aca="false">IF(OR(배관기본물량!$G107="",배관기본물량!$B107&lt;&gt;"설치"),"",IF(배관기본물량!G107="PIPE",배관기본물량!M107,IF(배관기본물량!N107="","",배관기본물량!N107)))</f>
        <v/>
      </c>
      <c r="H107" s="35" t="str">
        <f aca="false">IF(OR(배관기본물량!$G107="",배관기본물량!$B107&lt;&gt;"설치"),"",IF(배관기본물량!G107="PIPE",N(배관기본물량!R107),N(배관기본물량!L107)))</f>
        <v/>
      </c>
      <c r="I107" s="54" t="str">
        <f aca="false">IF(OR(배관기본물량!$G107="",배관기본물량!$B107&lt;&gt;"설치"),"",배관기본물량!P107)</f>
        <v/>
      </c>
      <c r="J107" s="34" t="str">
        <f aca="false">IF(OR(배관기본물량!$G107="",배관기본물량!$B107&lt;&gt;"설치"),"",IF(배관기본물량!G107="PIPE",IF(AND(N(배관기본물량!I107)&gt;0,N(배관기본물량!I107)&gt;=배관기준!$AG$15),ROUNDUP(H107/배관기준!$AG$16,0)*배관기준!$AG$16,ROUNDUP(H107*(1+M107),0)),ROUND(H107*(1+M107),0)))</f>
        <v/>
      </c>
      <c r="K107" s="54" t="str">
        <f aca="false">IF(OR(배관기본물량!$G107="",배관기본물량!$B107&lt;&gt;"설치"),"",IF(N(H107)&gt;0,IF(ISNUMBER(G107),J107*G107,0),I107*(1+M107)))</f>
        <v/>
      </c>
      <c r="L107" s="16" t="str">
        <f aca="false">IF(OR(배관기본물량!$G107="",배관기본물량!$B107&lt;&gt;"설치"),"",IF(배관기본물량!V107&lt;&gt;"",배관기본물량!V107,IF(배관기본물량!G107="PIPE",IF(OR(LEFT(배관기본물량!F107,3)="STS",LEFT(배관기본물량!F107,3)="SUS"),"STS 강관",IF(N(배관기본물량!I107)&lt;=50,"강관(50A이하)","강관(50A초과)")),"배관 FITTING류(VALVE 外)")))</f>
        <v/>
      </c>
      <c r="M107" s="58" t="str">
        <f aca="false">IF(OR(배관기본물량!$G107="",배관기본물량!$B107&lt;&gt;"설치"),"",IFERROR(INDEX(제작기준!$B$5:$B$30,MATCH(L107,제작기준!$A$5:$A$30,0)),0))</f>
        <v/>
      </c>
      <c r="N107" s="6" t="str">
        <f aca="false">IF(OR(배관기본물량!$G107="",배관기본물량!$B107&lt;&gt;"설치"),"",배관기본물량!$AB107)</f>
        <v/>
      </c>
    </row>
    <row r="108" customFormat="false" ht="15" hidden="false" customHeight="true" outlineLevel="0" collapsed="false">
      <c r="A108" s="6" t="str">
        <f aca="false">IF(OR(배관기본물량!$G108="",배관기본물량!$B108&lt;&gt;"설치"),"",배관기본물량!A108)</f>
        <v/>
      </c>
      <c r="B108" s="16" t="str">
        <f aca="false">IF(OR(배관기본물량!$G108="",배관기본물량!$B108&lt;&gt;"설치"),"",배관기본물량!H108)</f>
        <v/>
      </c>
      <c r="C108" s="6" t="str">
        <f aca="false">IF(OR(배관기본물량!$G108="",배관기본물량!$B108&lt;&gt;"설치"),"",IF(배관기본물량!I108="","",배관기본물량!I108))</f>
        <v/>
      </c>
      <c r="D108" s="6" t="str">
        <f aca="false">IF(OR(배관기본물량!$G108="",배관기본물량!$B108&lt;&gt;"설치"),"",배관기본물량!F108&amp;"")</f>
        <v/>
      </c>
      <c r="E108" s="6" t="str">
        <f aca="false">IF(OR(배관기본물량!$G108="",배관기본물량!$B108&lt;&gt;"설치"),"",배관기본물량!K108&amp;"")</f>
        <v/>
      </c>
      <c r="F108" s="35" t="str">
        <f aca="false">IF(OR(배관기본물량!$G108="",배관기본물량!$B108&lt;&gt;"설치"),"",IF(배관기본물량!L108="","",배관기본물량!L108))</f>
        <v/>
      </c>
      <c r="G108" s="37" t="str">
        <f aca="false">IF(OR(배관기본물량!$G108="",배관기본물량!$B108&lt;&gt;"설치"),"",IF(배관기본물량!G108="PIPE",배관기본물량!M108,IF(배관기본물량!N108="","",배관기본물량!N108)))</f>
        <v/>
      </c>
      <c r="H108" s="35" t="str">
        <f aca="false">IF(OR(배관기본물량!$G108="",배관기본물량!$B108&lt;&gt;"설치"),"",IF(배관기본물량!G108="PIPE",N(배관기본물량!R108),N(배관기본물량!L108)))</f>
        <v/>
      </c>
      <c r="I108" s="54" t="str">
        <f aca="false">IF(OR(배관기본물량!$G108="",배관기본물량!$B108&lt;&gt;"설치"),"",배관기본물량!P108)</f>
        <v/>
      </c>
      <c r="J108" s="34" t="str">
        <f aca="false">IF(OR(배관기본물량!$G108="",배관기본물량!$B108&lt;&gt;"설치"),"",IF(배관기본물량!G108="PIPE",IF(AND(N(배관기본물량!I108)&gt;0,N(배관기본물량!I108)&gt;=배관기준!$AG$15),ROUNDUP(H108/배관기준!$AG$16,0)*배관기준!$AG$16,ROUNDUP(H108*(1+M108),0)),ROUND(H108*(1+M108),0)))</f>
        <v/>
      </c>
      <c r="K108" s="54" t="str">
        <f aca="false">IF(OR(배관기본물량!$G108="",배관기본물량!$B108&lt;&gt;"설치"),"",IF(N(H108)&gt;0,IF(ISNUMBER(G108),J108*G108,0),I108*(1+M108)))</f>
        <v/>
      </c>
      <c r="L108" s="16" t="str">
        <f aca="false">IF(OR(배관기본물량!$G108="",배관기본물량!$B108&lt;&gt;"설치"),"",IF(배관기본물량!V108&lt;&gt;"",배관기본물량!V108,IF(배관기본물량!G108="PIPE",IF(OR(LEFT(배관기본물량!F108,3)="STS",LEFT(배관기본물량!F108,3)="SUS"),"STS 강관",IF(N(배관기본물량!I108)&lt;=50,"강관(50A이하)","강관(50A초과)")),"배관 FITTING류(VALVE 外)")))</f>
        <v/>
      </c>
      <c r="M108" s="58" t="str">
        <f aca="false">IF(OR(배관기본물량!$G108="",배관기본물량!$B108&lt;&gt;"설치"),"",IFERROR(INDEX(제작기준!$B$5:$B$30,MATCH(L108,제작기준!$A$5:$A$30,0)),0))</f>
        <v/>
      </c>
      <c r="N108" s="6" t="str">
        <f aca="false">IF(OR(배관기본물량!$G108="",배관기본물량!$B108&lt;&gt;"설치"),"",배관기본물량!$AB108)</f>
        <v/>
      </c>
    </row>
    <row r="109" customFormat="false" ht="15" hidden="false" customHeight="true" outlineLevel="0" collapsed="false">
      <c r="A109" s="6" t="str">
        <f aca="false">IF(OR(배관기본물량!$G109="",배관기본물량!$B109&lt;&gt;"설치"),"",배관기본물량!A109)</f>
        <v/>
      </c>
      <c r="B109" s="16" t="str">
        <f aca="false">IF(OR(배관기본물량!$G109="",배관기본물량!$B109&lt;&gt;"설치"),"",배관기본물량!H109)</f>
        <v/>
      </c>
      <c r="C109" s="6" t="str">
        <f aca="false">IF(OR(배관기본물량!$G109="",배관기본물량!$B109&lt;&gt;"설치"),"",IF(배관기본물량!I109="","",배관기본물량!I109))</f>
        <v/>
      </c>
      <c r="D109" s="6" t="str">
        <f aca="false">IF(OR(배관기본물량!$G109="",배관기본물량!$B109&lt;&gt;"설치"),"",배관기본물량!F109&amp;"")</f>
        <v/>
      </c>
      <c r="E109" s="6" t="str">
        <f aca="false">IF(OR(배관기본물량!$G109="",배관기본물량!$B109&lt;&gt;"설치"),"",배관기본물량!K109&amp;"")</f>
        <v/>
      </c>
      <c r="F109" s="35" t="str">
        <f aca="false">IF(OR(배관기본물량!$G109="",배관기본물량!$B109&lt;&gt;"설치"),"",IF(배관기본물량!L109="","",배관기본물량!L109))</f>
        <v/>
      </c>
      <c r="G109" s="37" t="str">
        <f aca="false">IF(OR(배관기본물량!$G109="",배관기본물량!$B109&lt;&gt;"설치"),"",IF(배관기본물량!G109="PIPE",배관기본물량!M109,IF(배관기본물량!N109="","",배관기본물량!N109)))</f>
        <v/>
      </c>
      <c r="H109" s="35" t="str">
        <f aca="false">IF(OR(배관기본물량!$G109="",배관기본물량!$B109&lt;&gt;"설치"),"",IF(배관기본물량!G109="PIPE",N(배관기본물량!R109),N(배관기본물량!L109)))</f>
        <v/>
      </c>
      <c r="I109" s="54" t="str">
        <f aca="false">IF(OR(배관기본물량!$G109="",배관기본물량!$B109&lt;&gt;"설치"),"",배관기본물량!P109)</f>
        <v/>
      </c>
      <c r="J109" s="34" t="str">
        <f aca="false">IF(OR(배관기본물량!$G109="",배관기본물량!$B109&lt;&gt;"설치"),"",IF(배관기본물량!G109="PIPE",IF(AND(N(배관기본물량!I109)&gt;0,N(배관기본물량!I109)&gt;=배관기준!$AG$15),ROUNDUP(H109/배관기준!$AG$16,0)*배관기준!$AG$16,ROUNDUP(H109*(1+M109),0)),ROUND(H109*(1+M109),0)))</f>
        <v/>
      </c>
      <c r="K109" s="54" t="str">
        <f aca="false">IF(OR(배관기본물량!$G109="",배관기본물량!$B109&lt;&gt;"설치"),"",IF(N(H109)&gt;0,IF(ISNUMBER(G109),J109*G109,0),I109*(1+M109)))</f>
        <v/>
      </c>
      <c r="L109" s="16" t="str">
        <f aca="false">IF(OR(배관기본물량!$G109="",배관기본물량!$B109&lt;&gt;"설치"),"",IF(배관기본물량!V109&lt;&gt;"",배관기본물량!V109,IF(배관기본물량!G109="PIPE",IF(OR(LEFT(배관기본물량!F109,3)="STS",LEFT(배관기본물량!F109,3)="SUS"),"STS 강관",IF(N(배관기본물량!I109)&lt;=50,"강관(50A이하)","강관(50A초과)")),"배관 FITTING류(VALVE 外)")))</f>
        <v/>
      </c>
      <c r="M109" s="58" t="str">
        <f aca="false">IF(OR(배관기본물량!$G109="",배관기본물량!$B109&lt;&gt;"설치"),"",IFERROR(INDEX(제작기준!$B$5:$B$30,MATCH(L109,제작기준!$A$5:$A$30,0)),0))</f>
        <v/>
      </c>
      <c r="N109" s="6" t="str">
        <f aca="false">IF(OR(배관기본물량!$G109="",배관기본물량!$B109&lt;&gt;"설치"),"",배관기본물량!$AB109)</f>
        <v/>
      </c>
    </row>
    <row r="110" customFormat="false" ht="15" hidden="false" customHeight="true" outlineLevel="0" collapsed="false">
      <c r="A110" s="6" t="str">
        <f aca="false">IF(OR(배관기본물량!$G110="",배관기본물량!$B110&lt;&gt;"설치"),"",배관기본물량!A110)</f>
        <v/>
      </c>
      <c r="B110" s="16" t="str">
        <f aca="false">IF(OR(배관기본물량!$G110="",배관기본물량!$B110&lt;&gt;"설치"),"",배관기본물량!H110)</f>
        <v/>
      </c>
      <c r="C110" s="6" t="str">
        <f aca="false">IF(OR(배관기본물량!$G110="",배관기본물량!$B110&lt;&gt;"설치"),"",IF(배관기본물량!I110="","",배관기본물량!I110))</f>
        <v/>
      </c>
      <c r="D110" s="6" t="str">
        <f aca="false">IF(OR(배관기본물량!$G110="",배관기본물량!$B110&lt;&gt;"설치"),"",배관기본물량!F110&amp;"")</f>
        <v/>
      </c>
      <c r="E110" s="6" t="str">
        <f aca="false">IF(OR(배관기본물량!$G110="",배관기본물량!$B110&lt;&gt;"설치"),"",배관기본물량!K110&amp;"")</f>
        <v/>
      </c>
      <c r="F110" s="35" t="str">
        <f aca="false">IF(OR(배관기본물량!$G110="",배관기본물량!$B110&lt;&gt;"설치"),"",IF(배관기본물량!L110="","",배관기본물량!L110))</f>
        <v/>
      </c>
      <c r="G110" s="37" t="str">
        <f aca="false">IF(OR(배관기본물량!$G110="",배관기본물량!$B110&lt;&gt;"설치"),"",IF(배관기본물량!G110="PIPE",배관기본물량!M110,IF(배관기본물량!N110="","",배관기본물량!N110)))</f>
        <v/>
      </c>
      <c r="H110" s="35" t="str">
        <f aca="false">IF(OR(배관기본물량!$G110="",배관기본물량!$B110&lt;&gt;"설치"),"",IF(배관기본물량!G110="PIPE",N(배관기본물량!R110),N(배관기본물량!L110)))</f>
        <v/>
      </c>
      <c r="I110" s="54" t="str">
        <f aca="false">IF(OR(배관기본물량!$G110="",배관기본물량!$B110&lt;&gt;"설치"),"",배관기본물량!P110)</f>
        <v/>
      </c>
      <c r="J110" s="34" t="str">
        <f aca="false">IF(OR(배관기본물량!$G110="",배관기본물량!$B110&lt;&gt;"설치"),"",IF(배관기본물량!G110="PIPE",IF(AND(N(배관기본물량!I110)&gt;0,N(배관기본물량!I110)&gt;=배관기준!$AG$15),ROUNDUP(H110/배관기준!$AG$16,0)*배관기준!$AG$16,ROUNDUP(H110*(1+M110),0)),ROUND(H110*(1+M110),0)))</f>
        <v/>
      </c>
      <c r="K110" s="54" t="str">
        <f aca="false">IF(OR(배관기본물량!$G110="",배관기본물량!$B110&lt;&gt;"설치"),"",IF(N(H110)&gt;0,IF(ISNUMBER(G110),J110*G110,0),I110*(1+M110)))</f>
        <v/>
      </c>
      <c r="L110" s="16" t="str">
        <f aca="false">IF(OR(배관기본물량!$G110="",배관기본물량!$B110&lt;&gt;"설치"),"",IF(배관기본물량!V110&lt;&gt;"",배관기본물량!V110,IF(배관기본물량!G110="PIPE",IF(OR(LEFT(배관기본물량!F110,3)="STS",LEFT(배관기본물량!F110,3)="SUS"),"STS 강관",IF(N(배관기본물량!I110)&lt;=50,"강관(50A이하)","강관(50A초과)")),"배관 FITTING류(VALVE 外)")))</f>
        <v/>
      </c>
      <c r="M110" s="58" t="str">
        <f aca="false">IF(OR(배관기본물량!$G110="",배관기본물량!$B110&lt;&gt;"설치"),"",IFERROR(INDEX(제작기준!$B$5:$B$30,MATCH(L110,제작기준!$A$5:$A$30,0)),0))</f>
        <v/>
      </c>
      <c r="N110" s="6" t="str">
        <f aca="false">IF(OR(배관기본물량!$G110="",배관기본물량!$B110&lt;&gt;"설치"),"",배관기본물량!$AB110)</f>
        <v/>
      </c>
    </row>
    <row r="111" customFormat="false" ht="15" hidden="false" customHeight="true" outlineLevel="0" collapsed="false">
      <c r="A111" s="6" t="str">
        <f aca="false">IF(OR(배관기본물량!$G111="",배관기본물량!$B111&lt;&gt;"설치"),"",배관기본물량!A111)</f>
        <v/>
      </c>
      <c r="B111" s="16" t="str">
        <f aca="false">IF(OR(배관기본물량!$G111="",배관기본물량!$B111&lt;&gt;"설치"),"",배관기본물량!H111)</f>
        <v/>
      </c>
      <c r="C111" s="6" t="str">
        <f aca="false">IF(OR(배관기본물량!$G111="",배관기본물량!$B111&lt;&gt;"설치"),"",IF(배관기본물량!I111="","",배관기본물량!I111))</f>
        <v/>
      </c>
      <c r="D111" s="6" t="str">
        <f aca="false">IF(OR(배관기본물량!$G111="",배관기본물량!$B111&lt;&gt;"설치"),"",배관기본물량!F111&amp;"")</f>
        <v/>
      </c>
      <c r="E111" s="6" t="str">
        <f aca="false">IF(OR(배관기본물량!$G111="",배관기본물량!$B111&lt;&gt;"설치"),"",배관기본물량!K111&amp;"")</f>
        <v/>
      </c>
      <c r="F111" s="35" t="str">
        <f aca="false">IF(OR(배관기본물량!$G111="",배관기본물량!$B111&lt;&gt;"설치"),"",IF(배관기본물량!L111="","",배관기본물량!L111))</f>
        <v/>
      </c>
      <c r="G111" s="37" t="str">
        <f aca="false">IF(OR(배관기본물량!$G111="",배관기본물량!$B111&lt;&gt;"설치"),"",IF(배관기본물량!G111="PIPE",배관기본물량!M111,IF(배관기본물량!N111="","",배관기본물량!N111)))</f>
        <v/>
      </c>
      <c r="H111" s="35" t="str">
        <f aca="false">IF(OR(배관기본물량!$G111="",배관기본물량!$B111&lt;&gt;"설치"),"",IF(배관기본물량!G111="PIPE",N(배관기본물량!R111),N(배관기본물량!L111)))</f>
        <v/>
      </c>
      <c r="I111" s="54" t="str">
        <f aca="false">IF(OR(배관기본물량!$G111="",배관기본물량!$B111&lt;&gt;"설치"),"",배관기본물량!P111)</f>
        <v/>
      </c>
      <c r="J111" s="34" t="str">
        <f aca="false">IF(OR(배관기본물량!$G111="",배관기본물량!$B111&lt;&gt;"설치"),"",IF(배관기본물량!G111="PIPE",IF(AND(N(배관기본물량!I111)&gt;0,N(배관기본물량!I111)&gt;=배관기준!$AG$15),ROUNDUP(H111/배관기준!$AG$16,0)*배관기준!$AG$16,ROUNDUP(H111*(1+M111),0)),ROUND(H111*(1+M111),0)))</f>
        <v/>
      </c>
      <c r="K111" s="54" t="str">
        <f aca="false">IF(OR(배관기본물량!$G111="",배관기본물량!$B111&lt;&gt;"설치"),"",IF(N(H111)&gt;0,IF(ISNUMBER(G111),J111*G111,0),I111*(1+M111)))</f>
        <v/>
      </c>
      <c r="L111" s="16" t="str">
        <f aca="false">IF(OR(배관기본물량!$G111="",배관기본물량!$B111&lt;&gt;"설치"),"",IF(배관기본물량!V111&lt;&gt;"",배관기본물량!V111,IF(배관기본물량!G111="PIPE",IF(OR(LEFT(배관기본물량!F111,3)="STS",LEFT(배관기본물량!F111,3)="SUS"),"STS 강관",IF(N(배관기본물량!I111)&lt;=50,"강관(50A이하)","강관(50A초과)")),"배관 FITTING류(VALVE 外)")))</f>
        <v/>
      </c>
      <c r="M111" s="58" t="str">
        <f aca="false">IF(OR(배관기본물량!$G111="",배관기본물량!$B111&lt;&gt;"설치"),"",IFERROR(INDEX(제작기준!$B$5:$B$30,MATCH(L111,제작기준!$A$5:$A$30,0)),0))</f>
        <v/>
      </c>
      <c r="N111" s="6" t="str">
        <f aca="false">IF(OR(배관기본물량!$G111="",배관기본물량!$B111&lt;&gt;"설치"),"",배관기본물량!$AB111)</f>
        <v/>
      </c>
    </row>
    <row r="112" customFormat="false" ht="15" hidden="false" customHeight="true" outlineLevel="0" collapsed="false">
      <c r="A112" s="6" t="str">
        <f aca="false">IF(OR(배관기본물량!$G112="",배관기본물량!$B112&lt;&gt;"설치"),"",배관기본물량!A112)</f>
        <v/>
      </c>
      <c r="B112" s="16" t="str">
        <f aca="false">IF(OR(배관기본물량!$G112="",배관기본물량!$B112&lt;&gt;"설치"),"",배관기본물량!H112)</f>
        <v/>
      </c>
      <c r="C112" s="6" t="str">
        <f aca="false">IF(OR(배관기본물량!$G112="",배관기본물량!$B112&lt;&gt;"설치"),"",IF(배관기본물량!I112="","",배관기본물량!I112))</f>
        <v/>
      </c>
      <c r="D112" s="6" t="str">
        <f aca="false">IF(OR(배관기본물량!$G112="",배관기본물량!$B112&lt;&gt;"설치"),"",배관기본물량!F112&amp;"")</f>
        <v/>
      </c>
      <c r="E112" s="6" t="str">
        <f aca="false">IF(OR(배관기본물량!$G112="",배관기본물량!$B112&lt;&gt;"설치"),"",배관기본물량!K112&amp;"")</f>
        <v/>
      </c>
      <c r="F112" s="35" t="str">
        <f aca="false">IF(OR(배관기본물량!$G112="",배관기본물량!$B112&lt;&gt;"설치"),"",IF(배관기본물량!L112="","",배관기본물량!L112))</f>
        <v/>
      </c>
      <c r="G112" s="37" t="str">
        <f aca="false">IF(OR(배관기본물량!$G112="",배관기본물량!$B112&lt;&gt;"설치"),"",IF(배관기본물량!G112="PIPE",배관기본물량!M112,IF(배관기본물량!N112="","",배관기본물량!N112)))</f>
        <v/>
      </c>
      <c r="H112" s="35" t="str">
        <f aca="false">IF(OR(배관기본물량!$G112="",배관기본물량!$B112&lt;&gt;"설치"),"",IF(배관기본물량!G112="PIPE",N(배관기본물량!R112),N(배관기본물량!L112)))</f>
        <v/>
      </c>
      <c r="I112" s="54" t="str">
        <f aca="false">IF(OR(배관기본물량!$G112="",배관기본물량!$B112&lt;&gt;"설치"),"",배관기본물량!P112)</f>
        <v/>
      </c>
      <c r="J112" s="34" t="str">
        <f aca="false">IF(OR(배관기본물량!$G112="",배관기본물량!$B112&lt;&gt;"설치"),"",IF(배관기본물량!G112="PIPE",IF(AND(N(배관기본물량!I112)&gt;0,N(배관기본물량!I112)&gt;=배관기준!$AG$15),ROUNDUP(H112/배관기준!$AG$16,0)*배관기준!$AG$16,ROUNDUP(H112*(1+M112),0)),ROUND(H112*(1+M112),0)))</f>
        <v/>
      </c>
      <c r="K112" s="54" t="str">
        <f aca="false">IF(OR(배관기본물량!$G112="",배관기본물량!$B112&lt;&gt;"설치"),"",IF(N(H112)&gt;0,IF(ISNUMBER(G112),J112*G112,0),I112*(1+M112)))</f>
        <v/>
      </c>
      <c r="L112" s="16" t="str">
        <f aca="false">IF(OR(배관기본물량!$G112="",배관기본물량!$B112&lt;&gt;"설치"),"",IF(배관기본물량!V112&lt;&gt;"",배관기본물량!V112,IF(배관기본물량!G112="PIPE",IF(OR(LEFT(배관기본물량!F112,3)="STS",LEFT(배관기본물량!F112,3)="SUS"),"STS 강관",IF(N(배관기본물량!I112)&lt;=50,"강관(50A이하)","강관(50A초과)")),"배관 FITTING류(VALVE 外)")))</f>
        <v/>
      </c>
      <c r="M112" s="58" t="str">
        <f aca="false">IF(OR(배관기본물량!$G112="",배관기본물량!$B112&lt;&gt;"설치"),"",IFERROR(INDEX(제작기준!$B$5:$B$30,MATCH(L112,제작기준!$A$5:$A$30,0)),0))</f>
        <v/>
      </c>
      <c r="N112" s="6" t="str">
        <f aca="false">IF(OR(배관기본물량!$G112="",배관기본물량!$B112&lt;&gt;"설치"),"",배관기본물량!$AB112)</f>
        <v/>
      </c>
    </row>
    <row r="113" customFormat="false" ht="15" hidden="false" customHeight="true" outlineLevel="0" collapsed="false">
      <c r="A113" s="6" t="str">
        <f aca="false">IF(OR(배관기본물량!$G113="",배관기본물량!$B113&lt;&gt;"설치"),"",배관기본물량!A113)</f>
        <v/>
      </c>
      <c r="B113" s="16" t="str">
        <f aca="false">IF(OR(배관기본물량!$G113="",배관기본물량!$B113&lt;&gt;"설치"),"",배관기본물량!H113)</f>
        <v/>
      </c>
      <c r="C113" s="6" t="str">
        <f aca="false">IF(OR(배관기본물량!$G113="",배관기본물량!$B113&lt;&gt;"설치"),"",IF(배관기본물량!I113="","",배관기본물량!I113))</f>
        <v/>
      </c>
      <c r="D113" s="6" t="str">
        <f aca="false">IF(OR(배관기본물량!$G113="",배관기본물량!$B113&lt;&gt;"설치"),"",배관기본물량!F113&amp;"")</f>
        <v/>
      </c>
      <c r="E113" s="6" t="str">
        <f aca="false">IF(OR(배관기본물량!$G113="",배관기본물량!$B113&lt;&gt;"설치"),"",배관기본물량!K113&amp;"")</f>
        <v/>
      </c>
      <c r="F113" s="35" t="str">
        <f aca="false">IF(OR(배관기본물량!$G113="",배관기본물량!$B113&lt;&gt;"설치"),"",IF(배관기본물량!L113="","",배관기본물량!L113))</f>
        <v/>
      </c>
      <c r="G113" s="37" t="str">
        <f aca="false">IF(OR(배관기본물량!$G113="",배관기본물량!$B113&lt;&gt;"설치"),"",IF(배관기본물량!G113="PIPE",배관기본물량!M113,IF(배관기본물량!N113="","",배관기본물량!N113)))</f>
        <v/>
      </c>
      <c r="H113" s="35" t="str">
        <f aca="false">IF(OR(배관기본물량!$G113="",배관기본물량!$B113&lt;&gt;"설치"),"",IF(배관기본물량!G113="PIPE",N(배관기본물량!R113),N(배관기본물량!L113)))</f>
        <v/>
      </c>
      <c r="I113" s="54" t="str">
        <f aca="false">IF(OR(배관기본물량!$G113="",배관기본물량!$B113&lt;&gt;"설치"),"",배관기본물량!P113)</f>
        <v/>
      </c>
      <c r="J113" s="34" t="str">
        <f aca="false">IF(OR(배관기본물량!$G113="",배관기본물량!$B113&lt;&gt;"설치"),"",IF(배관기본물량!G113="PIPE",IF(AND(N(배관기본물량!I113)&gt;0,N(배관기본물량!I113)&gt;=배관기준!$AG$15),ROUNDUP(H113/배관기준!$AG$16,0)*배관기준!$AG$16,ROUNDUP(H113*(1+M113),0)),ROUND(H113*(1+M113),0)))</f>
        <v/>
      </c>
      <c r="K113" s="54" t="str">
        <f aca="false">IF(OR(배관기본물량!$G113="",배관기본물량!$B113&lt;&gt;"설치"),"",IF(N(H113)&gt;0,IF(ISNUMBER(G113),J113*G113,0),I113*(1+M113)))</f>
        <v/>
      </c>
      <c r="L113" s="16" t="str">
        <f aca="false">IF(OR(배관기본물량!$G113="",배관기본물량!$B113&lt;&gt;"설치"),"",IF(배관기본물량!V113&lt;&gt;"",배관기본물량!V113,IF(배관기본물량!G113="PIPE",IF(OR(LEFT(배관기본물량!F113,3)="STS",LEFT(배관기본물량!F113,3)="SUS"),"STS 강관",IF(N(배관기본물량!I113)&lt;=50,"강관(50A이하)","강관(50A초과)")),"배관 FITTING류(VALVE 外)")))</f>
        <v/>
      </c>
      <c r="M113" s="58" t="str">
        <f aca="false">IF(OR(배관기본물량!$G113="",배관기본물량!$B113&lt;&gt;"설치"),"",IFERROR(INDEX(제작기준!$B$5:$B$30,MATCH(L113,제작기준!$A$5:$A$30,0)),0))</f>
        <v/>
      </c>
      <c r="N113" s="6" t="str">
        <f aca="false">IF(OR(배관기본물량!$G113="",배관기본물량!$B113&lt;&gt;"설치"),"",배관기본물량!$AB113)</f>
        <v/>
      </c>
    </row>
    <row r="114" customFormat="false" ht="15" hidden="false" customHeight="true" outlineLevel="0" collapsed="false">
      <c r="A114" s="6" t="str">
        <f aca="false">IF(OR(배관기본물량!$G114="",배관기본물량!$B114&lt;&gt;"설치"),"",배관기본물량!A114)</f>
        <v/>
      </c>
      <c r="B114" s="16" t="str">
        <f aca="false">IF(OR(배관기본물량!$G114="",배관기본물량!$B114&lt;&gt;"설치"),"",배관기본물량!H114)</f>
        <v/>
      </c>
      <c r="C114" s="6" t="str">
        <f aca="false">IF(OR(배관기본물량!$G114="",배관기본물량!$B114&lt;&gt;"설치"),"",IF(배관기본물량!I114="","",배관기본물량!I114))</f>
        <v/>
      </c>
      <c r="D114" s="6" t="str">
        <f aca="false">IF(OR(배관기본물량!$G114="",배관기본물량!$B114&lt;&gt;"설치"),"",배관기본물량!F114&amp;"")</f>
        <v/>
      </c>
      <c r="E114" s="6" t="str">
        <f aca="false">IF(OR(배관기본물량!$G114="",배관기본물량!$B114&lt;&gt;"설치"),"",배관기본물량!K114&amp;"")</f>
        <v/>
      </c>
      <c r="F114" s="35" t="str">
        <f aca="false">IF(OR(배관기본물량!$G114="",배관기본물량!$B114&lt;&gt;"설치"),"",IF(배관기본물량!L114="","",배관기본물량!L114))</f>
        <v/>
      </c>
      <c r="G114" s="37" t="str">
        <f aca="false">IF(OR(배관기본물량!$G114="",배관기본물량!$B114&lt;&gt;"설치"),"",IF(배관기본물량!G114="PIPE",배관기본물량!M114,IF(배관기본물량!N114="","",배관기본물량!N114)))</f>
        <v/>
      </c>
      <c r="H114" s="35" t="str">
        <f aca="false">IF(OR(배관기본물량!$G114="",배관기본물량!$B114&lt;&gt;"설치"),"",IF(배관기본물량!G114="PIPE",N(배관기본물량!R114),N(배관기본물량!L114)))</f>
        <v/>
      </c>
      <c r="I114" s="54" t="str">
        <f aca="false">IF(OR(배관기본물량!$G114="",배관기본물량!$B114&lt;&gt;"설치"),"",배관기본물량!P114)</f>
        <v/>
      </c>
      <c r="J114" s="34" t="str">
        <f aca="false">IF(OR(배관기본물량!$G114="",배관기본물량!$B114&lt;&gt;"설치"),"",IF(배관기본물량!G114="PIPE",IF(AND(N(배관기본물량!I114)&gt;0,N(배관기본물량!I114)&gt;=배관기준!$AG$15),ROUNDUP(H114/배관기준!$AG$16,0)*배관기준!$AG$16,ROUNDUP(H114*(1+M114),0)),ROUND(H114*(1+M114),0)))</f>
        <v/>
      </c>
      <c r="K114" s="54" t="str">
        <f aca="false">IF(OR(배관기본물량!$G114="",배관기본물량!$B114&lt;&gt;"설치"),"",IF(N(H114)&gt;0,IF(ISNUMBER(G114),J114*G114,0),I114*(1+M114)))</f>
        <v/>
      </c>
      <c r="L114" s="16" t="str">
        <f aca="false">IF(OR(배관기본물량!$G114="",배관기본물량!$B114&lt;&gt;"설치"),"",IF(배관기본물량!V114&lt;&gt;"",배관기본물량!V114,IF(배관기본물량!G114="PIPE",IF(OR(LEFT(배관기본물량!F114,3)="STS",LEFT(배관기본물량!F114,3)="SUS"),"STS 강관",IF(N(배관기본물량!I114)&lt;=50,"강관(50A이하)","강관(50A초과)")),"배관 FITTING류(VALVE 外)")))</f>
        <v/>
      </c>
      <c r="M114" s="58" t="str">
        <f aca="false">IF(OR(배관기본물량!$G114="",배관기본물량!$B114&lt;&gt;"설치"),"",IFERROR(INDEX(제작기준!$B$5:$B$30,MATCH(L114,제작기준!$A$5:$A$30,0)),0))</f>
        <v/>
      </c>
      <c r="N114" s="6" t="str">
        <f aca="false">IF(OR(배관기본물량!$G114="",배관기본물량!$B114&lt;&gt;"설치"),"",배관기본물량!$AB114)</f>
        <v/>
      </c>
    </row>
    <row r="115" customFormat="false" ht="15" hidden="false" customHeight="true" outlineLevel="0" collapsed="false">
      <c r="A115" s="6" t="str">
        <f aca="false">IF(OR(배관기본물량!$G115="",배관기본물량!$B115&lt;&gt;"설치"),"",배관기본물량!A115)</f>
        <v/>
      </c>
      <c r="B115" s="16" t="str">
        <f aca="false">IF(OR(배관기본물량!$G115="",배관기본물량!$B115&lt;&gt;"설치"),"",배관기본물량!H115)</f>
        <v/>
      </c>
      <c r="C115" s="6" t="str">
        <f aca="false">IF(OR(배관기본물량!$G115="",배관기본물량!$B115&lt;&gt;"설치"),"",IF(배관기본물량!I115="","",배관기본물량!I115))</f>
        <v/>
      </c>
      <c r="D115" s="6" t="str">
        <f aca="false">IF(OR(배관기본물량!$G115="",배관기본물량!$B115&lt;&gt;"설치"),"",배관기본물량!F115&amp;"")</f>
        <v/>
      </c>
      <c r="E115" s="6" t="str">
        <f aca="false">IF(OR(배관기본물량!$G115="",배관기본물량!$B115&lt;&gt;"설치"),"",배관기본물량!K115&amp;"")</f>
        <v/>
      </c>
      <c r="F115" s="35" t="str">
        <f aca="false">IF(OR(배관기본물량!$G115="",배관기본물량!$B115&lt;&gt;"설치"),"",IF(배관기본물량!L115="","",배관기본물량!L115))</f>
        <v/>
      </c>
      <c r="G115" s="37" t="str">
        <f aca="false">IF(OR(배관기본물량!$G115="",배관기본물량!$B115&lt;&gt;"설치"),"",IF(배관기본물량!G115="PIPE",배관기본물량!M115,IF(배관기본물량!N115="","",배관기본물량!N115)))</f>
        <v/>
      </c>
      <c r="H115" s="35" t="str">
        <f aca="false">IF(OR(배관기본물량!$G115="",배관기본물량!$B115&lt;&gt;"설치"),"",IF(배관기본물량!G115="PIPE",N(배관기본물량!R115),N(배관기본물량!L115)))</f>
        <v/>
      </c>
      <c r="I115" s="54" t="str">
        <f aca="false">IF(OR(배관기본물량!$G115="",배관기본물량!$B115&lt;&gt;"설치"),"",배관기본물량!P115)</f>
        <v/>
      </c>
      <c r="J115" s="34" t="str">
        <f aca="false">IF(OR(배관기본물량!$G115="",배관기본물량!$B115&lt;&gt;"설치"),"",IF(배관기본물량!G115="PIPE",IF(AND(N(배관기본물량!I115)&gt;0,N(배관기본물량!I115)&gt;=배관기준!$AG$15),ROUNDUP(H115/배관기준!$AG$16,0)*배관기준!$AG$16,ROUNDUP(H115*(1+M115),0)),ROUND(H115*(1+M115),0)))</f>
        <v/>
      </c>
      <c r="K115" s="54" t="str">
        <f aca="false">IF(OR(배관기본물량!$G115="",배관기본물량!$B115&lt;&gt;"설치"),"",IF(N(H115)&gt;0,IF(ISNUMBER(G115),J115*G115,0),I115*(1+M115)))</f>
        <v/>
      </c>
      <c r="L115" s="16" t="str">
        <f aca="false">IF(OR(배관기본물량!$G115="",배관기본물량!$B115&lt;&gt;"설치"),"",IF(배관기본물량!V115&lt;&gt;"",배관기본물량!V115,IF(배관기본물량!G115="PIPE",IF(OR(LEFT(배관기본물량!F115,3)="STS",LEFT(배관기본물량!F115,3)="SUS"),"STS 강관",IF(N(배관기본물량!I115)&lt;=50,"강관(50A이하)","강관(50A초과)")),"배관 FITTING류(VALVE 外)")))</f>
        <v/>
      </c>
      <c r="M115" s="58" t="str">
        <f aca="false">IF(OR(배관기본물량!$G115="",배관기본물량!$B115&lt;&gt;"설치"),"",IFERROR(INDEX(제작기준!$B$5:$B$30,MATCH(L115,제작기준!$A$5:$A$30,0)),0))</f>
        <v/>
      </c>
      <c r="N115" s="6" t="str">
        <f aca="false">IF(OR(배관기본물량!$G115="",배관기본물량!$B115&lt;&gt;"설치"),"",배관기본물량!$AB115)</f>
        <v/>
      </c>
    </row>
    <row r="116" customFormat="false" ht="15" hidden="false" customHeight="true" outlineLevel="0" collapsed="false">
      <c r="A116" s="6" t="str">
        <f aca="false">IF(OR(배관기본물량!$G116="",배관기본물량!$B116&lt;&gt;"설치"),"",배관기본물량!A116)</f>
        <v/>
      </c>
      <c r="B116" s="16" t="str">
        <f aca="false">IF(OR(배관기본물량!$G116="",배관기본물량!$B116&lt;&gt;"설치"),"",배관기본물량!H116)</f>
        <v/>
      </c>
      <c r="C116" s="6" t="str">
        <f aca="false">IF(OR(배관기본물량!$G116="",배관기본물량!$B116&lt;&gt;"설치"),"",IF(배관기본물량!I116="","",배관기본물량!I116))</f>
        <v/>
      </c>
      <c r="D116" s="6" t="str">
        <f aca="false">IF(OR(배관기본물량!$G116="",배관기본물량!$B116&lt;&gt;"설치"),"",배관기본물량!F116&amp;"")</f>
        <v/>
      </c>
      <c r="E116" s="6" t="str">
        <f aca="false">IF(OR(배관기본물량!$G116="",배관기본물량!$B116&lt;&gt;"설치"),"",배관기본물량!K116&amp;"")</f>
        <v/>
      </c>
      <c r="F116" s="35" t="str">
        <f aca="false">IF(OR(배관기본물량!$G116="",배관기본물량!$B116&lt;&gt;"설치"),"",IF(배관기본물량!L116="","",배관기본물량!L116))</f>
        <v/>
      </c>
      <c r="G116" s="37" t="str">
        <f aca="false">IF(OR(배관기본물량!$G116="",배관기본물량!$B116&lt;&gt;"설치"),"",IF(배관기본물량!G116="PIPE",배관기본물량!M116,IF(배관기본물량!N116="","",배관기본물량!N116)))</f>
        <v/>
      </c>
      <c r="H116" s="35" t="str">
        <f aca="false">IF(OR(배관기본물량!$G116="",배관기본물량!$B116&lt;&gt;"설치"),"",IF(배관기본물량!G116="PIPE",N(배관기본물량!R116),N(배관기본물량!L116)))</f>
        <v/>
      </c>
      <c r="I116" s="54" t="str">
        <f aca="false">IF(OR(배관기본물량!$G116="",배관기본물량!$B116&lt;&gt;"설치"),"",배관기본물량!P116)</f>
        <v/>
      </c>
      <c r="J116" s="34" t="str">
        <f aca="false">IF(OR(배관기본물량!$G116="",배관기본물량!$B116&lt;&gt;"설치"),"",IF(배관기본물량!G116="PIPE",IF(AND(N(배관기본물량!I116)&gt;0,N(배관기본물량!I116)&gt;=배관기준!$AG$15),ROUNDUP(H116/배관기준!$AG$16,0)*배관기준!$AG$16,ROUNDUP(H116*(1+M116),0)),ROUND(H116*(1+M116),0)))</f>
        <v/>
      </c>
      <c r="K116" s="54" t="str">
        <f aca="false">IF(OR(배관기본물량!$G116="",배관기본물량!$B116&lt;&gt;"설치"),"",IF(N(H116)&gt;0,IF(ISNUMBER(G116),J116*G116,0),I116*(1+M116)))</f>
        <v/>
      </c>
      <c r="L116" s="16" t="str">
        <f aca="false">IF(OR(배관기본물량!$G116="",배관기본물량!$B116&lt;&gt;"설치"),"",IF(배관기본물량!V116&lt;&gt;"",배관기본물량!V116,IF(배관기본물량!G116="PIPE",IF(OR(LEFT(배관기본물량!F116,3)="STS",LEFT(배관기본물량!F116,3)="SUS"),"STS 강관",IF(N(배관기본물량!I116)&lt;=50,"강관(50A이하)","강관(50A초과)")),"배관 FITTING류(VALVE 外)")))</f>
        <v/>
      </c>
      <c r="M116" s="58" t="str">
        <f aca="false">IF(OR(배관기본물량!$G116="",배관기본물량!$B116&lt;&gt;"설치"),"",IFERROR(INDEX(제작기준!$B$5:$B$30,MATCH(L116,제작기준!$A$5:$A$30,0)),0))</f>
        <v/>
      </c>
      <c r="N116" s="6" t="str">
        <f aca="false">IF(OR(배관기본물량!$G116="",배관기본물량!$B116&lt;&gt;"설치"),"",배관기본물량!$AB116)</f>
        <v/>
      </c>
    </row>
    <row r="117" customFormat="false" ht="15" hidden="false" customHeight="true" outlineLevel="0" collapsed="false">
      <c r="A117" s="6" t="str">
        <f aca="false">IF(OR(배관기본물량!$G117="",배관기본물량!$B117&lt;&gt;"설치"),"",배관기본물량!A117)</f>
        <v/>
      </c>
      <c r="B117" s="16" t="str">
        <f aca="false">IF(OR(배관기본물량!$G117="",배관기본물량!$B117&lt;&gt;"설치"),"",배관기본물량!H117)</f>
        <v/>
      </c>
      <c r="C117" s="6" t="str">
        <f aca="false">IF(OR(배관기본물량!$G117="",배관기본물량!$B117&lt;&gt;"설치"),"",IF(배관기본물량!I117="","",배관기본물량!I117))</f>
        <v/>
      </c>
      <c r="D117" s="6" t="str">
        <f aca="false">IF(OR(배관기본물량!$G117="",배관기본물량!$B117&lt;&gt;"설치"),"",배관기본물량!F117&amp;"")</f>
        <v/>
      </c>
      <c r="E117" s="6" t="str">
        <f aca="false">IF(OR(배관기본물량!$G117="",배관기본물량!$B117&lt;&gt;"설치"),"",배관기본물량!K117&amp;"")</f>
        <v/>
      </c>
      <c r="F117" s="35" t="str">
        <f aca="false">IF(OR(배관기본물량!$G117="",배관기본물량!$B117&lt;&gt;"설치"),"",IF(배관기본물량!L117="","",배관기본물량!L117))</f>
        <v/>
      </c>
      <c r="G117" s="37" t="str">
        <f aca="false">IF(OR(배관기본물량!$G117="",배관기본물량!$B117&lt;&gt;"설치"),"",IF(배관기본물량!G117="PIPE",배관기본물량!M117,IF(배관기본물량!N117="","",배관기본물량!N117)))</f>
        <v/>
      </c>
      <c r="H117" s="35" t="str">
        <f aca="false">IF(OR(배관기본물량!$G117="",배관기본물량!$B117&lt;&gt;"설치"),"",IF(배관기본물량!G117="PIPE",N(배관기본물량!R117),N(배관기본물량!L117)))</f>
        <v/>
      </c>
      <c r="I117" s="54" t="str">
        <f aca="false">IF(OR(배관기본물량!$G117="",배관기본물량!$B117&lt;&gt;"설치"),"",배관기본물량!P117)</f>
        <v/>
      </c>
      <c r="J117" s="34" t="str">
        <f aca="false">IF(OR(배관기본물량!$G117="",배관기본물량!$B117&lt;&gt;"설치"),"",IF(배관기본물량!G117="PIPE",IF(AND(N(배관기본물량!I117)&gt;0,N(배관기본물량!I117)&gt;=배관기준!$AG$15),ROUNDUP(H117/배관기준!$AG$16,0)*배관기준!$AG$16,ROUNDUP(H117*(1+M117),0)),ROUND(H117*(1+M117),0)))</f>
        <v/>
      </c>
      <c r="K117" s="54" t="str">
        <f aca="false">IF(OR(배관기본물량!$G117="",배관기본물량!$B117&lt;&gt;"설치"),"",IF(N(H117)&gt;0,IF(ISNUMBER(G117),J117*G117,0),I117*(1+M117)))</f>
        <v/>
      </c>
      <c r="L117" s="16" t="str">
        <f aca="false">IF(OR(배관기본물량!$G117="",배관기본물량!$B117&lt;&gt;"설치"),"",IF(배관기본물량!V117&lt;&gt;"",배관기본물량!V117,IF(배관기본물량!G117="PIPE",IF(OR(LEFT(배관기본물량!F117,3)="STS",LEFT(배관기본물량!F117,3)="SUS"),"STS 강관",IF(N(배관기본물량!I117)&lt;=50,"강관(50A이하)","강관(50A초과)")),"배관 FITTING류(VALVE 外)")))</f>
        <v/>
      </c>
      <c r="M117" s="58" t="str">
        <f aca="false">IF(OR(배관기본물량!$G117="",배관기본물량!$B117&lt;&gt;"설치"),"",IFERROR(INDEX(제작기준!$B$5:$B$30,MATCH(L117,제작기준!$A$5:$A$30,0)),0))</f>
        <v/>
      </c>
      <c r="N117" s="6" t="str">
        <f aca="false">IF(OR(배관기본물량!$G117="",배관기본물량!$B117&lt;&gt;"설치"),"",배관기본물량!$AB117)</f>
        <v/>
      </c>
    </row>
    <row r="118" customFormat="false" ht="15" hidden="false" customHeight="true" outlineLevel="0" collapsed="false">
      <c r="A118" s="6" t="str">
        <f aca="false">IF(OR(배관기본물량!$G118="",배관기본물량!$B118&lt;&gt;"설치"),"",배관기본물량!A118)</f>
        <v/>
      </c>
      <c r="B118" s="16" t="str">
        <f aca="false">IF(OR(배관기본물량!$G118="",배관기본물량!$B118&lt;&gt;"설치"),"",배관기본물량!H118)</f>
        <v/>
      </c>
      <c r="C118" s="6" t="str">
        <f aca="false">IF(OR(배관기본물량!$G118="",배관기본물량!$B118&lt;&gt;"설치"),"",IF(배관기본물량!I118="","",배관기본물량!I118))</f>
        <v/>
      </c>
      <c r="D118" s="6" t="str">
        <f aca="false">IF(OR(배관기본물량!$G118="",배관기본물량!$B118&lt;&gt;"설치"),"",배관기본물량!F118&amp;"")</f>
        <v/>
      </c>
      <c r="E118" s="6" t="str">
        <f aca="false">IF(OR(배관기본물량!$G118="",배관기본물량!$B118&lt;&gt;"설치"),"",배관기본물량!K118&amp;"")</f>
        <v/>
      </c>
      <c r="F118" s="35" t="str">
        <f aca="false">IF(OR(배관기본물량!$G118="",배관기본물량!$B118&lt;&gt;"설치"),"",IF(배관기본물량!L118="","",배관기본물량!L118))</f>
        <v/>
      </c>
      <c r="G118" s="37" t="str">
        <f aca="false">IF(OR(배관기본물량!$G118="",배관기본물량!$B118&lt;&gt;"설치"),"",IF(배관기본물량!G118="PIPE",배관기본물량!M118,IF(배관기본물량!N118="","",배관기본물량!N118)))</f>
        <v/>
      </c>
      <c r="H118" s="35" t="str">
        <f aca="false">IF(OR(배관기본물량!$G118="",배관기본물량!$B118&lt;&gt;"설치"),"",IF(배관기본물량!G118="PIPE",N(배관기본물량!R118),N(배관기본물량!L118)))</f>
        <v/>
      </c>
      <c r="I118" s="54" t="str">
        <f aca="false">IF(OR(배관기본물량!$G118="",배관기본물량!$B118&lt;&gt;"설치"),"",배관기본물량!P118)</f>
        <v/>
      </c>
      <c r="J118" s="34" t="str">
        <f aca="false">IF(OR(배관기본물량!$G118="",배관기본물량!$B118&lt;&gt;"설치"),"",IF(배관기본물량!G118="PIPE",IF(AND(N(배관기본물량!I118)&gt;0,N(배관기본물량!I118)&gt;=배관기준!$AG$15),ROUNDUP(H118/배관기준!$AG$16,0)*배관기준!$AG$16,ROUNDUP(H118*(1+M118),0)),ROUND(H118*(1+M118),0)))</f>
        <v/>
      </c>
      <c r="K118" s="54" t="str">
        <f aca="false">IF(OR(배관기본물량!$G118="",배관기본물량!$B118&lt;&gt;"설치"),"",IF(N(H118)&gt;0,IF(ISNUMBER(G118),J118*G118,0),I118*(1+M118)))</f>
        <v/>
      </c>
      <c r="L118" s="16" t="str">
        <f aca="false">IF(OR(배관기본물량!$G118="",배관기본물량!$B118&lt;&gt;"설치"),"",IF(배관기본물량!V118&lt;&gt;"",배관기본물량!V118,IF(배관기본물량!G118="PIPE",IF(OR(LEFT(배관기본물량!F118,3)="STS",LEFT(배관기본물량!F118,3)="SUS"),"STS 강관",IF(N(배관기본물량!I118)&lt;=50,"강관(50A이하)","강관(50A초과)")),"배관 FITTING류(VALVE 外)")))</f>
        <v/>
      </c>
      <c r="M118" s="58" t="str">
        <f aca="false">IF(OR(배관기본물량!$G118="",배관기본물량!$B118&lt;&gt;"설치"),"",IFERROR(INDEX(제작기준!$B$5:$B$30,MATCH(L118,제작기준!$A$5:$A$30,0)),0))</f>
        <v/>
      </c>
      <c r="N118" s="6" t="str">
        <f aca="false">IF(OR(배관기본물량!$G118="",배관기본물량!$B118&lt;&gt;"설치"),"",배관기본물량!$AB118)</f>
        <v/>
      </c>
    </row>
    <row r="119" customFormat="false" ht="15" hidden="false" customHeight="true" outlineLevel="0" collapsed="false">
      <c r="A119" s="6" t="str">
        <f aca="false">IF(OR(배관기본물량!$G119="",배관기본물량!$B119&lt;&gt;"설치"),"",배관기본물량!A119)</f>
        <v/>
      </c>
      <c r="B119" s="16" t="str">
        <f aca="false">IF(OR(배관기본물량!$G119="",배관기본물량!$B119&lt;&gt;"설치"),"",배관기본물량!H119)</f>
        <v/>
      </c>
      <c r="C119" s="6" t="str">
        <f aca="false">IF(OR(배관기본물량!$G119="",배관기본물량!$B119&lt;&gt;"설치"),"",IF(배관기본물량!I119="","",배관기본물량!I119))</f>
        <v/>
      </c>
      <c r="D119" s="6" t="str">
        <f aca="false">IF(OR(배관기본물량!$G119="",배관기본물량!$B119&lt;&gt;"설치"),"",배관기본물량!F119&amp;"")</f>
        <v/>
      </c>
      <c r="E119" s="6" t="str">
        <f aca="false">IF(OR(배관기본물량!$G119="",배관기본물량!$B119&lt;&gt;"설치"),"",배관기본물량!K119&amp;"")</f>
        <v/>
      </c>
      <c r="F119" s="35" t="str">
        <f aca="false">IF(OR(배관기본물량!$G119="",배관기본물량!$B119&lt;&gt;"설치"),"",IF(배관기본물량!L119="","",배관기본물량!L119))</f>
        <v/>
      </c>
      <c r="G119" s="37" t="str">
        <f aca="false">IF(OR(배관기본물량!$G119="",배관기본물량!$B119&lt;&gt;"설치"),"",IF(배관기본물량!G119="PIPE",배관기본물량!M119,IF(배관기본물량!N119="","",배관기본물량!N119)))</f>
        <v/>
      </c>
      <c r="H119" s="35" t="str">
        <f aca="false">IF(OR(배관기본물량!$G119="",배관기본물량!$B119&lt;&gt;"설치"),"",IF(배관기본물량!G119="PIPE",N(배관기본물량!R119),N(배관기본물량!L119)))</f>
        <v/>
      </c>
      <c r="I119" s="54" t="str">
        <f aca="false">IF(OR(배관기본물량!$G119="",배관기본물량!$B119&lt;&gt;"설치"),"",배관기본물량!P119)</f>
        <v/>
      </c>
      <c r="J119" s="34" t="str">
        <f aca="false">IF(OR(배관기본물량!$G119="",배관기본물량!$B119&lt;&gt;"설치"),"",IF(배관기본물량!G119="PIPE",IF(AND(N(배관기본물량!I119)&gt;0,N(배관기본물량!I119)&gt;=배관기준!$AG$15),ROUNDUP(H119/배관기준!$AG$16,0)*배관기준!$AG$16,ROUNDUP(H119*(1+M119),0)),ROUND(H119*(1+M119),0)))</f>
        <v/>
      </c>
      <c r="K119" s="54" t="str">
        <f aca="false">IF(OR(배관기본물량!$G119="",배관기본물량!$B119&lt;&gt;"설치"),"",IF(N(H119)&gt;0,IF(ISNUMBER(G119),J119*G119,0),I119*(1+M119)))</f>
        <v/>
      </c>
      <c r="L119" s="16" t="str">
        <f aca="false">IF(OR(배관기본물량!$G119="",배관기본물량!$B119&lt;&gt;"설치"),"",IF(배관기본물량!V119&lt;&gt;"",배관기본물량!V119,IF(배관기본물량!G119="PIPE",IF(OR(LEFT(배관기본물량!F119,3)="STS",LEFT(배관기본물량!F119,3)="SUS"),"STS 강관",IF(N(배관기본물량!I119)&lt;=50,"강관(50A이하)","강관(50A초과)")),"배관 FITTING류(VALVE 外)")))</f>
        <v/>
      </c>
      <c r="M119" s="58" t="str">
        <f aca="false">IF(OR(배관기본물량!$G119="",배관기본물량!$B119&lt;&gt;"설치"),"",IFERROR(INDEX(제작기준!$B$5:$B$30,MATCH(L119,제작기준!$A$5:$A$30,0)),0))</f>
        <v/>
      </c>
      <c r="N119" s="6" t="str">
        <f aca="false">IF(OR(배관기본물량!$G119="",배관기본물량!$B119&lt;&gt;"설치"),"",배관기본물량!$AB119)</f>
        <v/>
      </c>
    </row>
    <row r="120" customFormat="false" ht="15" hidden="false" customHeight="true" outlineLevel="0" collapsed="false">
      <c r="A120" s="6" t="str">
        <f aca="false">IF(OR(배관기본물량!$G120="",배관기본물량!$B120&lt;&gt;"설치"),"",배관기본물량!A120)</f>
        <v/>
      </c>
      <c r="B120" s="16" t="str">
        <f aca="false">IF(OR(배관기본물량!$G120="",배관기본물량!$B120&lt;&gt;"설치"),"",배관기본물량!H120)</f>
        <v/>
      </c>
      <c r="C120" s="6" t="str">
        <f aca="false">IF(OR(배관기본물량!$G120="",배관기본물량!$B120&lt;&gt;"설치"),"",IF(배관기본물량!I120="","",배관기본물량!I120))</f>
        <v/>
      </c>
      <c r="D120" s="6" t="str">
        <f aca="false">IF(OR(배관기본물량!$G120="",배관기본물량!$B120&lt;&gt;"설치"),"",배관기본물량!F120&amp;"")</f>
        <v/>
      </c>
      <c r="E120" s="6" t="str">
        <f aca="false">IF(OR(배관기본물량!$G120="",배관기본물량!$B120&lt;&gt;"설치"),"",배관기본물량!K120&amp;"")</f>
        <v/>
      </c>
      <c r="F120" s="35" t="str">
        <f aca="false">IF(OR(배관기본물량!$G120="",배관기본물량!$B120&lt;&gt;"설치"),"",IF(배관기본물량!L120="","",배관기본물량!L120))</f>
        <v/>
      </c>
      <c r="G120" s="37" t="str">
        <f aca="false">IF(OR(배관기본물량!$G120="",배관기본물량!$B120&lt;&gt;"설치"),"",IF(배관기본물량!G120="PIPE",배관기본물량!M120,IF(배관기본물량!N120="","",배관기본물량!N120)))</f>
        <v/>
      </c>
      <c r="H120" s="35" t="str">
        <f aca="false">IF(OR(배관기본물량!$G120="",배관기본물량!$B120&lt;&gt;"설치"),"",IF(배관기본물량!G120="PIPE",N(배관기본물량!R120),N(배관기본물량!L120)))</f>
        <v/>
      </c>
      <c r="I120" s="54" t="str">
        <f aca="false">IF(OR(배관기본물량!$G120="",배관기본물량!$B120&lt;&gt;"설치"),"",배관기본물량!P120)</f>
        <v/>
      </c>
      <c r="J120" s="34" t="str">
        <f aca="false">IF(OR(배관기본물량!$G120="",배관기본물량!$B120&lt;&gt;"설치"),"",IF(배관기본물량!G120="PIPE",IF(AND(N(배관기본물량!I120)&gt;0,N(배관기본물량!I120)&gt;=배관기준!$AG$15),ROUNDUP(H120/배관기준!$AG$16,0)*배관기준!$AG$16,ROUNDUP(H120*(1+M120),0)),ROUND(H120*(1+M120),0)))</f>
        <v/>
      </c>
      <c r="K120" s="54" t="str">
        <f aca="false">IF(OR(배관기본물량!$G120="",배관기본물량!$B120&lt;&gt;"설치"),"",IF(N(H120)&gt;0,IF(ISNUMBER(G120),J120*G120,0),I120*(1+M120)))</f>
        <v/>
      </c>
      <c r="L120" s="16" t="str">
        <f aca="false">IF(OR(배관기본물량!$G120="",배관기본물량!$B120&lt;&gt;"설치"),"",IF(배관기본물량!V120&lt;&gt;"",배관기본물량!V120,IF(배관기본물량!G120="PIPE",IF(OR(LEFT(배관기본물량!F120,3)="STS",LEFT(배관기본물량!F120,3)="SUS"),"STS 강관",IF(N(배관기본물량!I120)&lt;=50,"강관(50A이하)","강관(50A초과)")),"배관 FITTING류(VALVE 外)")))</f>
        <v/>
      </c>
      <c r="M120" s="58" t="str">
        <f aca="false">IF(OR(배관기본물량!$G120="",배관기본물량!$B120&lt;&gt;"설치"),"",IFERROR(INDEX(제작기준!$B$5:$B$30,MATCH(L120,제작기준!$A$5:$A$30,0)),0))</f>
        <v/>
      </c>
      <c r="N120" s="6" t="str">
        <f aca="false">IF(OR(배관기본물량!$G120="",배관기본물량!$B120&lt;&gt;"설치"),"",배관기본물량!$AB120)</f>
        <v/>
      </c>
    </row>
    <row r="121" customFormat="false" ht="15" hidden="false" customHeight="true" outlineLevel="0" collapsed="false">
      <c r="A121" s="6" t="str">
        <f aca="false">IF(OR(배관기본물량!$G121="",배관기본물량!$B121&lt;&gt;"설치"),"",배관기본물량!A121)</f>
        <v/>
      </c>
      <c r="B121" s="16" t="str">
        <f aca="false">IF(OR(배관기본물량!$G121="",배관기본물량!$B121&lt;&gt;"설치"),"",배관기본물량!H121)</f>
        <v/>
      </c>
      <c r="C121" s="6" t="str">
        <f aca="false">IF(OR(배관기본물량!$G121="",배관기본물량!$B121&lt;&gt;"설치"),"",IF(배관기본물량!I121="","",배관기본물량!I121))</f>
        <v/>
      </c>
      <c r="D121" s="6" t="str">
        <f aca="false">IF(OR(배관기본물량!$G121="",배관기본물량!$B121&lt;&gt;"설치"),"",배관기본물량!F121&amp;"")</f>
        <v/>
      </c>
      <c r="E121" s="6" t="str">
        <f aca="false">IF(OR(배관기본물량!$G121="",배관기본물량!$B121&lt;&gt;"설치"),"",배관기본물량!K121&amp;"")</f>
        <v/>
      </c>
      <c r="F121" s="35" t="str">
        <f aca="false">IF(OR(배관기본물량!$G121="",배관기본물량!$B121&lt;&gt;"설치"),"",IF(배관기본물량!L121="","",배관기본물량!L121))</f>
        <v/>
      </c>
      <c r="G121" s="37" t="str">
        <f aca="false">IF(OR(배관기본물량!$G121="",배관기본물량!$B121&lt;&gt;"설치"),"",IF(배관기본물량!G121="PIPE",배관기본물량!M121,IF(배관기본물량!N121="","",배관기본물량!N121)))</f>
        <v/>
      </c>
      <c r="H121" s="35" t="str">
        <f aca="false">IF(OR(배관기본물량!$G121="",배관기본물량!$B121&lt;&gt;"설치"),"",IF(배관기본물량!G121="PIPE",N(배관기본물량!R121),N(배관기본물량!L121)))</f>
        <v/>
      </c>
      <c r="I121" s="54" t="str">
        <f aca="false">IF(OR(배관기본물량!$G121="",배관기본물량!$B121&lt;&gt;"설치"),"",배관기본물량!P121)</f>
        <v/>
      </c>
      <c r="J121" s="34" t="str">
        <f aca="false">IF(OR(배관기본물량!$G121="",배관기본물량!$B121&lt;&gt;"설치"),"",IF(배관기본물량!G121="PIPE",IF(AND(N(배관기본물량!I121)&gt;0,N(배관기본물량!I121)&gt;=배관기준!$AG$15),ROUNDUP(H121/배관기준!$AG$16,0)*배관기준!$AG$16,ROUNDUP(H121*(1+M121),0)),ROUND(H121*(1+M121),0)))</f>
        <v/>
      </c>
      <c r="K121" s="54" t="str">
        <f aca="false">IF(OR(배관기본물량!$G121="",배관기본물량!$B121&lt;&gt;"설치"),"",IF(N(H121)&gt;0,IF(ISNUMBER(G121),J121*G121,0),I121*(1+M121)))</f>
        <v/>
      </c>
      <c r="L121" s="16" t="str">
        <f aca="false">IF(OR(배관기본물량!$G121="",배관기본물량!$B121&lt;&gt;"설치"),"",IF(배관기본물량!V121&lt;&gt;"",배관기본물량!V121,IF(배관기본물량!G121="PIPE",IF(OR(LEFT(배관기본물량!F121,3)="STS",LEFT(배관기본물량!F121,3)="SUS"),"STS 강관",IF(N(배관기본물량!I121)&lt;=50,"강관(50A이하)","강관(50A초과)")),"배관 FITTING류(VALVE 外)")))</f>
        <v/>
      </c>
      <c r="M121" s="58" t="str">
        <f aca="false">IF(OR(배관기본물량!$G121="",배관기본물량!$B121&lt;&gt;"설치"),"",IFERROR(INDEX(제작기준!$B$5:$B$30,MATCH(L121,제작기준!$A$5:$A$30,0)),0))</f>
        <v/>
      </c>
      <c r="N121" s="6" t="str">
        <f aca="false">IF(OR(배관기본물량!$G121="",배관기본물량!$B121&lt;&gt;"설치"),"",배관기본물량!$AB121)</f>
        <v/>
      </c>
    </row>
    <row r="122" customFormat="false" ht="15" hidden="false" customHeight="true" outlineLevel="0" collapsed="false">
      <c r="A122" s="6" t="str">
        <f aca="false">IF(OR(배관기본물량!$G122="",배관기본물량!$B122&lt;&gt;"설치"),"",배관기본물량!A122)</f>
        <v/>
      </c>
      <c r="B122" s="16" t="str">
        <f aca="false">IF(OR(배관기본물량!$G122="",배관기본물량!$B122&lt;&gt;"설치"),"",배관기본물량!H122)</f>
        <v/>
      </c>
      <c r="C122" s="6" t="str">
        <f aca="false">IF(OR(배관기본물량!$G122="",배관기본물량!$B122&lt;&gt;"설치"),"",IF(배관기본물량!I122="","",배관기본물량!I122))</f>
        <v/>
      </c>
      <c r="D122" s="6" t="str">
        <f aca="false">IF(OR(배관기본물량!$G122="",배관기본물량!$B122&lt;&gt;"설치"),"",배관기본물량!F122&amp;"")</f>
        <v/>
      </c>
      <c r="E122" s="6" t="str">
        <f aca="false">IF(OR(배관기본물량!$G122="",배관기본물량!$B122&lt;&gt;"설치"),"",배관기본물량!K122&amp;"")</f>
        <v/>
      </c>
      <c r="F122" s="35" t="str">
        <f aca="false">IF(OR(배관기본물량!$G122="",배관기본물량!$B122&lt;&gt;"설치"),"",IF(배관기본물량!L122="","",배관기본물량!L122))</f>
        <v/>
      </c>
      <c r="G122" s="37" t="str">
        <f aca="false">IF(OR(배관기본물량!$G122="",배관기본물량!$B122&lt;&gt;"설치"),"",IF(배관기본물량!G122="PIPE",배관기본물량!M122,IF(배관기본물량!N122="","",배관기본물량!N122)))</f>
        <v/>
      </c>
      <c r="H122" s="35" t="str">
        <f aca="false">IF(OR(배관기본물량!$G122="",배관기본물량!$B122&lt;&gt;"설치"),"",IF(배관기본물량!G122="PIPE",N(배관기본물량!R122),N(배관기본물량!L122)))</f>
        <v/>
      </c>
      <c r="I122" s="54" t="str">
        <f aca="false">IF(OR(배관기본물량!$G122="",배관기본물량!$B122&lt;&gt;"설치"),"",배관기본물량!P122)</f>
        <v/>
      </c>
      <c r="J122" s="34" t="str">
        <f aca="false">IF(OR(배관기본물량!$G122="",배관기본물량!$B122&lt;&gt;"설치"),"",IF(배관기본물량!G122="PIPE",IF(AND(N(배관기본물량!I122)&gt;0,N(배관기본물량!I122)&gt;=배관기준!$AG$15),ROUNDUP(H122/배관기준!$AG$16,0)*배관기준!$AG$16,ROUNDUP(H122*(1+M122),0)),ROUND(H122*(1+M122),0)))</f>
        <v/>
      </c>
      <c r="K122" s="54" t="str">
        <f aca="false">IF(OR(배관기본물량!$G122="",배관기본물량!$B122&lt;&gt;"설치"),"",IF(N(H122)&gt;0,IF(ISNUMBER(G122),J122*G122,0),I122*(1+M122)))</f>
        <v/>
      </c>
      <c r="L122" s="16" t="str">
        <f aca="false">IF(OR(배관기본물량!$G122="",배관기본물량!$B122&lt;&gt;"설치"),"",IF(배관기본물량!V122&lt;&gt;"",배관기본물량!V122,IF(배관기본물량!G122="PIPE",IF(OR(LEFT(배관기본물량!F122,3)="STS",LEFT(배관기본물량!F122,3)="SUS"),"STS 강관",IF(N(배관기본물량!I122)&lt;=50,"강관(50A이하)","강관(50A초과)")),"배관 FITTING류(VALVE 外)")))</f>
        <v/>
      </c>
      <c r="M122" s="58" t="str">
        <f aca="false">IF(OR(배관기본물량!$G122="",배관기본물량!$B122&lt;&gt;"설치"),"",IFERROR(INDEX(제작기준!$B$5:$B$30,MATCH(L122,제작기준!$A$5:$A$30,0)),0))</f>
        <v/>
      </c>
      <c r="N122" s="6" t="str">
        <f aca="false">IF(OR(배관기본물량!$G122="",배관기본물량!$B122&lt;&gt;"설치"),"",배관기본물량!$AB122)</f>
        <v/>
      </c>
    </row>
    <row r="123" customFormat="false" ht="15" hidden="false" customHeight="true" outlineLevel="0" collapsed="false">
      <c r="A123" s="6" t="str">
        <f aca="false">IF(OR(배관기본물량!$G123="",배관기본물량!$B123&lt;&gt;"설치"),"",배관기본물량!A123)</f>
        <v/>
      </c>
      <c r="B123" s="16" t="str">
        <f aca="false">IF(OR(배관기본물량!$G123="",배관기본물량!$B123&lt;&gt;"설치"),"",배관기본물량!H123)</f>
        <v/>
      </c>
      <c r="C123" s="6" t="str">
        <f aca="false">IF(OR(배관기본물량!$G123="",배관기본물량!$B123&lt;&gt;"설치"),"",IF(배관기본물량!I123="","",배관기본물량!I123))</f>
        <v/>
      </c>
      <c r="D123" s="6" t="str">
        <f aca="false">IF(OR(배관기본물량!$G123="",배관기본물량!$B123&lt;&gt;"설치"),"",배관기본물량!F123&amp;"")</f>
        <v/>
      </c>
      <c r="E123" s="6" t="str">
        <f aca="false">IF(OR(배관기본물량!$G123="",배관기본물량!$B123&lt;&gt;"설치"),"",배관기본물량!K123&amp;"")</f>
        <v/>
      </c>
      <c r="F123" s="35" t="str">
        <f aca="false">IF(OR(배관기본물량!$G123="",배관기본물량!$B123&lt;&gt;"설치"),"",IF(배관기본물량!L123="","",배관기본물량!L123))</f>
        <v/>
      </c>
      <c r="G123" s="37" t="str">
        <f aca="false">IF(OR(배관기본물량!$G123="",배관기본물량!$B123&lt;&gt;"설치"),"",IF(배관기본물량!G123="PIPE",배관기본물량!M123,IF(배관기본물량!N123="","",배관기본물량!N123)))</f>
        <v/>
      </c>
      <c r="H123" s="35" t="str">
        <f aca="false">IF(OR(배관기본물량!$G123="",배관기본물량!$B123&lt;&gt;"설치"),"",IF(배관기본물량!G123="PIPE",N(배관기본물량!R123),N(배관기본물량!L123)))</f>
        <v/>
      </c>
      <c r="I123" s="54" t="str">
        <f aca="false">IF(OR(배관기본물량!$G123="",배관기본물량!$B123&lt;&gt;"설치"),"",배관기본물량!P123)</f>
        <v/>
      </c>
      <c r="J123" s="34" t="str">
        <f aca="false">IF(OR(배관기본물량!$G123="",배관기본물량!$B123&lt;&gt;"설치"),"",IF(배관기본물량!G123="PIPE",IF(AND(N(배관기본물량!I123)&gt;0,N(배관기본물량!I123)&gt;=배관기준!$AG$15),ROUNDUP(H123/배관기준!$AG$16,0)*배관기준!$AG$16,ROUNDUP(H123*(1+M123),0)),ROUND(H123*(1+M123),0)))</f>
        <v/>
      </c>
      <c r="K123" s="54" t="str">
        <f aca="false">IF(OR(배관기본물량!$G123="",배관기본물량!$B123&lt;&gt;"설치"),"",IF(N(H123)&gt;0,IF(ISNUMBER(G123),J123*G123,0),I123*(1+M123)))</f>
        <v/>
      </c>
      <c r="L123" s="16" t="str">
        <f aca="false">IF(OR(배관기본물량!$G123="",배관기본물량!$B123&lt;&gt;"설치"),"",IF(배관기본물량!V123&lt;&gt;"",배관기본물량!V123,IF(배관기본물량!G123="PIPE",IF(OR(LEFT(배관기본물량!F123,3)="STS",LEFT(배관기본물량!F123,3)="SUS"),"STS 강관",IF(N(배관기본물량!I123)&lt;=50,"강관(50A이하)","강관(50A초과)")),"배관 FITTING류(VALVE 外)")))</f>
        <v/>
      </c>
      <c r="M123" s="58" t="str">
        <f aca="false">IF(OR(배관기본물량!$G123="",배관기본물량!$B123&lt;&gt;"설치"),"",IFERROR(INDEX(제작기준!$B$5:$B$30,MATCH(L123,제작기준!$A$5:$A$30,0)),0))</f>
        <v/>
      </c>
      <c r="N123" s="6" t="str">
        <f aca="false">IF(OR(배관기본물량!$G123="",배관기본물량!$B123&lt;&gt;"설치"),"",배관기본물량!$AB123)</f>
        <v/>
      </c>
    </row>
    <row r="124" customFormat="false" ht="15" hidden="false" customHeight="true" outlineLevel="0" collapsed="false">
      <c r="A124" s="6" t="str">
        <f aca="false">IF(OR(배관기본물량!$G124="",배관기본물량!$B124&lt;&gt;"설치"),"",배관기본물량!A124)</f>
        <v/>
      </c>
      <c r="B124" s="16" t="str">
        <f aca="false">IF(OR(배관기본물량!$G124="",배관기본물량!$B124&lt;&gt;"설치"),"",배관기본물량!H124)</f>
        <v/>
      </c>
      <c r="C124" s="6" t="str">
        <f aca="false">IF(OR(배관기본물량!$G124="",배관기본물량!$B124&lt;&gt;"설치"),"",IF(배관기본물량!I124="","",배관기본물량!I124))</f>
        <v/>
      </c>
      <c r="D124" s="6" t="str">
        <f aca="false">IF(OR(배관기본물량!$G124="",배관기본물량!$B124&lt;&gt;"설치"),"",배관기본물량!F124&amp;"")</f>
        <v/>
      </c>
      <c r="E124" s="6" t="str">
        <f aca="false">IF(OR(배관기본물량!$G124="",배관기본물량!$B124&lt;&gt;"설치"),"",배관기본물량!K124&amp;"")</f>
        <v/>
      </c>
      <c r="F124" s="35" t="str">
        <f aca="false">IF(OR(배관기본물량!$G124="",배관기본물량!$B124&lt;&gt;"설치"),"",IF(배관기본물량!L124="","",배관기본물량!L124))</f>
        <v/>
      </c>
      <c r="G124" s="37" t="str">
        <f aca="false">IF(OR(배관기본물량!$G124="",배관기본물량!$B124&lt;&gt;"설치"),"",IF(배관기본물량!G124="PIPE",배관기본물량!M124,IF(배관기본물량!N124="","",배관기본물량!N124)))</f>
        <v/>
      </c>
      <c r="H124" s="35" t="str">
        <f aca="false">IF(OR(배관기본물량!$G124="",배관기본물량!$B124&lt;&gt;"설치"),"",IF(배관기본물량!G124="PIPE",N(배관기본물량!R124),N(배관기본물량!L124)))</f>
        <v/>
      </c>
      <c r="I124" s="54" t="str">
        <f aca="false">IF(OR(배관기본물량!$G124="",배관기본물량!$B124&lt;&gt;"설치"),"",배관기본물량!P124)</f>
        <v/>
      </c>
      <c r="J124" s="34" t="str">
        <f aca="false">IF(OR(배관기본물량!$G124="",배관기본물량!$B124&lt;&gt;"설치"),"",IF(배관기본물량!G124="PIPE",IF(AND(N(배관기본물량!I124)&gt;0,N(배관기본물량!I124)&gt;=배관기준!$AG$15),ROUNDUP(H124/배관기준!$AG$16,0)*배관기준!$AG$16,ROUNDUP(H124*(1+M124),0)),ROUND(H124*(1+M124),0)))</f>
        <v/>
      </c>
      <c r="K124" s="54" t="str">
        <f aca="false">IF(OR(배관기본물량!$G124="",배관기본물량!$B124&lt;&gt;"설치"),"",IF(N(H124)&gt;0,IF(ISNUMBER(G124),J124*G124,0),I124*(1+M124)))</f>
        <v/>
      </c>
      <c r="L124" s="16" t="str">
        <f aca="false">IF(OR(배관기본물량!$G124="",배관기본물량!$B124&lt;&gt;"설치"),"",IF(배관기본물량!V124&lt;&gt;"",배관기본물량!V124,IF(배관기본물량!G124="PIPE",IF(OR(LEFT(배관기본물량!F124,3)="STS",LEFT(배관기본물량!F124,3)="SUS"),"STS 강관",IF(N(배관기본물량!I124)&lt;=50,"강관(50A이하)","강관(50A초과)")),"배관 FITTING류(VALVE 外)")))</f>
        <v/>
      </c>
      <c r="M124" s="58" t="str">
        <f aca="false">IF(OR(배관기본물량!$G124="",배관기본물량!$B124&lt;&gt;"설치"),"",IFERROR(INDEX(제작기준!$B$5:$B$30,MATCH(L124,제작기준!$A$5:$A$30,0)),0))</f>
        <v/>
      </c>
      <c r="N124" s="6" t="str">
        <f aca="false">IF(OR(배관기본물량!$G124="",배관기본물량!$B124&lt;&gt;"설치"),"",배관기본물량!$AB124)</f>
        <v/>
      </c>
    </row>
    <row r="125" customFormat="false" ht="15" hidden="false" customHeight="true" outlineLevel="0" collapsed="false">
      <c r="A125" s="6" t="str">
        <f aca="false">IF(OR(배관기본물량!$G125="",배관기본물량!$B125&lt;&gt;"설치"),"",배관기본물량!A125)</f>
        <v/>
      </c>
      <c r="B125" s="16" t="str">
        <f aca="false">IF(OR(배관기본물량!$G125="",배관기본물량!$B125&lt;&gt;"설치"),"",배관기본물량!H125)</f>
        <v/>
      </c>
      <c r="C125" s="6" t="str">
        <f aca="false">IF(OR(배관기본물량!$G125="",배관기본물량!$B125&lt;&gt;"설치"),"",IF(배관기본물량!I125="","",배관기본물량!I125))</f>
        <v/>
      </c>
      <c r="D125" s="6" t="str">
        <f aca="false">IF(OR(배관기본물량!$G125="",배관기본물량!$B125&lt;&gt;"설치"),"",배관기본물량!F125&amp;"")</f>
        <v/>
      </c>
      <c r="E125" s="6" t="str">
        <f aca="false">IF(OR(배관기본물량!$G125="",배관기본물량!$B125&lt;&gt;"설치"),"",배관기본물량!K125&amp;"")</f>
        <v/>
      </c>
      <c r="F125" s="35" t="str">
        <f aca="false">IF(OR(배관기본물량!$G125="",배관기본물량!$B125&lt;&gt;"설치"),"",IF(배관기본물량!L125="","",배관기본물량!L125))</f>
        <v/>
      </c>
      <c r="G125" s="37" t="str">
        <f aca="false">IF(OR(배관기본물량!$G125="",배관기본물량!$B125&lt;&gt;"설치"),"",IF(배관기본물량!G125="PIPE",배관기본물량!M125,IF(배관기본물량!N125="","",배관기본물량!N125)))</f>
        <v/>
      </c>
      <c r="H125" s="35" t="str">
        <f aca="false">IF(OR(배관기본물량!$G125="",배관기본물량!$B125&lt;&gt;"설치"),"",IF(배관기본물량!G125="PIPE",N(배관기본물량!R125),N(배관기본물량!L125)))</f>
        <v/>
      </c>
      <c r="I125" s="54" t="str">
        <f aca="false">IF(OR(배관기본물량!$G125="",배관기본물량!$B125&lt;&gt;"설치"),"",배관기본물량!P125)</f>
        <v/>
      </c>
      <c r="J125" s="34" t="str">
        <f aca="false">IF(OR(배관기본물량!$G125="",배관기본물량!$B125&lt;&gt;"설치"),"",IF(배관기본물량!G125="PIPE",IF(AND(N(배관기본물량!I125)&gt;0,N(배관기본물량!I125)&gt;=배관기준!$AG$15),ROUNDUP(H125/배관기준!$AG$16,0)*배관기준!$AG$16,ROUNDUP(H125*(1+M125),0)),ROUND(H125*(1+M125),0)))</f>
        <v/>
      </c>
      <c r="K125" s="54" t="str">
        <f aca="false">IF(OR(배관기본물량!$G125="",배관기본물량!$B125&lt;&gt;"설치"),"",IF(N(H125)&gt;0,IF(ISNUMBER(G125),J125*G125,0),I125*(1+M125)))</f>
        <v/>
      </c>
      <c r="L125" s="16" t="str">
        <f aca="false">IF(OR(배관기본물량!$G125="",배관기본물량!$B125&lt;&gt;"설치"),"",IF(배관기본물량!V125&lt;&gt;"",배관기본물량!V125,IF(배관기본물량!G125="PIPE",IF(OR(LEFT(배관기본물량!F125,3)="STS",LEFT(배관기본물량!F125,3)="SUS"),"STS 강관",IF(N(배관기본물량!I125)&lt;=50,"강관(50A이하)","강관(50A초과)")),"배관 FITTING류(VALVE 外)")))</f>
        <v/>
      </c>
      <c r="M125" s="58" t="str">
        <f aca="false">IF(OR(배관기본물량!$G125="",배관기본물량!$B125&lt;&gt;"설치"),"",IFERROR(INDEX(제작기준!$B$5:$B$30,MATCH(L125,제작기준!$A$5:$A$30,0)),0))</f>
        <v/>
      </c>
      <c r="N125" s="6" t="str">
        <f aca="false">IF(OR(배관기본물량!$G125="",배관기본물량!$B125&lt;&gt;"설치"),"",배관기본물량!$AB125)</f>
        <v/>
      </c>
    </row>
    <row r="126" customFormat="false" ht="15" hidden="false" customHeight="true" outlineLevel="0" collapsed="false">
      <c r="A126" s="6" t="str">
        <f aca="false">IF(OR(배관기본물량!$G126="",배관기본물량!$B126&lt;&gt;"설치"),"",배관기본물량!A126)</f>
        <v/>
      </c>
      <c r="B126" s="16" t="str">
        <f aca="false">IF(OR(배관기본물량!$G126="",배관기본물량!$B126&lt;&gt;"설치"),"",배관기본물량!H126)</f>
        <v/>
      </c>
      <c r="C126" s="6" t="str">
        <f aca="false">IF(OR(배관기본물량!$G126="",배관기본물량!$B126&lt;&gt;"설치"),"",IF(배관기본물량!I126="","",배관기본물량!I126))</f>
        <v/>
      </c>
      <c r="D126" s="6" t="str">
        <f aca="false">IF(OR(배관기본물량!$G126="",배관기본물량!$B126&lt;&gt;"설치"),"",배관기본물량!F126&amp;"")</f>
        <v/>
      </c>
      <c r="E126" s="6" t="str">
        <f aca="false">IF(OR(배관기본물량!$G126="",배관기본물량!$B126&lt;&gt;"설치"),"",배관기본물량!K126&amp;"")</f>
        <v/>
      </c>
      <c r="F126" s="35" t="str">
        <f aca="false">IF(OR(배관기본물량!$G126="",배관기본물량!$B126&lt;&gt;"설치"),"",IF(배관기본물량!L126="","",배관기본물량!L126))</f>
        <v/>
      </c>
      <c r="G126" s="37" t="str">
        <f aca="false">IF(OR(배관기본물량!$G126="",배관기본물량!$B126&lt;&gt;"설치"),"",IF(배관기본물량!G126="PIPE",배관기본물량!M126,IF(배관기본물량!N126="","",배관기본물량!N126)))</f>
        <v/>
      </c>
      <c r="H126" s="35" t="str">
        <f aca="false">IF(OR(배관기본물량!$G126="",배관기본물량!$B126&lt;&gt;"설치"),"",IF(배관기본물량!G126="PIPE",N(배관기본물량!R126),N(배관기본물량!L126)))</f>
        <v/>
      </c>
      <c r="I126" s="54" t="str">
        <f aca="false">IF(OR(배관기본물량!$G126="",배관기본물량!$B126&lt;&gt;"설치"),"",배관기본물량!P126)</f>
        <v/>
      </c>
      <c r="J126" s="34" t="str">
        <f aca="false">IF(OR(배관기본물량!$G126="",배관기본물량!$B126&lt;&gt;"설치"),"",IF(배관기본물량!G126="PIPE",IF(AND(N(배관기본물량!I126)&gt;0,N(배관기본물량!I126)&gt;=배관기준!$AG$15),ROUNDUP(H126/배관기준!$AG$16,0)*배관기준!$AG$16,ROUNDUP(H126*(1+M126),0)),ROUND(H126*(1+M126),0)))</f>
        <v/>
      </c>
      <c r="K126" s="54" t="str">
        <f aca="false">IF(OR(배관기본물량!$G126="",배관기본물량!$B126&lt;&gt;"설치"),"",IF(N(H126)&gt;0,IF(ISNUMBER(G126),J126*G126,0),I126*(1+M126)))</f>
        <v/>
      </c>
      <c r="L126" s="16" t="str">
        <f aca="false">IF(OR(배관기본물량!$G126="",배관기본물량!$B126&lt;&gt;"설치"),"",IF(배관기본물량!V126&lt;&gt;"",배관기본물량!V126,IF(배관기본물량!G126="PIPE",IF(OR(LEFT(배관기본물량!F126,3)="STS",LEFT(배관기본물량!F126,3)="SUS"),"STS 강관",IF(N(배관기본물량!I126)&lt;=50,"강관(50A이하)","강관(50A초과)")),"배관 FITTING류(VALVE 外)")))</f>
        <v/>
      </c>
      <c r="M126" s="58" t="str">
        <f aca="false">IF(OR(배관기본물량!$G126="",배관기본물량!$B126&lt;&gt;"설치"),"",IFERROR(INDEX(제작기준!$B$5:$B$30,MATCH(L126,제작기준!$A$5:$A$30,0)),0))</f>
        <v/>
      </c>
      <c r="N126" s="6" t="str">
        <f aca="false">IF(OR(배관기본물량!$G126="",배관기본물량!$B126&lt;&gt;"설치"),"",배관기본물량!$AB126)</f>
        <v/>
      </c>
    </row>
    <row r="127" customFormat="false" ht="15" hidden="false" customHeight="true" outlineLevel="0" collapsed="false">
      <c r="A127" s="10"/>
      <c r="B127" s="10" t="s">
        <v>221</v>
      </c>
      <c r="C127" s="10"/>
      <c r="D127" s="10"/>
      <c r="E127" s="10"/>
      <c r="F127" s="10"/>
      <c r="G127" s="10"/>
      <c r="H127" s="10"/>
      <c r="I127" s="45" t="n">
        <f aca="false">SUM(I7:I126)</f>
        <v>5297.10721</v>
      </c>
      <c r="J127" s="10"/>
      <c r="K127" s="45" t="n">
        <f aca="false">SUM(K7:K126)</f>
        <v>5441.58</v>
      </c>
      <c r="L127" s="10"/>
      <c r="M127" s="10"/>
    </row>
    <row r="129" customFormat="false" ht="15" hidden="false" customHeight="true" outlineLevel="0" collapsed="false">
      <c r="A129" s="3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30"/>
    <col collapsed="false" customWidth="true" hidden="false" outlineLevel="0" max="8" min="7" style="1" width="7"/>
    <col collapsed="false" customWidth="true" hidden="false" outlineLevel="0" max="10" min="9" style="1" width="8"/>
    <col collapsed="false" customWidth="true" hidden="false" outlineLevel="0" max="11" min="11" style="1" width="9"/>
    <col collapsed="false" customWidth="true" hidden="false" outlineLevel="0" max="12" min="12" style="1" width="6"/>
    <col collapsed="false" customWidth="true" hidden="false" outlineLevel="0" max="16" min="13" style="1" width="9"/>
    <col collapsed="false" customWidth="true" hidden="false" outlineLevel="0" max="20" min="17" style="1" width="8"/>
    <col collapsed="false" customWidth="true" hidden="false" outlineLevel="0" max="22" min="21" style="1" width="13"/>
    <col collapsed="false" customWidth="true" hidden="false" outlineLevel="0" max="24" min="23" style="1" width="7"/>
    <col collapsed="false" customWidth="true" hidden="false" outlineLevel="0" max="25" min="25" style="1" width="52"/>
    <col collapsed="false" customWidth="true" hidden="false" outlineLevel="0" max="28" min="26" style="1" width="12"/>
    <col collapsed="false" customWidth="true" hidden="false" outlineLevel="0" max="31" min="29" style="1" width="9"/>
    <col collapsed="false" customWidth="true" hidden="false" outlineLevel="0" max="32" min="32" style="1" width="11"/>
    <col collapsed="false" customWidth="true" hidden="false" outlineLevel="0" max="34" min="33" style="1" width="9"/>
    <col collapsed="false" customWidth="true" hidden="false" outlineLevel="0" max="35" min="35" style="1" width="24"/>
    <col collapsed="false" customWidth="true" hidden="false" outlineLevel="0" max="36" min="36" style="1" width="30"/>
    <col collapsed="false" customWidth="true" hidden="false" outlineLevel="0" max="37" min="37" style="1" width="12"/>
    <col collapsed="false" customWidth="true" hidden="false" outlineLevel="0" max="38" min="38" style="1" width="14"/>
  </cols>
  <sheetData>
    <row r="1" customFormat="false" ht="30" hidden="false" customHeight="true" outlineLevel="0" collapsed="false">
      <c r="A1" s="71" t="s">
        <v>782</v>
      </c>
      <c r="AB1" s="4" t="s">
        <v>783</v>
      </c>
      <c r="AC1" s="4" t="s">
        <v>784</v>
      </c>
      <c r="AD1" s="31" t="s">
        <v>692</v>
      </c>
      <c r="AE1" s="4" t="s">
        <v>785</v>
      </c>
      <c r="AF1" s="31" t="s">
        <v>694</v>
      </c>
      <c r="AG1" s="31" t="s">
        <v>695</v>
      </c>
      <c r="AH1" s="31" t="s">
        <v>696</v>
      </c>
      <c r="AK1" s="4" t="s">
        <v>786</v>
      </c>
      <c r="AL1" s="4" t="s">
        <v>787</v>
      </c>
    </row>
    <row r="2" customFormat="false" ht="21.75" hidden="false" customHeight="true" outlineLevel="0" collapsed="false">
      <c r="A2" s="29" t="s">
        <v>788</v>
      </c>
      <c r="AB2" s="81" t="s">
        <v>789</v>
      </c>
      <c r="AC2" s="82" t="s">
        <v>790</v>
      </c>
      <c r="AD2" s="83" t="s">
        <v>791</v>
      </c>
      <c r="AE2" s="83" t="s">
        <v>792</v>
      </c>
      <c r="AF2" s="83" t="s">
        <v>791</v>
      </c>
      <c r="AG2" s="82" t="s">
        <v>790</v>
      </c>
      <c r="AH2" s="83" t="s">
        <v>793</v>
      </c>
      <c r="AK2" s="82" t="s">
        <v>794</v>
      </c>
      <c r="AL2" s="83" t="s">
        <v>146</v>
      </c>
    </row>
    <row r="3" customFormat="false" ht="15" hidden="false" customHeight="true" outlineLevel="0" collapsed="false">
      <c r="A3" s="3" t="s">
        <v>795</v>
      </c>
    </row>
    <row r="4" customFormat="false" ht="15" hidden="false" customHeight="true" outlineLevel="0" collapsed="false">
      <c r="AC4" s="84" t="s">
        <v>796</v>
      </c>
    </row>
    <row r="5" customFormat="false" ht="15" hidden="false" customHeight="true" outlineLevel="0" collapsed="false">
      <c r="AC5" s="72" t="s">
        <v>797</v>
      </c>
    </row>
    <row r="6" customFormat="false" ht="43.5" hidden="false" customHeight="true" outlineLevel="0" collapsed="false">
      <c r="A6" s="31" t="s">
        <v>117</v>
      </c>
      <c r="B6" s="4" t="s">
        <v>192</v>
      </c>
      <c r="C6" s="4" t="s">
        <v>675</v>
      </c>
      <c r="D6" s="4" t="s">
        <v>677</v>
      </c>
      <c r="E6" s="4" t="s">
        <v>225</v>
      </c>
      <c r="F6" s="4" t="s">
        <v>798</v>
      </c>
      <c r="G6" s="4" t="s">
        <v>680</v>
      </c>
      <c r="H6" s="31" t="s">
        <v>681</v>
      </c>
      <c r="I6" s="4" t="s">
        <v>799</v>
      </c>
      <c r="J6" s="4" t="s">
        <v>800</v>
      </c>
      <c r="K6" s="4" t="s">
        <v>801</v>
      </c>
      <c r="L6" s="4" t="s">
        <v>5</v>
      </c>
      <c r="M6" s="31" t="s">
        <v>802</v>
      </c>
      <c r="N6" s="31" t="s">
        <v>803</v>
      </c>
      <c r="O6" s="31" t="s">
        <v>804</v>
      </c>
      <c r="P6" s="31" t="s">
        <v>805</v>
      </c>
      <c r="Q6" s="31" t="s">
        <v>806</v>
      </c>
      <c r="R6" s="31" t="s">
        <v>807</v>
      </c>
      <c r="S6" s="31" t="s">
        <v>808</v>
      </c>
      <c r="T6" s="31" t="s">
        <v>809</v>
      </c>
      <c r="U6" s="31" t="s">
        <v>810</v>
      </c>
      <c r="V6" s="31" t="s">
        <v>811</v>
      </c>
      <c r="W6" s="31" t="s">
        <v>812</v>
      </c>
      <c r="X6" s="31" t="s">
        <v>310</v>
      </c>
      <c r="Y6" s="4" t="s">
        <v>302</v>
      </c>
      <c r="Z6" s="4" t="s">
        <v>813</v>
      </c>
      <c r="AA6" s="4" t="s">
        <v>814</v>
      </c>
      <c r="AB6" s="4" t="s">
        <v>815</v>
      </c>
      <c r="AC6" s="4" t="s">
        <v>784</v>
      </c>
      <c r="AD6" s="31" t="s">
        <v>692</v>
      </c>
      <c r="AE6" s="4" t="s">
        <v>785</v>
      </c>
      <c r="AF6" s="31" t="s">
        <v>694</v>
      </c>
      <c r="AG6" s="31" t="s">
        <v>695</v>
      </c>
      <c r="AH6" s="31" t="s">
        <v>696</v>
      </c>
      <c r="AI6" s="4" t="s">
        <v>816</v>
      </c>
      <c r="AJ6" s="31" t="s">
        <v>697</v>
      </c>
    </row>
    <row r="7" customFormat="false" ht="15" hidden="false" customHeight="true" outlineLevel="0" collapsed="false">
      <c r="A7" s="6" t="n">
        <v>1</v>
      </c>
      <c r="B7" s="20" t="s">
        <v>142</v>
      </c>
      <c r="C7" s="20" t="s">
        <v>702</v>
      </c>
      <c r="D7" s="19" t="s">
        <v>704</v>
      </c>
      <c r="E7" s="19" t="s">
        <v>705</v>
      </c>
      <c r="F7" s="20" t="s">
        <v>817</v>
      </c>
      <c r="G7" s="19" t="n">
        <v>15</v>
      </c>
      <c r="H7" s="19" t="s">
        <v>706</v>
      </c>
      <c r="I7" s="19" t="s">
        <v>818</v>
      </c>
      <c r="J7" s="6" t="str">
        <f aca="false">IF($C7="","",IF($C7="매설","매설",""))</f>
        <v/>
      </c>
      <c r="K7" s="19"/>
      <c r="L7" s="6" t="str">
        <f aca="false">IF($C7="","","TON")</f>
        <v>TON</v>
      </c>
      <c r="M7" s="38" t="n">
        <f aca="false">IF($C7="","",IF($B7="철거",IF(SUMIFS(배관기본물량!$P$7:$P$126,배관기본물량!$B$7:$B$126,"철거",배관기본물량!$C$7:$C$126,$C7,배관기본물량!$E$7:$E$126,$D7,배관기본물량!$U$7:$U$126,$E7,배관기본물량!$I$7:$I$126,$G7,배관기본물량!$Q$7:$Q$126,"P")=0,SUMIFS(배관기본물량!$P$7:$P$126,배관기본물량!$B$7:$B$126,"설치",배관기본물량!$C$7:$C$126,$C7,배관기본물량!$E$7:$E$126,$D7,배관기본물량!$U$7:$U$126,$E7,배관기본물량!$I$7:$I$126,$G7,배관기본물량!$Q$7:$Q$126,"P"),SUMIFS(배관기본물량!$P$7:$P$126,배관기본물량!$B$7:$B$126,"철거",배관기본물량!$C$7:$C$126,$C7,배관기본물량!$E$7:$E$126,$D7,배관기본물량!$U$7:$U$126,$E7,배관기본물량!$I$7:$I$126,$G7,배관기본물량!$Q$7:$Q$126,"P")),SUMIFS(배관기본물량!$P$7:$P$126,배관기본물량!$B$7:$B$126,$B7,배관기본물량!$C$7:$C$126,$C7,배관기본물량!$E$7:$E$126,$D7,배관기본물량!$U$7:$U$126,$E7,배관기본물량!$I$7:$I$126,$G7,배관기본물량!$Q$7:$Q$126,"P"))/1000)</f>
        <v>0.00240647</v>
      </c>
      <c r="N7" s="38" t="n">
        <f aca="false">IF($C7="","",IF($B7="철거",IF(SUMIFS(배관기본물량!$P$7:$P$126,배관기본물량!$B$7:$B$126,"철거",배관기본물량!$C$7:$C$126,$C7,배관기본물량!$E$7:$E$126,$D7,배관기본물량!$U$7:$U$126,$E7,배관기본물량!$I$7:$I$126,$G7,배관기본물량!$Q$7:$Q$126,"F")=0,SUMIFS(배관기본물량!$P$7:$P$126,배관기본물량!$B$7:$B$126,"설치",배관기본물량!$C$7:$C$126,$C7,배관기본물량!$E$7:$E$126,$D7,배관기본물량!$U$7:$U$126,$E7,배관기본물량!$I$7:$I$126,$G7,배관기본물량!$Q$7:$Q$126,"F"),SUMIFS(배관기본물량!$P$7:$P$126,배관기본물량!$B$7:$B$126,"철거",배관기본물량!$C$7:$C$126,$C7,배관기본물량!$E$7:$E$126,$D7,배관기본물량!$U$7:$U$126,$E7,배관기본물량!$I$7:$I$126,$G7,배관기본물량!$Q$7:$Q$126,"F")),SUMIFS(배관기본물량!$P$7:$P$126,배관기본물량!$B$7:$B$126,$B7,배관기본물량!$C$7:$C$126,$C7,배관기본물량!$E$7:$E$126,$D7,배관기본물량!$U$7:$U$126,$E7,배관기본물량!$I$7:$I$126,$G7,배관기본물량!$Q$7:$Q$126,"F"))/1000)</f>
        <v>0.0128</v>
      </c>
      <c r="O7" s="38" t="n">
        <f aca="false">IF($C7="","",M7+N7)</f>
        <v>0.01520647</v>
      </c>
      <c r="P7" s="38" t="str">
        <f aca="false">IF(OR($C7="",N(O7)=0),"",IF(OR($C7="매설",$G7&lt;배관기준!$AG$5),"",ROUND(N7/O7-배관기준!$AG$6,3)))</f>
        <v/>
      </c>
      <c r="Q7" s="85" t="str">
        <f aca="false">IF($C7="기계실",0.5,"")</f>
        <v/>
      </c>
      <c r="R7" s="85" t="str">
        <f aca="false">IF($C7="매설",-0.3,"")</f>
        <v/>
      </c>
      <c r="S7" s="38" t="str">
        <f aca="false">IF(AND(ISNUMBER($AA7),ISNUMBER($AB7)),ROUND($AB7/$AA7-1,3),IF(OR($C7="",$H7="",$H7=IF($I7="W6311","SPP","SCH40")),"",IFERROR(ROUND(INDEX(배관단중표!$B$7:$W$41,MATCH($G7,배관단중표!$A$7:$A$41,0),MATCH(IF($H7="SPP","SPP",IF(LEFT($E7,3)="STS",IF(ISNUMBER(SEARCH("316",$E7)),"STS316","STS304"),"SPPS")&amp;"|"&amp;$H7),배관단중표!$B$6:$W$6,0))/INDEX(배관단중표!$B$7:$W$41,MATCH($G7,배관단중표!$A$7:$A$41,0),MATCH(IF(IF($I7="W6311","SPP","SCH40")="SPP","SPP",IF(LEFT($E7,3)="STS",IF(ISNUMBER(SEARCH("316",$E7)),"STS316","STS304"),"SPPS")&amp;"|"&amp;IF($I7="W6311","SPP","SCH40")),배관단중표!$B$6:$W$6,0))-1,3),"확인")))</f>
        <v/>
      </c>
      <c r="T7" s="38" t="str">
        <f aca="false">IF(OR($C7="",$F7="",$F7="탄소강"),"",IFERROR(IF(INDEX(배관기준!$I$5:$V$14,MATCH($F7,배관기준!$H$5:$H$14,0),MIN(14,COUNTIF(배관기준!$I$4:$V$4,"&lt;"&amp;$G7)+1))=0,"확인",INDEX(배관기준!$I$5:$V$14,MATCH($F7,배관기준!$H$5:$H$14,0),MIN(14,COUNTIF(배관기준!$I$4:$V$4,"&lt;"&amp;$G7)+1))/100),"확인"))</f>
        <v/>
      </c>
      <c r="U7" s="6" t="str">
        <f aca="false">IF(AND($C7&lt;&gt;"",$D7="5kg/cm2미만",$K7=""),"DL010465001","")</f>
        <v/>
      </c>
      <c r="V7" s="6" t="str">
        <f aca="false">IF(U7="","","DL010265001")</f>
        <v/>
      </c>
      <c r="W7" s="85" t="str">
        <f aca="false">IF($B7="철거",배관기준!$AG$11,"")</f>
        <v/>
      </c>
      <c r="X7" s="37" t="n">
        <f aca="false">IF($C7="","",배관기준!$AG$12)</f>
        <v>0.15</v>
      </c>
      <c r="Y7" s="16" t="str">
        <f aca="false">IF($C7="","",IF(P7&lt;&gt;"","A01="&amp;P7&amp;", ","")&amp;IF(Q7&lt;&gt;"","A02="&amp;Q7&amp;", ","")&amp;IF(R7&lt;&gt;"","A03="&amp;R7&amp;", ","")&amp;IF(S7&lt;&gt;"","A05="&amp;S7&amp;", ","")&amp;IF(T7&lt;&gt;"","F01="&amp;T7&amp;", ","")&amp;IF(W7&lt;&gt;"","B01="&amp;W7&amp;", ","")&amp;"C04="&amp;X7&amp;", "&amp;IF(U7&lt;&gt;"","R03="&amp;U7&amp;", R04="&amp;V7&amp;", ",""))</f>
        <v>C04=0.15, </v>
      </c>
      <c r="Z7" s="6" t="str">
        <f aca="false">IF($G7="","",IFERROR(I7&amp;VALUE(IF(I7="W6311",INDEX(배관기준!$AB$5:$AB$28,MATCH($G7,배관기준!$AA$5:$AA$28,0)),INDEX(배관기준!$AC$5:$AC$28,MATCH($G7,배관기준!$AA$5:$AA$28,0)))),"확인"))</f>
        <v>W6312104</v>
      </c>
      <c r="AA7" s="40"/>
      <c r="AB7" s="40"/>
      <c r="AC7" s="86" t="str">
        <f aca="false">IF($C7="","",IF(AC$2&lt;&gt;"자동",AC$2,IF(OR($C7="매설",$AL$2="N"),"×",IF($C7="옥외",IF($G7&lt;=IF($AK$2="포항",250,200),"○","×"),IF($C7="옥내",IF($G7&lt;=80,"○","×"),"×")))))</f>
        <v>○</v>
      </c>
      <c r="AD7" s="86" t="str">
        <f aca="false">IF($C7="","",AD$2)</f>
        <v>○</v>
      </c>
      <c r="AE7" s="86" t="str">
        <f aca="false">IF($C7="","",AE$2)</f>
        <v>×</v>
      </c>
      <c r="AF7" s="86" t="str">
        <f aca="false">IF($C7="","",AF$2)</f>
        <v>○</v>
      </c>
      <c r="AG7" s="86" t="str">
        <f aca="false">IF($C7="","",IF(AG$2&lt;&gt;"자동",AG$2,IF(OR($AC7="○",$C7="매설",LEFT($E7,3)="STS",LEFT($E7,3)="SUS"),"×","○")))</f>
        <v>×</v>
      </c>
      <c r="AH7" s="86" t="str">
        <f aca="false">IF($C7="","",AH$2)</f>
        <v>C/C</v>
      </c>
      <c r="AI7" s="87" t="str">
        <f aca="false">IF(AND($AC7="○",$AG7="○",배관기준!$AG$17="Y"),"보온·도장 중복→도장 제외","")</f>
        <v/>
      </c>
      <c r="AJ7" s="75" t="str">
        <f aca="false">IF($C7="","",$B7&amp;"|"&amp;$C7&amp;"|"&amp;$D7&amp;"|"&amp;$E7&amp;"|"&amp;$G7)</f>
        <v>설치|옥외|5kg/cm2이상|STPG370S|15</v>
      </c>
    </row>
    <row r="8" customFormat="false" ht="15" hidden="false" customHeight="true" outlineLevel="0" collapsed="false">
      <c r="A8" s="6" t="n">
        <v>2</v>
      </c>
      <c r="B8" s="20" t="s">
        <v>142</v>
      </c>
      <c r="C8" s="20" t="s">
        <v>702</v>
      </c>
      <c r="D8" s="19" t="s">
        <v>704</v>
      </c>
      <c r="E8" s="19" t="s">
        <v>705</v>
      </c>
      <c r="F8" s="20" t="s">
        <v>817</v>
      </c>
      <c r="G8" s="19" t="n">
        <v>50</v>
      </c>
      <c r="H8" s="19" t="s">
        <v>706</v>
      </c>
      <c r="I8" s="19" t="s">
        <v>818</v>
      </c>
      <c r="J8" s="6" t="str">
        <f aca="false">IF($C8="","",IF($C8="매설","매설",""))</f>
        <v/>
      </c>
      <c r="K8" s="19"/>
      <c r="L8" s="6" t="str">
        <f aca="false">IF($C8="","","TON")</f>
        <v>TON</v>
      </c>
      <c r="M8" s="38" t="n">
        <f aca="false">IF($C8="","",IF($B8="철거",IF(SUMIFS(배관기본물량!$P$7:$P$126,배관기본물량!$B$7:$B$126,"철거",배관기본물량!$C$7:$C$126,$C8,배관기본물량!$E$7:$E$126,$D8,배관기본물량!$U$7:$U$126,$E8,배관기본물량!$I$7:$I$126,$G8,배관기본물량!$Q$7:$Q$126,"P")=0,SUMIFS(배관기본물량!$P$7:$P$126,배관기본물량!$B$7:$B$126,"설치",배관기본물량!$C$7:$C$126,$C8,배관기본물량!$E$7:$E$126,$D8,배관기본물량!$U$7:$U$126,$E8,배관기본물량!$I$7:$I$126,$G8,배관기본물량!$Q$7:$Q$126,"P"),SUMIFS(배관기본물량!$P$7:$P$126,배관기본물량!$B$7:$B$126,"철거",배관기본물량!$C$7:$C$126,$C8,배관기본물량!$E$7:$E$126,$D8,배관기본물량!$U$7:$U$126,$E8,배관기본물량!$I$7:$I$126,$G8,배관기본물량!$Q$7:$Q$126,"P")),SUMIFS(배관기본물량!$P$7:$P$126,배관기본물량!$B$7:$B$126,$B8,배관기본물량!$C$7:$C$126,$C8,배관기본물량!$E$7:$E$126,$D8,배관기본물량!$U$7:$U$126,$E8,배관기본물량!$I$7:$I$126,$G8,배관기본물량!$Q$7:$Q$126,"P"))/1000)</f>
        <v>0.09605952</v>
      </c>
      <c r="N8" s="38" t="n">
        <f aca="false">IF($C8="","",IF($B8="철거",IF(SUMIFS(배관기본물량!$P$7:$P$126,배관기본물량!$B$7:$B$126,"철거",배관기본물량!$C$7:$C$126,$C8,배관기본물량!$E$7:$E$126,$D8,배관기본물량!$U$7:$U$126,$E8,배관기본물량!$I$7:$I$126,$G8,배관기본물량!$Q$7:$Q$126,"F")=0,SUMIFS(배관기본물량!$P$7:$P$126,배관기본물량!$B$7:$B$126,"설치",배관기본물량!$C$7:$C$126,$C8,배관기본물량!$E$7:$E$126,$D8,배관기본물량!$U$7:$U$126,$E8,배관기본물량!$I$7:$I$126,$G8,배관기본물량!$Q$7:$Q$126,"F"),SUMIFS(배관기본물량!$P$7:$P$126,배관기본물량!$B$7:$B$126,"철거",배관기본물량!$C$7:$C$126,$C8,배관기본물량!$E$7:$E$126,$D8,배관기본물량!$U$7:$U$126,$E8,배관기본물량!$I$7:$I$126,$G8,배관기본물량!$Q$7:$Q$126,"F")),SUMIFS(배관기본물량!$P$7:$P$126,배관기본물량!$B$7:$B$126,$B8,배관기본물량!$C$7:$C$126,$C8,배관기본물량!$E$7:$E$126,$D8,배관기본물량!$U$7:$U$126,$E8,배관기본물량!$I$7:$I$126,$G8,배관기본물량!$Q$7:$Q$126,"F"))/1000)</f>
        <v>0.1003</v>
      </c>
      <c r="O8" s="38" t="n">
        <f aca="false">IF($C8="","",M8+N8)</f>
        <v>0.19635952</v>
      </c>
      <c r="P8" s="38" t="n">
        <f aca="false">IF(OR($C8="",N(O8)=0),"",IF(OR($C8="매설",$G8&lt;배관기준!$AG$5),"",ROUND(N8/O8-배관기준!$AG$6,3)))</f>
        <v>0.211</v>
      </c>
      <c r="Q8" s="85" t="str">
        <f aca="false">IF($C8="기계실",0.5,"")</f>
        <v/>
      </c>
      <c r="R8" s="85" t="str">
        <f aca="false">IF($C8="매설",-0.3,"")</f>
        <v/>
      </c>
      <c r="S8" s="38" t="str">
        <f aca="false">IF(AND(ISNUMBER($AA8),ISNUMBER($AB8)),ROUND($AB8/$AA8-1,3),IF(OR($C8="",$H8="",$H8=IF($I8="W6311","SPP","SCH40")),"",IFERROR(ROUND(INDEX(배관단중표!$B$7:$W$41,MATCH($G8,배관단중표!$A$7:$A$41,0),MATCH(IF($H8="SPP","SPP",IF(LEFT($E8,3)="STS",IF(ISNUMBER(SEARCH("316",$E8)),"STS316","STS304"),"SPPS")&amp;"|"&amp;$H8),배관단중표!$B$6:$W$6,0))/INDEX(배관단중표!$B$7:$W$41,MATCH($G8,배관단중표!$A$7:$A$41,0),MATCH(IF(IF($I8="W6311","SPP","SCH40")="SPP","SPP",IF(LEFT($E8,3)="STS",IF(ISNUMBER(SEARCH("316",$E8)),"STS316","STS304"),"SPPS")&amp;"|"&amp;IF($I8="W6311","SPP","SCH40")),배관단중표!$B$6:$W$6,0))-1,3),"확인")))</f>
        <v/>
      </c>
      <c r="T8" s="38" t="str">
        <f aca="false">IF(OR($C8="",$F8="",$F8="탄소강"),"",IFERROR(IF(INDEX(배관기준!$I$5:$V$14,MATCH($F8,배관기준!$H$5:$H$14,0),MIN(14,COUNTIF(배관기준!$I$4:$V$4,"&lt;"&amp;$G8)+1))=0,"확인",INDEX(배관기준!$I$5:$V$14,MATCH($F8,배관기준!$H$5:$H$14,0),MIN(14,COUNTIF(배관기준!$I$4:$V$4,"&lt;"&amp;$G8)+1))/100),"확인"))</f>
        <v/>
      </c>
      <c r="U8" s="6" t="str">
        <f aca="false">IF(AND($C8&lt;&gt;"",$D8="5kg/cm2미만",$K8=""),"DL010465001","")</f>
        <v/>
      </c>
      <c r="V8" s="6" t="str">
        <f aca="false">IF(U8="","","DL010265001")</f>
        <v/>
      </c>
      <c r="W8" s="85" t="str">
        <f aca="false">IF($B8="철거",배관기준!$AG$11,"")</f>
        <v/>
      </c>
      <c r="X8" s="37" t="n">
        <f aca="false">IF($C8="","",배관기준!$AG$12)</f>
        <v>0.15</v>
      </c>
      <c r="Y8" s="16" t="str">
        <f aca="false">IF($C8="","",IF(P8&lt;&gt;"","A01="&amp;P8&amp;", ","")&amp;IF(Q8&lt;&gt;"","A02="&amp;Q8&amp;", ","")&amp;IF(R8&lt;&gt;"","A03="&amp;R8&amp;", ","")&amp;IF(S8&lt;&gt;"","A05="&amp;S8&amp;", ","")&amp;IF(T8&lt;&gt;"","F01="&amp;T8&amp;", ","")&amp;IF(W8&lt;&gt;"","B01="&amp;W8&amp;", ","")&amp;"C04="&amp;X8&amp;", "&amp;IF(U8&lt;&gt;"","R03="&amp;U8&amp;", R04="&amp;V8&amp;", ",""))</f>
        <v>A01=0.211, C04=0.15, </v>
      </c>
      <c r="Z8" s="6" t="str">
        <f aca="false">IF($G8="","",IFERROR(I8&amp;VALUE(IF(I8="W6311",INDEX(배관기준!$AB$5:$AB$28,MATCH($G8,배관기준!$AA$5:$AA$28,0)),INDEX(배관기준!$AC$5:$AC$28,MATCH($G8,배관기준!$AA$5:$AA$28,0)))),"확인"))</f>
        <v>W6312109</v>
      </c>
      <c r="AA8" s="40"/>
      <c r="AB8" s="40"/>
      <c r="AC8" s="86" t="str">
        <f aca="false">IF($C8="","",IF(AC$2&lt;&gt;"자동",AC$2,IF(OR($C8="매설",$AL$2="N"),"×",IF($C8="옥외",IF($G8&lt;=IF($AK$2="포항",250,200),"○","×"),IF($C8="옥내",IF($G8&lt;=80,"○","×"),"×")))))</f>
        <v>○</v>
      </c>
      <c r="AD8" s="86" t="str">
        <f aca="false">IF($C8="","",AD$2)</f>
        <v>○</v>
      </c>
      <c r="AE8" s="86" t="str">
        <f aca="false">IF($C8="","",AE$2)</f>
        <v>×</v>
      </c>
      <c r="AF8" s="86" t="str">
        <f aca="false">IF($C8="","",AF$2)</f>
        <v>○</v>
      </c>
      <c r="AG8" s="86" t="str">
        <f aca="false">IF($C8="","",IF(AG$2&lt;&gt;"자동",AG$2,IF(OR($AC8="○",$C8="매설",LEFT($E8,3)="STS",LEFT($E8,3)="SUS"),"×","○")))</f>
        <v>×</v>
      </c>
      <c r="AH8" s="86" t="str">
        <f aca="false">IF($C8="","",AH$2)</f>
        <v>C/C</v>
      </c>
      <c r="AI8" s="87" t="str">
        <f aca="false">IF(AND($AC8="○",$AG8="○",배관기준!$AG$17="Y"),"보온·도장 중복→도장 제외","")</f>
        <v/>
      </c>
      <c r="AJ8" s="75" t="str">
        <f aca="false">IF($C8="","",$B8&amp;"|"&amp;$C8&amp;"|"&amp;$D8&amp;"|"&amp;$E8&amp;"|"&amp;$G8)</f>
        <v>설치|옥외|5kg/cm2이상|STPG370S|50</v>
      </c>
    </row>
    <row r="9" customFormat="false" ht="15" hidden="false" customHeight="true" outlineLevel="0" collapsed="false">
      <c r="A9" s="6" t="n">
        <v>3</v>
      </c>
      <c r="B9" s="20" t="s">
        <v>142</v>
      </c>
      <c r="C9" s="20" t="s">
        <v>702</v>
      </c>
      <c r="D9" s="19" t="s">
        <v>704</v>
      </c>
      <c r="E9" s="19" t="s">
        <v>705</v>
      </c>
      <c r="F9" s="20" t="s">
        <v>817</v>
      </c>
      <c r="G9" s="19" t="n">
        <v>80</v>
      </c>
      <c r="H9" s="19" t="s">
        <v>706</v>
      </c>
      <c r="I9" s="19" t="s">
        <v>818</v>
      </c>
      <c r="J9" s="6" t="str">
        <f aca="false">IF($C9="","",IF($C9="매설","매설",""))</f>
        <v/>
      </c>
      <c r="K9" s="19"/>
      <c r="L9" s="6" t="str">
        <f aca="false">IF($C9="","","TON")</f>
        <v>TON</v>
      </c>
      <c r="M9" s="38" t="n">
        <f aca="false">IF($C9="","",IF($B9="철거",IF(SUMIFS(배관기본물량!$P$7:$P$126,배관기본물량!$B$7:$B$126,"철거",배관기본물량!$C$7:$C$126,$C9,배관기본물량!$E$7:$E$126,$D9,배관기본물량!$U$7:$U$126,$E9,배관기본물량!$I$7:$I$126,$G9,배관기본물량!$Q$7:$Q$126,"P")=0,SUMIFS(배관기본물량!$P$7:$P$126,배관기본물량!$B$7:$B$126,"설치",배관기본물량!$C$7:$C$126,$C9,배관기본물량!$E$7:$E$126,$D9,배관기본물량!$U$7:$U$126,$E9,배관기본물량!$I$7:$I$126,$G9,배관기본물량!$Q$7:$Q$126,"P"),SUMIFS(배관기본물량!$P$7:$P$126,배관기본물량!$B$7:$B$126,"철거",배관기본물량!$C$7:$C$126,$C9,배관기본물량!$E$7:$E$126,$D9,배관기본물량!$U$7:$U$126,$E9,배관기본물량!$I$7:$I$126,$G9,배관기본물량!$Q$7:$Q$126,"P")),SUMIFS(배관기본물량!$P$7:$P$126,배관기본물량!$B$7:$B$126,$B9,배관기본물량!$C$7:$C$126,$C9,배관기본물량!$E$7:$E$126,$D9,배관기본물량!$U$7:$U$126,$E9,배관기본물량!$I$7:$I$126,$G9,배관기본물량!$Q$7:$Q$126,"P"))/1000)</f>
        <v>0.069834</v>
      </c>
      <c r="N9" s="38" t="n">
        <f aca="false">IF($C9="","",IF($B9="철거",IF(SUMIFS(배관기본물량!$P$7:$P$126,배관기본물량!$B$7:$B$126,"철거",배관기본물량!$C$7:$C$126,$C9,배관기본물량!$E$7:$E$126,$D9,배관기본물량!$U$7:$U$126,$E9,배관기본물량!$I$7:$I$126,$G9,배관기본물량!$Q$7:$Q$126,"F")=0,SUMIFS(배관기본물량!$P$7:$P$126,배관기본물량!$B$7:$B$126,"설치",배관기본물량!$C$7:$C$126,$C9,배관기본물량!$E$7:$E$126,$D9,배관기본물량!$U$7:$U$126,$E9,배관기본물량!$I$7:$I$126,$G9,배관기본물량!$Q$7:$Q$126,"F"),SUMIFS(배관기본물량!$P$7:$P$126,배관기본물량!$B$7:$B$126,"철거",배관기본물량!$C$7:$C$126,$C9,배관기본물량!$E$7:$E$126,$D9,배관기본물량!$U$7:$U$126,$E9,배관기본물량!$I$7:$I$126,$G9,배관기본물량!$Q$7:$Q$126,"F")),SUMIFS(배관기본물량!$P$7:$P$126,배관기본물량!$B$7:$B$126,$B9,배관기본물량!$C$7:$C$126,$C9,배관기본물량!$E$7:$E$126,$D9,배관기본물량!$U$7:$U$126,$E9,배관기본물량!$I$7:$I$126,$G9,배관기본물량!$Q$7:$Q$126,"F"))/1000)</f>
        <v>0.104</v>
      </c>
      <c r="O9" s="38" t="n">
        <f aca="false">IF($C9="","",M9+N9)</f>
        <v>0.173834</v>
      </c>
      <c r="P9" s="38" t="n">
        <f aca="false">IF(OR($C9="",N(O9)=0),"",IF(OR($C9="매설",$G9&lt;배관기준!$AG$5),"",ROUND(N9/O9-배관기준!$AG$6,3)))</f>
        <v>0.298</v>
      </c>
      <c r="Q9" s="85" t="str">
        <f aca="false">IF($C9="기계실",0.5,"")</f>
        <v/>
      </c>
      <c r="R9" s="85" t="str">
        <f aca="false">IF($C9="매설",-0.3,"")</f>
        <v/>
      </c>
      <c r="S9" s="38" t="str">
        <f aca="false">IF(AND(ISNUMBER($AA9),ISNUMBER($AB9)),ROUND($AB9/$AA9-1,3),IF(OR($C9="",$H9="",$H9=IF($I9="W6311","SPP","SCH40")),"",IFERROR(ROUND(INDEX(배관단중표!$B$7:$W$41,MATCH($G9,배관단중표!$A$7:$A$41,0),MATCH(IF($H9="SPP","SPP",IF(LEFT($E9,3)="STS",IF(ISNUMBER(SEARCH("316",$E9)),"STS316","STS304"),"SPPS")&amp;"|"&amp;$H9),배관단중표!$B$6:$W$6,0))/INDEX(배관단중표!$B$7:$W$41,MATCH($G9,배관단중표!$A$7:$A$41,0),MATCH(IF(IF($I9="W6311","SPP","SCH40")="SPP","SPP",IF(LEFT($E9,3)="STS",IF(ISNUMBER(SEARCH("316",$E9)),"STS316","STS304"),"SPPS")&amp;"|"&amp;IF($I9="W6311","SPP","SCH40")),배관단중표!$B$6:$W$6,0))-1,3),"확인")))</f>
        <v/>
      </c>
      <c r="T9" s="38" t="str">
        <f aca="false">IF(OR($C9="",$F9="",$F9="탄소강"),"",IFERROR(IF(INDEX(배관기준!$I$5:$V$14,MATCH($F9,배관기준!$H$5:$H$14,0),MIN(14,COUNTIF(배관기준!$I$4:$V$4,"&lt;"&amp;$G9)+1))=0,"확인",INDEX(배관기준!$I$5:$V$14,MATCH($F9,배관기준!$H$5:$H$14,0),MIN(14,COUNTIF(배관기준!$I$4:$V$4,"&lt;"&amp;$G9)+1))/100),"확인"))</f>
        <v/>
      </c>
      <c r="U9" s="6" t="str">
        <f aca="false">IF(AND($C9&lt;&gt;"",$D9="5kg/cm2미만",$K9=""),"DL010465001","")</f>
        <v/>
      </c>
      <c r="V9" s="6" t="str">
        <f aca="false">IF(U9="","","DL010265001")</f>
        <v/>
      </c>
      <c r="W9" s="85" t="str">
        <f aca="false">IF($B9="철거",배관기준!$AG$11,"")</f>
        <v/>
      </c>
      <c r="X9" s="37" t="n">
        <f aca="false">IF($C9="","",배관기준!$AG$12)</f>
        <v>0.15</v>
      </c>
      <c r="Y9" s="16" t="str">
        <f aca="false">IF($C9="","",IF(P9&lt;&gt;"","A01="&amp;P9&amp;", ","")&amp;IF(Q9&lt;&gt;"","A02="&amp;Q9&amp;", ","")&amp;IF(R9&lt;&gt;"","A03="&amp;R9&amp;", ","")&amp;IF(S9&lt;&gt;"","A05="&amp;S9&amp;", ","")&amp;IF(T9&lt;&gt;"","F01="&amp;T9&amp;", ","")&amp;IF(W9&lt;&gt;"","B01="&amp;W9&amp;", ","")&amp;"C04="&amp;X9&amp;", "&amp;IF(U9&lt;&gt;"","R03="&amp;U9&amp;", R04="&amp;V9&amp;", ",""))</f>
        <v>A01=0.298, C04=0.15, </v>
      </c>
      <c r="Z9" s="6" t="str">
        <f aca="false">IF($G9="","",IFERROR(I9&amp;VALUE(IF(I9="W6311",INDEX(배관기준!$AB$5:$AB$28,MATCH($G9,배관기준!$AA$5:$AA$28,0)),INDEX(배관기준!$AC$5:$AC$28,MATCH($G9,배관기준!$AA$5:$AA$28,0)))),"확인"))</f>
        <v>W6312111</v>
      </c>
      <c r="AA9" s="40"/>
      <c r="AB9" s="40"/>
      <c r="AC9" s="86" t="str">
        <f aca="false">IF($C9="","",IF(AC$2&lt;&gt;"자동",AC$2,IF(OR($C9="매설",$AL$2="N"),"×",IF($C9="옥외",IF($G9&lt;=IF($AK$2="포항",250,200),"○","×"),IF($C9="옥내",IF($G9&lt;=80,"○","×"),"×")))))</f>
        <v>○</v>
      </c>
      <c r="AD9" s="86" t="str">
        <f aca="false">IF($C9="","",AD$2)</f>
        <v>○</v>
      </c>
      <c r="AE9" s="86" t="str">
        <f aca="false">IF($C9="","",AE$2)</f>
        <v>×</v>
      </c>
      <c r="AF9" s="86" t="str">
        <f aca="false">IF($C9="","",AF$2)</f>
        <v>○</v>
      </c>
      <c r="AG9" s="86" t="str">
        <f aca="false">IF($C9="","",IF(AG$2&lt;&gt;"자동",AG$2,IF(OR($AC9="○",$C9="매설",LEFT($E9,3)="STS",LEFT($E9,3)="SUS"),"×","○")))</f>
        <v>×</v>
      </c>
      <c r="AH9" s="86" t="str">
        <f aca="false">IF($C9="","",AH$2)</f>
        <v>C/C</v>
      </c>
      <c r="AI9" s="87" t="str">
        <f aca="false">IF(AND($AC9="○",$AG9="○",배관기준!$AG$17="Y"),"보온·도장 중복→도장 제외","")</f>
        <v/>
      </c>
      <c r="AJ9" s="75" t="str">
        <f aca="false">IF($C9="","",$B9&amp;"|"&amp;$C9&amp;"|"&amp;$D9&amp;"|"&amp;$E9&amp;"|"&amp;$G9)</f>
        <v>설치|옥외|5kg/cm2이상|STPG370S|80</v>
      </c>
    </row>
    <row r="10" customFormat="false" ht="15" hidden="false" customHeight="true" outlineLevel="0" collapsed="false">
      <c r="A10" s="6" t="n">
        <v>4</v>
      </c>
      <c r="B10" s="20" t="s">
        <v>142</v>
      </c>
      <c r="C10" s="20" t="s">
        <v>702</v>
      </c>
      <c r="D10" s="19" t="s">
        <v>704</v>
      </c>
      <c r="E10" s="19" t="s">
        <v>705</v>
      </c>
      <c r="F10" s="20" t="s">
        <v>817</v>
      </c>
      <c r="G10" s="19" t="n">
        <v>150</v>
      </c>
      <c r="H10" s="19" t="s">
        <v>706</v>
      </c>
      <c r="I10" s="19" t="s">
        <v>818</v>
      </c>
      <c r="J10" s="6" t="str">
        <f aca="false">IF($C10="","",IF($C10="매설","매설",""))</f>
        <v/>
      </c>
      <c r="K10" s="19"/>
      <c r="L10" s="6" t="str">
        <f aca="false">IF($C10="","","TON")</f>
        <v>TON</v>
      </c>
      <c r="M10" s="38" t="n">
        <f aca="false">IF($C10="","",IF($B10="철거",IF(SUMIFS(배관기본물량!$P$7:$P$126,배관기본물량!$B$7:$B$126,"철거",배관기본물량!$C$7:$C$126,$C10,배관기본물량!$E$7:$E$126,$D10,배관기본물량!$U$7:$U$126,$E10,배관기본물량!$I$7:$I$126,$G10,배관기본물량!$Q$7:$Q$126,"P")=0,SUMIFS(배관기본물량!$P$7:$P$126,배관기본물량!$B$7:$B$126,"설치",배관기본물량!$C$7:$C$126,$C10,배관기본물량!$E$7:$E$126,$D10,배관기본물량!$U$7:$U$126,$E10,배관기본물량!$I$7:$I$126,$G10,배관기본물량!$Q$7:$Q$126,"P"),SUMIFS(배관기본물량!$P$7:$P$126,배관기본물량!$B$7:$B$126,"철거",배관기본물량!$C$7:$C$126,$C10,배관기본물량!$E$7:$E$126,$D10,배관기본물량!$U$7:$U$126,$E10,배관기본물량!$I$7:$I$126,$G10,배관기본물량!$Q$7:$Q$126,"P")),SUMIFS(배관기본물량!$P$7:$P$126,배관기본물량!$B$7:$B$126,$B10,배관기본물량!$C$7:$C$126,$C10,배관기본물량!$E$7:$E$126,$D10,배관기본물량!$U$7:$U$126,$E10,배관기본물량!$I$7:$I$126,$G10,배관기본물량!$Q$7:$Q$126,"P"))/1000)</f>
        <v>0.5734177</v>
      </c>
      <c r="N10" s="38" t="n">
        <f aca="false">IF($C10="","",IF($B10="철거",IF(SUMIFS(배관기본물량!$P$7:$P$126,배관기본물량!$B$7:$B$126,"철거",배관기본물량!$C$7:$C$126,$C10,배관기본물량!$E$7:$E$126,$D10,배관기본물량!$U$7:$U$126,$E10,배관기본물량!$I$7:$I$126,$G10,배관기본물량!$Q$7:$Q$126,"F")=0,SUMIFS(배관기본물량!$P$7:$P$126,배관기본물량!$B$7:$B$126,"설치",배관기본물량!$C$7:$C$126,$C10,배관기본물량!$E$7:$E$126,$D10,배관기본물량!$U$7:$U$126,$E10,배관기본물량!$I$7:$I$126,$G10,배관기본물량!$Q$7:$Q$126,"F"),SUMIFS(배관기본물량!$P$7:$P$126,배관기본물량!$B$7:$B$126,"철거",배관기본물량!$C$7:$C$126,$C10,배관기본물량!$E$7:$E$126,$D10,배관기본물량!$U$7:$U$126,$E10,배관기본물량!$I$7:$I$126,$G10,배관기본물량!$Q$7:$Q$126,"F")),SUMIFS(배관기본물량!$P$7:$P$126,배관기본물량!$B$7:$B$126,$B10,배관기본물량!$C$7:$C$126,$C10,배관기본물량!$E$7:$E$126,$D10,배관기본물량!$U$7:$U$126,$E10,배관기본물량!$I$7:$I$126,$G10,배관기본물량!$Q$7:$Q$126,"F"))/1000)</f>
        <v>0.41</v>
      </c>
      <c r="O10" s="38" t="n">
        <f aca="false">IF($C10="","",M10+N10)</f>
        <v>0.9834177</v>
      </c>
      <c r="P10" s="38" t="n">
        <f aca="false">IF(OR($C10="",N(O10)=0),"",IF(OR($C10="매설",$G10&lt;배관기준!$AG$5),"",ROUND(N10/O10-배관기준!$AG$6,3)))</f>
        <v>0.117</v>
      </c>
      <c r="Q10" s="85" t="str">
        <f aca="false">IF($C10="기계실",0.5,"")</f>
        <v/>
      </c>
      <c r="R10" s="85" t="str">
        <f aca="false">IF($C10="매설",-0.3,"")</f>
        <v/>
      </c>
      <c r="S10" s="38" t="str">
        <f aca="false">IF(AND(ISNUMBER($AA10),ISNUMBER($AB10)),ROUND($AB10/$AA10-1,3),IF(OR($C10="",$H10="",$H10=IF($I10="W6311","SPP","SCH40")),"",IFERROR(ROUND(INDEX(배관단중표!$B$7:$W$41,MATCH($G10,배관단중표!$A$7:$A$41,0),MATCH(IF($H10="SPP","SPP",IF(LEFT($E10,3)="STS",IF(ISNUMBER(SEARCH("316",$E10)),"STS316","STS304"),"SPPS")&amp;"|"&amp;$H10),배관단중표!$B$6:$W$6,0))/INDEX(배관단중표!$B$7:$W$41,MATCH($G10,배관단중표!$A$7:$A$41,0),MATCH(IF(IF($I10="W6311","SPP","SCH40")="SPP","SPP",IF(LEFT($E10,3)="STS",IF(ISNUMBER(SEARCH("316",$E10)),"STS316","STS304"),"SPPS")&amp;"|"&amp;IF($I10="W6311","SPP","SCH40")),배관단중표!$B$6:$W$6,0))-1,3),"확인")))</f>
        <v/>
      </c>
      <c r="T10" s="38" t="str">
        <f aca="false">IF(OR($C10="",$F10="",$F10="탄소강"),"",IFERROR(IF(INDEX(배관기준!$I$5:$V$14,MATCH($F10,배관기준!$H$5:$H$14,0),MIN(14,COUNTIF(배관기준!$I$4:$V$4,"&lt;"&amp;$G10)+1))=0,"확인",INDEX(배관기준!$I$5:$V$14,MATCH($F10,배관기준!$H$5:$H$14,0),MIN(14,COUNTIF(배관기준!$I$4:$V$4,"&lt;"&amp;$G10)+1))/100),"확인"))</f>
        <v/>
      </c>
      <c r="U10" s="6" t="str">
        <f aca="false">IF(AND($C10&lt;&gt;"",$D10="5kg/cm2미만",$K10=""),"DL010465001","")</f>
        <v/>
      </c>
      <c r="V10" s="6" t="str">
        <f aca="false">IF(U10="","","DL010265001")</f>
        <v/>
      </c>
      <c r="W10" s="85" t="str">
        <f aca="false">IF($B10="철거",배관기준!$AG$11,"")</f>
        <v/>
      </c>
      <c r="X10" s="37" t="n">
        <f aca="false">IF($C10="","",배관기준!$AG$12)</f>
        <v>0.15</v>
      </c>
      <c r="Y10" s="16" t="str">
        <f aca="false">IF($C10="","",IF(P10&lt;&gt;"","A01="&amp;P10&amp;", ","")&amp;IF(Q10&lt;&gt;"","A02="&amp;Q10&amp;", ","")&amp;IF(R10&lt;&gt;"","A03="&amp;R10&amp;", ","")&amp;IF(S10&lt;&gt;"","A05="&amp;S10&amp;", ","")&amp;IF(T10&lt;&gt;"","F01="&amp;T10&amp;", ","")&amp;IF(W10&lt;&gt;"","B01="&amp;W10&amp;", ","")&amp;"C04="&amp;X10&amp;", "&amp;IF(U10&lt;&gt;"","R03="&amp;U10&amp;", R04="&amp;V10&amp;", ",""))</f>
        <v>A01=0.117, C04=0.15, </v>
      </c>
      <c r="Z10" s="6" t="str">
        <f aca="false">IF($G10="","",IFERROR(I10&amp;VALUE(IF(I10="W6311",INDEX(배관기준!$AB$5:$AB$28,MATCH($G10,배관기준!$AA$5:$AA$28,0)),INDEX(배관기준!$AC$5:$AC$28,MATCH($G10,배관기준!$AA$5:$AA$28,0)))),"확인"))</f>
        <v>W6312115</v>
      </c>
      <c r="AA10" s="40"/>
      <c r="AB10" s="40"/>
      <c r="AC10" s="86" t="str">
        <f aca="false">IF($C10="","",IF(AC$2&lt;&gt;"자동",AC$2,IF(OR($C10="매설",$AL$2="N"),"×",IF($C10="옥외",IF($G10&lt;=IF($AK$2="포항",250,200),"○","×"),IF($C10="옥내",IF($G10&lt;=80,"○","×"),"×")))))</f>
        <v>○</v>
      </c>
      <c r="AD10" s="86" t="str">
        <f aca="false">IF($C10="","",AD$2)</f>
        <v>○</v>
      </c>
      <c r="AE10" s="86" t="str">
        <f aca="false">IF($C10="","",AE$2)</f>
        <v>×</v>
      </c>
      <c r="AF10" s="86" t="str">
        <f aca="false">IF($C10="","",AF$2)</f>
        <v>○</v>
      </c>
      <c r="AG10" s="86" t="str">
        <f aca="false">IF($C10="","",IF(AG$2&lt;&gt;"자동",AG$2,IF(OR($AC10="○",$C10="매설",LEFT($E10,3)="STS",LEFT($E10,3)="SUS"),"×","○")))</f>
        <v>×</v>
      </c>
      <c r="AH10" s="86" t="str">
        <f aca="false">IF($C10="","",AH$2)</f>
        <v>C/C</v>
      </c>
      <c r="AI10" s="87" t="str">
        <f aca="false">IF(AND($AC10="○",$AG10="○",배관기준!$AG$17="Y"),"보온·도장 중복→도장 제외","")</f>
        <v/>
      </c>
      <c r="AJ10" s="75" t="str">
        <f aca="false">IF($C10="","",$B10&amp;"|"&amp;$C10&amp;"|"&amp;$D10&amp;"|"&amp;$E10&amp;"|"&amp;$G10)</f>
        <v>설치|옥외|5kg/cm2이상|STPG370S|150</v>
      </c>
    </row>
    <row r="11" customFormat="false" ht="15" hidden="false" customHeight="true" outlineLevel="0" collapsed="false">
      <c r="A11" s="6" t="n">
        <v>5</v>
      </c>
      <c r="B11" s="20" t="s">
        <v>142</v>
      </c>
      <c r="C11" s="20" t="s">
        <v>702</v>
      </c>
      <c r="D11" s="19" t="s">
        <v>704</v>
      </c>
      <c r="E11" s="19" t="s">
        <v>705</v>
      </c>
      <c r="F11" s="20" t="s">
        <v>817</v>
      </c>
      <c r="G11" s="19" t="n">
        <v>200</v>
      </c>
      <c r="H11" s="19" t="s">
        <v>706</v>
      </c>
      <c r="I11" s="19" t="s">
        <v>818</v>
      </c>
      <c r="J11" s="6" t="str">
        <f aca="false">IF($C11="","",IF($C11="매설","매설",""))</f>
        <v/>
      </c>
      <c r="K11" s="19"/>
      <c r="L11" s="6" t="str">
        <f aca="false">IF($C11="","","TON")</f>
        <v>TON</v>
      </c>
      <c r="M11" s="38" t="n">
        <f aca="false">IF($C11="","",IF($B11="철거",IF(SUMIFS(배관기본물량!$P$7:$P$126,배관기본물량!$B$7:$B$126,"철거",배관기본물량!$C$7:$C$126,$C11,배관기본물량!$E$7:$E$126,$D11,배관기본물량!$U$7:$U$126,$E11,배관기본물량!$I$7:$I$126,$G11,배관기본물량!$Q$7:$Q$126,"P")=0,SUMIFS(배관기본물량!$P$7:$P$126,배관기본물량!$B$7:$B$126,"설치",배관기본물량!$C$7:$C$126,$C11,배관기본물량!$E$7:$E$126,$D11,배관기본물량!$U$7:$U$126,$E11,배관기본물량!$I$7:$I$126,$G11,배관기본물량!$Q$7:$Q$126,"P"),SUMIFS(배관기본물량!$P$7:$P$126,배관기본물량!$B$7:$B$126,"철거",배관기본물량!$C$7:$C$126,$C11,배관기본물량!$E$7:$E$126,$D11,배관기본물량!$U$7:$U$126,$E11,배관기본물량!$I$7:$I$126,$G11,배관기본물량!$Q$7:$Q$126,"P")),SUMIFS(배관기본물량!$P$7:$P$126,배관기본물량!$B$7:$B$126,$B11,배관기본물량!$C$7:$C$126,$C11,배관기본물량!$E$7:$E$126,$D11,배관기본물량!$U$7:$U$126,$E11,배관기본물량!$I$7:$I$126,$G11,배관기본물량!$Q$7:$Q$126,"P"))/1000)</f>
        <v>0.38370782</v>
      </c>
      <c r="N11" s="38" t="n">
        <f aca="false">IF($C11="","",IF($B11="철거",IF(SUMIFS(배관기본물량!$P$7:$P$126,배관기본물량!$B$7:$B$126,"철거",배관기본물량!$C$7:$C$126,$C11,배관기본물량!$E$7:$E$126,$D11,배관기본물량!$U$7:$U$126,$E11,배관기본물량!$I$7:$I$126,$G11,배관기본물량!$Q$7:$Q$126,"F")=0,SUMIFS(배관기본물량!$P$7:$P$126,배관기본물량!$B$7:$B$126,"설치",배관기본물량!$C$7:$C$126,$C11,배관기본물량!$E$7:$E$126,$D11,배관기본물량!$U$7:$U$126,$E11,배관기본물량!$I$7:$I$126,$G11,배관기본물량!$Q$7:$Q$126,"F"),SUMIFS(배관기본물량!$P$7:$P$126,배관기본물량!$B$7:$B$126,"철거",배관기본물량!$C$7:$C$126,$C11,배관기본물량!$E$7:$E$126,$D11,배관기본물량!$U$7:$U$126,$E11,배관기본물량!$I$7:$I$126,$G11,배관기본물량!$Q$7:$Q$126,"F")),SUMIFS(배관기본물량!$P$7:$P$126,배관기본물량!$B$7:$B$126,$B11,배관기본물량!$C$7:$C$126,$C11,배관기본물량!$E$7:$E$126,$D11,배관기본물량!$U$7:$U$126,$E11,배관기본물량!$I$7:$I$126,$G11,배관기본물량!$Q$7:$Q$126,"F"))/1000)</f>
        <v>0.7994</v>
      </c>
      <c r="O11" s="38" t="n">
        <f aca="false">IF($C11="","",M11+N11)</f>
        <v>1.18310782</v>
      </c>
      <c r="P11" s="38" t="n">
        <f aca="false">IF(OR($C11="",N(O11)=0),"",IF(OR($C11="매설",$G11&lt;배관기준!$AG$5),"",ROUND(N11/O11-배관기준!$AG$6,3)))</f>
        <v>0.376</v>
      </c>
      <c r="Q11" s="85" t="str">
        <f aca="false">IF($C11="기계실",0.5,"")</f>
        <v/>
      </c>
      <c r="R11" s="85" t="str">
        <f aca="false">IF($C11="매설",-0.3,"")</f>
        <v/>
      </c>
      <c r="S11" s="38" t="str">
        <f aca="false">IF(AND(ISNUMBER($AA11),ISNUMBER($AB11)),ROUND($AB11/$AA11-1,3),IF(OR($C11="",$H11="",$H11=IF($I11="W6311","SPP","SCH40")),"",IFERROR(ROUND(INDEX(배관단중표!$B$7:$W$41,MATCH($G11,배관단중표!$A$7:$A$41,0),MATCH(IF($H11="SPP","SPP",IF(LEFT($E11,3)="STS",IF(ISNUMBER(SEARCH("316",$E11)),"STS316","STS304"),"SPPS")&amp;"|"&amp;$H11),배관단중표!$B$6:$W$6,0))/INDEX(배관단중표!$B$7:$W$41,MATCH($G11,배관단중표!$A$7:$A$41,0),MATCH(IF(IF($I11="W6311","SPP","SCH40")="SPP","SPP",IF(LEFT($E11,3)="STS",IF(ISNUMBER(SEARCH("316",$E11)),"STS316","STS304"),"SPPS")&amp;"|"&amp;IF($I11="W6311","SPP","SCH40")),배관단중표!$B$6:$W$6,0))-1,3),"확인")))</f>
        <v/>
      </c>
      <c r="T11" s="38" t="str">
        <f aca="false">IF(OR($C11="",$F11="",$F11="탄소강"),"",IFERROR(IF(INDEX(배관기준!$I$5:$V$14,MATCH($F11,배관기준!$H$5:$H$14,0),MIN(14,COUNTIF(배관기준!$I$4:$V$4,"&lt;"&amp;$G11)+1))=0,"확인",INDEX(배관기준!$I$5:$V$14,MATCH($F11,배관기준!$H$5:$H$14,0),MIN(14,COUNTIF(배관기준!$I$4:$V$4,"&lt;"&amp;$G11)+1))/100),"확인"))</f>
        <v/>
      </c>
      <c r="U11" s="6" t="str">
        <f aca="false">IF(AND($C11&lt;&gt;"",$D11="5kg/cm2미만",$K11=""),"DL010465001","")</f>
        <v/>
      </c>
      <c r="V11" s="6" t="str">
        <f aca="false">IF(U11="","","DL010265001")</f>
        <v/>
      </c>
      <c r="W11" s="85" t="str">
        <f aca="false">IF($B11="철거",배관기준!$AG$11,"")</f>
        <v/>
      </c>
      <c r="X11" s="37" t="n">
        <f aca="false">IF($C11="","",배관기준!$AG$12)</f>
        <v>0.15</v>
      </c>
      <c r="Y11" s="16" t="str">
        <f aca="false">IF($C11="","",IF(P11&lt;&gt;"","A01="&amp;P11&amp;", ","")&amp;IF(Q11&lt;&gt;"","A02="&amp;Q11&amp;", ","")&amp;IF(R11&lt;&gt;"","A03="&amp;R11&amp;", ","")&amp;IF(S11&lt;&gt;"","A05="&amp;S11&amp;", ","")&amp;IF(T11&lt;&gt;"","F01="&amp;T11&amp;", ","")&amp;IF(W11&lt;&gt;"","B01="&amp;W11&amp;", ","")&amp;"C04="&amp;X11&amp;", "&amp;IF(U11&lt;&gt;"","R03="&amp;U11&amp;", R04="&amp;V11&amp;", ",""))</f>
        <v>A01=0.376, C04=0.15, </v>
      </c>
      <c r="Z11" s="6" t="str">
        <f aca="false">IF($G11="","",IFERROR(I11&amp;VALUE(IF(I11="W6311",INDEX(배관기준!$AB$5:$AB$28,MATCH($G11,배관기준!$AA$5:$AA$28,0)),INDEX(배관기준!$AC$5:$AC$28,MATCH($G11,배관기준!$AA$5:$AA$28,0)))),"확인"))</f>
        <v>W6312116</v>
      </c>
      <c r="AA11" s="40"/>
      <c r="AB11" s="40"/>
      <c r="AC11" s="86" t="str">
        <f aca="false">IF($C11="","",IF(AC$2&lt;&gt;"자동",AC$2,IF(OR($C11="매설",$AL$2="N"),"×",IF($C11="옥외",IF($G11&lt;=IF($AK$2="포항",250,200),"○","×"),IF($C11="옥내",IF($G11&lt;=80,"○","×"),"×")))))</f>
        <v>○</v>
      </c>
      <c r="AD11" s="86" t="str">
        <f aca="false">IF($C11="","",AD$2)</f>
        <v>○</v>
      </c>
      <c r="AE11" s="86" t="str">
        <f aca="false">IF($C11="","",AE$2)</f>
        <v>×</v>
      </c>
      <c r="AF11" s="86" t="str">
        <f aca="false">IF($C11="","",AF$2)</f>
        <v>○</v>
      </c>
      <c r="AG11" s="86" t="str">
        <f aca="false">IF($C11="","",IF(AG$2&lt;&gt;"자동",AG$2,IF(OR($AC11="○",$C11="매설",LEFT($E11,3)="STS",LEFT($E11,3)="SUS"),"×","○")))</f>
        <v>×</v>
      </c>
      <c r="AH11" s="86" t="str">
        <f aca="false">IF($C11="","",AH$2)</f>
        <v>C/C</v>
      </c>
      <c r="AI11" s="87" t="str">
        <f aca="false">IF(AND($AC11="○",$AG11="○",배관기준!$AG$17="Y"),"보온·도장 중복→도장 제외","")</f>
        <v/>
      </c>
      <c r="AJ11" s="75" t="str">
        <f aca="false">IF($C11="","",$B11&amp;"|"&amp;$C11&amp;"|"&amp;$D11&amp;"|"&amp;$E11&amp;"|"&amp;$G11)</f>
        <v>설치|옥외|5kg/cm2이상|STPG370S|200</v>
      </c>
    </row>
    <row r="12" customFormat="false" ht="15" hidden="false" customHeight="true" outlineLevel="0" collapsed="false">
      <c r="A12" s="6" t="n">
        <v>6</v>
      </c>
      <c r="B12" s="20" t="s">
        <v>142</v>
      </c>
      <c r="C12" s="20" t="s">
        <v>702</v>
      </c>
      <c r="D12" s="19" t="s">
        <v>704</v>
      </c>
      <c r="E12" s="19" t="s">
        <v>705</v>
      </c>
      <c r="F12" s="20" t="s">
        <v>817</v>
      </c>
      <c r="G12" s="19" t="n">
        <v>250</v>
      </c>
      <c r="H12" s="19" t="s">
        <v>706</v>
      </c>
      <c r="I12" s="19" t="s">
        <v>818</v>
      </c>
      <c r="J12" s="6" t="str">
        <f aca="false">IF($C12="","",IF($C12="매설","매설",""))</f>
        <v/>
      </c>
      <c r="K12" s="19"/>
      <c r="L12" s="6" t="str">
        <f aca="false">IF($C12="","","TON")</f>
        <v>TON</v>
      </c>
      <c r="M12" s="38" t="n">
        <f aca="false">IF($C12="","",IF($B12="철거",IF(SUMIFS(배관기본물량!$P$7:$P$126,배관기본물량!$B$7:$B$126,"철거",배관기본물량!$C$7:$C$126,$C12,배관기본물량!$E$7:$E$126,$D12,배관기본물량!$U$7:$U$126,$E12,배관기본물량!$I$7:$I$126,$G12,배관기본물량!$Q$7:$Q$126,"P")=0,SUMIFS(배관기본물량!$P$7:$P$126,배관기본물량!$B$7:$B$126,"설치",배관기본물량!$C$7:$C$126,$C12,배관기본물량!$E$7:$E$126,$D12,배관기본물량!$U$7:$U$126,$E12,배관기본물량!$I$7:$I$126,$G12,배관기본물량!$Q$7:$Q$126,"P"),SUMIFS(배관기본물량!$P$7:$P$126,배관기본물량!$B$7:$B$126,"철거",배관기본물량!$C$7:$C$126,$C12,배관기본물량!$E$7:$E$126,$D12,배관기본물량!$U$7:$U$126,$E12,배관기본물량!$I$7:$I$126,$G12,배관기본물량!$Q$7:$Q$126,"P")),SUMIFS(배관기본물량!$P$7:$P$126,배관기본물량!$B$7:$B$126,$B12,배관기본물량!$C$7:$C$126,$C12,배관기본물량!$E$7:$E$126,$D12,배관기본물량!$U$7:$U$126,$E12,배관기본물량!$I$7:$I$126,$G12,배관기본물량!$Q$7:$Q$126,"P"))/1000)</f>
        <v>0.5130272</v>
      </c>
      <c r="N12" s="38" t="n">
        <f aca="false">IF($C12="","",IF($B12="철거",IF(SUMIFS(배관기본물량!$P$7:$P$126,배관기본물량!$B$7:$B$126,"철거",배관기본물량!$C$7:$C$126,$C12,배관기본물량!$E$7:$E$126,$D12,배관기본물량!$U$7:$U$126,$E12,배관기본물량!$I$7:$I$126,$G12,배관기본물량!$Q$7:$Q$126,"F")=0,SUMIFS(배관기본물량!$P$7:$P$126,배관기본물량!$B$7:$B$126,"설치",배관기본물량!$C$7:$C$126,$C12,배관기본물량!$E$7:$E$126,$D12,배관기본물량!$U$7:$U$126,$E12,배관기본물량!$I$7:$I$126,$G12,배관기본물량!$Q$7:$Q$126,"F"),SUMIFS(배관기본물량!$P$7:$P$126,배관기본물량!$B$7:$B$126,"철거",배관기본물량!$C$7:$C$126,$C12,배관기본물량!$E$7:$E$126,$D12,배관기본물량!$U$7:$U$126,$E12,배관기본물량!$I$7:$I$126,$G12,배관기본물량!$Q$7:$Q$126,"F")),SUMIFS(배관기본물량!$P$7:$P$126,배관기본물량!$B$7:$B$126,$B12,배관기본물량!$C$7:$C$126,$C12,배관기본물량!$E$7:$E$126,$D12,배관기본물량!$U$7:$U$126,$E12,배관기본물량!$I$7:$I$126,$G12,배관기본물량!$Q$7:$Q$126,"F"))/1000)</f>
        <v>0.2647</v>
      </c>
      <c r="O12" s="38" t="n">
        <f aca="false">IF($C12="","",M12+N12)</f>
        <v>0.7777272</v>
      </c>
      <c r="P12" s="38" t="n">
        <f aca="false">IF(OR($C12="",N(O12)=0),"",IF(OR($C12="매설",$G12&lt;배관기준!$AG$5),"",ROUND(N12/O12-배관기준!$AG$6,3)))</f>
        <v>0.04</v>
      </c>
      <c r="Q12" s="85" t="str">
        <f aca="false">IF($C12="기계실",0.5,"")</f>
        <v/>
      </c>
      <c r="R12" s="85" t="str">
        <f aca="false">IF($C12="매설",-0.3,"")</f>
        <v/>
      </c>
      <c r="S12" s="38" t="str">
        <f aca="false">IF(AND(ISNUMBER($AA12),ISNUMBER($AB12)),ROUND($AB12/$AA12-1,3),IF(OR($C12="",$H12="",$H12=IF($I12="W6311","SPP","SCH40")),"",IFERROR(ROUND(INDEX(배관단중표!$B$7:$W$41,MATCH($G12,배관단중표!$A$7:$A$41,0),MATCH(IF($H12="SPP","SPP",IF(LEFT($E12,3)="STS",IF(ISNUMBER(SEARCH("316",$E12)),"STS316","STS304"),"SPPS")&amp;"|"&amp;$H12),배관단중표!$B$6:$W$6,0))/INDEX(배관단중표!$B$7:$W$41,MATCH($G12,배관단중표!$A$7:$A$41,0),MATCH(IF(IF($I12="W6311","SPP","SCH40")="SPP","SPP",IF(LEFT($E12,3)="STS",IF(ISNUMBER(SEARCH("316",$E12)),"STS316","STS304"),"SPPS")&amp;"|"&amp;IF($I12="W6311","SPP","SCH40")),배관단중표!$B$6:$W$6,0))-1,3),"확인")))</f>
        <v/>
      </c>
      <c r="T12" s="38" t="str">
        <f aca="false">IF(OR($C12="",$F12="",$F12="탄소강"),"",IFERROR(IF(INDEX(배관기준!$I$5:$V$14,MATCH($F12,배관기준!$H$5:$H$14,0),MIN(14,COUNTIF(배관기준!$I$4:$V$4,"&lt;"&amp;$G12)+1))=0,"확인",INDEX(배관기준!$I$5:$V$14,MATCH($F12,배관기준!$H$5:$H$14,0),MIN(14,COUNTIF(배관기준!$I$4:$V$4,"&lt;"&amp;$G12)+1))/100),"확인"))</f>
        <v/>
      </c>
      <c r="U12" s="6" t="str">
        <f aca="false">IF(AND($C12&lt;&gt;"",$D12="5kg/cm2미만",$K12=""),"DL010465001","")</f>
        <v/>
      </c>
      <c r="V12" s="6" t="str">
        <f aca="false">IF(U12="","","DL010265001")</f>
        <v/>
      </c>
      <c r="W12" s="85" t="str">
        <f aca="false">IF($B12="철거",배관기준!$AG$11,"")</f>
        <v/>
      </c>
      <c r="X12" s="37" t="n">
        <f aca="false">IF($C12="","",배관기준!$AG$12)</f>
        <v>0.15</v>
      </c>
      <c r="Y12" s="16" t="str">
        <f aca="false">IF($C12="","",IF(P12&lt;&gt;"","A01="&amp;P12&amp;", ","")&amp;IF(Q12&lt;&gt;"","A02="&amp;Q12&amp;", ","")&amp;IF(R12&lt;&gt;"","A03="&amp;R12&amp;", ","")&amp;IF(S12&lt;&gt;"","A05="&amp;S12&amp;", ","")&amp;IF(T12&lt;&gt;"","F01="&amp;T12&amp;", ","")&amp;IF(W12&lt;&gt;"","B01="&amp;W12&amp;", ","")&amp;"C04="&amp;X12&amp;", "&amp;IF(U12&lt;&gt;"","R03="&amp;U12&amp;", R04="&amp;V12&amp;", ",""))</f>
        <v>A01=0.04, C04=0.15, </v>
      </c>
      <c r="Z12" s="6" t="str">
        <f aca="false">IF($G12="","",IFERROR(I12&amp;VALUE(IF(I12="W6311",INDEX(배관기준!$AB$5:$AB$28,MATCH($G12,배관기준!$AA$5:$AA$28,0)),INDEX(배관기준!$AC$5:$AC$28,MATCH($G12,배관기준!$AA$5:$AA$28,0)))),"확인"))</f>
        <v>W6312117</v>
      </c>
      <c r="AA12" s="40"/>
      <c r="AB12" s="40"/>
      <c r="AC12" s="86" t="str">
        <f aca="false">IF($C12="","",IF(AC$2&lt;&gt;"자동",AC$2,IF(OR($C12="매설",$AL$2="N"),"×",IF($C12="옥외",IF($G12&lt;=IF($AK$2="포항",250,200),"○","×"),IF($C12="옥내",IF($G12&lt;=80,"○","×"),"×")))))</f>
        <v>○</v>
      </c>
      <c r="AD12" s="86" t="str">
        <f aca="false">IF($C12="","",AD$2)</f>
        <v>○</v>
      </c>
      <c r="AE12" s="86" t="str">
        <f aca="false">IF($C12="","",AE$2)</f>
        <v>×</v>
      </c>
      <c r="AF12" s="86" t="str">
        <f aca="false">IF($C12="","",AF$2)</f>
        <v>○</v>
      </c>
      <c r="AG12" s="86" t="str">
        <f aca="false">IF($C12="","",IF(AG$2&lt;&gt;"자동",AG$2,IF(OR($AC12="○",$C12="매설",LEFT($E12,3)="STS",LEFT($E12,3)="SUS"),"×","○")))</f>
        <v>×</v>
      </c>
      <c r="AH12" s="86" t="str">
        <f aca="false">IF($C12="","",AH$2)</f>
        <v>C/C</v>
      </c>
      <c r="AI12" s="87" t="str">
        <f aca="false">IF(AND($AC12="○",$AG12="○",배관기준!$AG$17="Y"),"보온·도장 중복→도장 제외","")</f>
        <v/>
      </c>
      <c r="AJ12" s="75" t="str">
        <f aca="false">IF($C12="","",$B12&amp;"|"&amp;$C12&amp;"|"&amp;$D12&amp;"|"&amp;$E12&amp;"|"&amp;$G12)</f>
        <v>설치|옥외|5kg/cm2이상|STPG370S|250</v>
      </c>
    </row>
    <row r="13" customFormat="false" ht="15" hidden="false" customHeight="true" outlineLevel="0" collapsed="false">
      <c r="A13" s="6" t="n">
        <v>7</v>
      </c>
      <c r="B13" s="20" t="s">
        <v>142</v>
      </c>
      <c r="C13" s="20" t="s">
        <v>702</v>
      </c>
      <c r="D13" s="19" t="s">
        <v>704</v>
      </c>
      <c r="E13" s="19" t="s">
        <v>705</v>
      </c>
      <c r="F13" s="20" t="s">
        <v>817</v>
      </c>
      <c r="G13" s="19" t="n">
        <v>300</v>
      </c>
      <c r="H13" s="19" t="s">
        <v>706</v>
      </c>
      <c r="I13" s="19" t="s">
        <v>818</v>
      </c>
      <c r="J13" s="6" t="str">
        <f aca="false">IF($C13="","",IF($C13="매설","매설",""))</f>
        <v/>
      </c>
      <c r="K13" s="19"/>
      <c r="L13" s="6" t="str">
        <f aca="false">IF($C13="","","TON")</f>
        <v>TON</v>
      </c>
      <c r="M13" s="38" t="n">
        <f aca="false">IF($C13="","",IF($B13="철거",IF(SUMIFS(배관기본물량!$P$7:$P$126,배관기본물량!$B$7:$B$126,"철거",배관기본물량!$C$7:$C$126,$C13,배관기본물량!$E$7:$E$126,$D13,배관기본물량!$U$7:$U$126,$E13,배관기본물량!$I$7:$I$126,$G13,배관기본물량!$Q$7:$Q$126,"P")=0,SUMIFS(배관기본물량!$P$7:$P$126,배관기본물량!$B$7:$B$126,"설치",배관기본물량!$C$7:$C$126,$C13,배관기본물량!$E$7:$E$126,$D13,배관기본물량!$U$7:$U$126,$E13,배관기본물량!$I$7:$I$126,$G13,배관기본물량!$Q$7:$Q$126,"P"),SUMIFS(배관기본물량!$P$7:$P$126,배관기본물량!$B$7:$B$126,"철거",배관기본물량!$C$7:$C$126,$C13,배관기본물량!$E$7:$E$126,$D13,배관기본물량!$U$7:$U$126,$E13,배관기본물량!$I$7:$I$126,$G13,배관기본물량!$Q$7:$Q$126,"P")),SUMIFS(배관기본물량!$P$7:$P$126,배관기본물량!$B$7:$B$126,$B13,배관기본물량!$C$7:$C$126,$C13,배관기본물량!$E$7:$E$126,$D13,배관기본물량!$U$7:$U$126,$E13,배관기본물량!$I$7:$I$126,$G13,배관기본물량!$Q$7:$Q$126,"P"))/1000)</f>
        <v>0.3613545</v>
      </c>
      <c r="N13" s="38" t="n">
        <f aca="false">IF($C13="","",IF($B13="철거",IF(SUMIFS(배관기본물량!$P$7:$P$126,배관기본물량!$B$7:$B$126,"철거",배관기본물량!$C$7:$C$126,$C13,배관기본물량!$E$7:$E$126,$D13,배관기본물량!$U$7:$U$126,$E13,배관기본물량!$I$7:$I$126,$G13,배관기본물량!$Q$7:$Q$126,"F")=0,SUMIFS(배관기본물량!$P$7:$P$126,배관기본물량!$B$7:$B$126,"설치",배관기본물량!$C$7:$C$126,$C13,배관기본물량!$E$7:$E$126,$D13,배관기본물량!$U$7:$U$126,$E13,배관기본물량!$I$7:$I$126,$G13,배관기본물량!$Q$7:$Q$126,"F"),SUMIFS(배관기본물량!$P$7:$P$126,배관기본물량!$B$7:$B$126,"철거",배관기본물량!$C$7:$C$126,$C13,배관기본물량!$E$7:$E$126,$D13,배관기본물량!$U$7:$U$126,$E13,배관기본물량!$I$7:$I$126,$G13,배관기본물량!$Q$7:$Q$126,"F")),SUMIFS(배관기본물량!$P$7:$P$126,배관기본물량!$B$7:$B$126,$B13,배관기본물량!$C$7:$C$126,$C13,배관기본물량!$E$7:$E$126,$D13,배관기본물량!$U$7:$U$126,$E13,배관기본물량!$I$7:$I$126,$G13,배관기본물량!$Q$7:$Q$126,"F"))/1000)</f>
        <v>1.4431</v>
      </c>
      <c r="O13" s="38" t="n">
        <f aca="false">IF($C13="","",M13+N13)</f>
        <v>1.8044545</v>
      </c>
      <c r="P13" s="38" t="n">
        <f aca="false">IF(OR($C13="",N(O13)=0),"",IF(OR($C13="매설",$G13&lt;배관기준!$AG$5),"",ROUND(N13/O13-배관기준!$AG$6,3)))</f>
        <v>0.5</v>
      </c>
      <c r="Q13" s="85" t="str">
        <f aca="false">IF($C13="기계실",0.5,"")</f>
        <v/>
      </c>
      <c r="R13" s="85" t="str">
        <f aca="false">IF($C13="매설",-0.3,"")</f>
        <v/>
      </c>
      <c r="S13" s="38" t="str">
        <f aca="false">IF(AND(ISNUMBER($AA13),ISNUMBER($AB13)),ROUND($AB13/$AA13-1,3),IF(OR($C13="",$H13="",$H13=IF($I13="W6311","SPP","SCH40")),"",IFERROR(ROUND(INDEX(배관단중표!$B$7:$W$41,MATCH($G13,배관단중표!$A$7:$A$41,0),MATCH(IF($H13="SPP","SPP",IF(LEFT($E13,3)="STS",IF(ISNUMBER(SEARCH("316",$E13)),"STS316","STS304"),"SPPS")&amp;"|"&amp;$H13),배관단중표!$B$6:$W$6,0))/INDEX(배관단중표!$B$7:$W$41,MATCH($G13,배관단중표!$A$7:$A$41,0),MATCH(IF(IF($I13="W6311","SPP","SCH40")="SPP","SPP",IF(LEFT($E13,3)="STS",IF(ISNUMBER(SEARCH("316",$E13)),"STS316","STS304"),"SPPS")&amp;"|"&amp;IF($I13="W6311","SPP","SCH40")),배관단중표!$B$6:$W$6,0))-1,3),"확인")))</f>
        <v/>
      </c>
      <c r="T13" s="38" t="str">
        <f aca="false">IF(OR($C13="",$F13="",$F13="탄소강"),"",IFERROR(IF(INDEX(배관기준!$I$5:$V$14,MATCH($F13,배관기준!$H$5:$H$14,0),MIN(14,COUNTIF(배관기준!$I$4:$V$4,"&lt;"&amp;$G13)+1))=0,"확인",INDEX(배관기준!$I$5:$V$14,MATCH($F13,배관기준!$H$5:$H$14,0),MIN(14,COUNTIF(배관기준!$I$4:$V$4,"&lt;"&amp;$G13)+1))/100),"확인"))</f>
        <v/>
      </c>
      <c r="U13" s="6" t="str">
        <f aca="false">IF(AND($C13&lt;&gt;"",$D13="5kg/cm2미만",$K13=""),"DL010465001","")</f>
        <v/>
      </c>
      <c r="V13" s="6" t="str">
        <f aca="false">IF(U13="","","DL010265001")</f>
        <v/>
      </c>
      <c r="W13" s="85" t="str">
        <f aca="false">IF($B13="철거",배관기준!$AG$11,"")</f>
        <v/>
      </c>
      <c r="X13" s="37" t="n">
        <f aca="false">IF($C13="","",배관기준!$AG$12)</f>
        <v>0.15</v>
      </c>
      <c r="Y13" s="16" t="str">
        <f aca="false">IF($C13="","",IF(P13&lt;&gt;"","A01="&amp;P13&amp;", ","")&amp;IF(Q13&lt;&gt;"","A02="&amp;Q13&amp;", ","")&amp;IF(R13&lt;&gt;"","A03="&amp;R13&amp;", ","")&amp;IF(S13&lt;&gt;"","A05="&amp;S13&amp;", ","")&amp;IF(T13&lt;&gt;"","F01="&amp;T13&amp;", ","")&amp;IF(W13&lt;&gt;"","B01="&amp;W13&amp;", ","")&amp;"C04="&amp;X13&amp;", "&amp;IF(U13&lt;&gt;"","R03="&amp;U13&amp;", R04="&amp;V13&amp;", ",""))</f>
        <v>A01=0.5, C04=0.15, </v>
      </c>
      <c r="Z13" s="6" t="str">
        <f aca="false">IF($G13="","",IFERROR(I13&amp;VALUE(IF(I13="W6311",INDEX(배관기준!$AB$5:$AB$28,MATCH($G13,배관기준!$AA$5:$AA$28,0)),INDEX(배관기준!$AC$5:$AC$28,MATCH($G13,배관기준!$AA$5:$AA$28,0)))),"확인"))</f>
        <v>W6312118</v>
      </c>
      <c r="AA13" s="40"/>
      <c r="AB13" s="40"/>
      <c r="AC13" s="86" t="str">
        <f aca="false">IF($C13="","",IF(AC$2&lt;&gt;"자동",AC$2,IF(OR($C13="매설",$AL$2="N"),"×",IF($C13="옥외",IF($G13&lt;=IF($AK$2="포항",250,200),"○","×"),IF($C13="옥내",IF($G13&lt;=80,"○","×"),"×")))))</f>
        <v>×</v>
      </c>
      <c r="AD13" s="86" t="str">
        <f aca="false">IF($C13="","",AD$2)</f>
        <v>○</v>
      </c>
      <c r="AE13" s="86" t="str">
        <f aca="false">IF($C13="","",AE$2)</f>
        <v>×</v>
      </c>
      <c r="AF13" s="86" t="str">
        <f aca="false">IF($C13="","",AF$2)</f>
        <v>○</v>
      </c>
      <c r="AG13" s="86" t="str">
        <f aca="false">IF($C13="","",IF(AG$2&lt;&gt;"자동",AG$2,IF(OR($AC13="○",$C13="매설",LEFT($E13,3)="STS",LEFT($E13,3)="SUS"),"×","○")))</f>
        <v>○</v>
      </c>
      <c r="AH13" s="86" t="str">
        <f aca="false">IF($C13="","",AH$2)</f>
        <v>C/C</v>
      </c>
      <c r="AI13" s="87" t="str">
        <f aca="false">IF(AND($AC13="○",$AG13="○",배관기준!$AG$17="Y"),"보온·도장 중복→도장 제외","")</f>
        <v/>
      </c>
      <c r="AJ13" s="75" t="str">
        <f aca="false">IF($C13="","",$B13&amp;"|"&amp;$C13&amp;"|"&amp;$D13&amp;"|"&amp;$E13&amp;"|"&amp;$G13)</f>
        <v>설치|옥외|5kg/cm2이상|STPG370S|300</v>
      </c>
    </row>
    <row r="14" customFormat="false" ht="15" hidden="false" customHeight="true" outlineLevel="0" collapsed="false">
      <c r="A14" s="6" t="n">
        <v>8</v>
      </c>
      <c r="B14" s="20" t="s">
        <v>148</v>
      </c>
      <c r="C14" s="20" t="s">
        <v>702</v>
      </c>
      <c r="D14" s="19" t="s">
        <v>704</v>
      </c>
      <c r="E14" s="19" t="s">
        <v>705</v>
      </c>
      <c r="F14" s="20" t="s">
        <v>817</v>
      </c>
      <c r="G14" s="19" t="n">
        <v>15</v>
      </c>
      <c r="H14" s="19" t="s">
        <v>706</v>
      </c>
      <c r="I14" s="19" t="s">
        <v>818</v>
      </c>
      <c r="J14" s="6" t="str">
        <f aca="false">IF($C14="","",IF($C14="매설","매설",""))</f>
        <v/>
      </c>
      <c r="K14" s="19"/>
      <c r="L14" s="6" t="str">
        <f aca="false">IF($C14="","","TON")</f>
        <v>TON</v>
      </c>
      <c r="M14" s="38" t="n">
        <f aca="false">IF($C14="","",IF($B14="철거",IF(SUMIFS(배관기본물량!$P$7:$P$126,배관기본물량!$B$7:$B$126,"철거",배관기본물량!$C$7:$C$126,$C14,배관기본물량!$E$7:$E$126,$D14,배관기본물량!$U$7:$U$126,$E14,배관기본물량!$I$7:$I$126,$G14,배관기본물량!$Q$7:$Q$126,"P")=0,SUMIFS(배관기본물량!$P$7:$P$126,배관기본물량!$B$7:$B$126,"설치",배관기본물량!$C$7:$C$126,$C14,배관기본물량!$E$7:$E$126,$D14,배관기본물량!$U$7:$U$126,$E14,배관기본물량!$I$7:$I$126,$G14,배관기본물량!$Q$7:$Q$126,"P"),SUMIFS(배관기본물량!$P$7:$P$126,배관기본물량!$B$7:$B$126,"철거",배관기본물량!$C$7:$C$126,$C14,배관기본물량!$E$7:$E$126,$D14,배관기본물량!$U$7:$U$126,$E14,배관기본물량!$I$7:$I$126,$G14,배관기본물량!$Q$7:$Q$126,"P")),SUMIFS(배관기본물량!$P$7:$P$126,배관기본물량!$B$7:$B$126,$B14,배관기본물량!$C$7:$C$126,$C14,배관기본물량!$E$7:$E$126,$D14,배관기본물량!$U$7:$U$126,$E14,배관기본물량!$I$7:$I$126,$G14,배관기본물량!$Q$7:$Q$126,"P"))/1000)</f>
        <v>0.00240647</v>
      </c>
      <c r="N14" s="38" t="n">
        <f aca="false">IF($C14="","",IF($B14="철거",IF(SUMIFS(배관기본물량!$P$7:$P$126,배관기본물량!$B$7:$B$126,"철거",배관기본물량!$C$7:$C$126,$C14,배관기본물량!$E$7:$E$126,$D14,배관기본물량!$U$7:$U$126,$E14,배관기본물량!$I$7:$I$126,$G14,배관기본물량!$Q$7:$Q$126,"F")=0,SUMIFS(배관기본물량!$P$7:$P$126,배관기본물량!$B$7:$B$126,"설치",배관기본물량!$C$7:$C$126,$C14,배관기본물량!$E$7:$E$126,$D14,배관기본물량!$U$7:$U$126,$E14,배관기본물량!$I$7:$I$126,$G14,배관기본물량!$Q$7:$Q$126,"F"),SUMIFS(배관기본물량!$P$7:$P$126,배관기본물량!$B$7:$B$126,"철거",배관기본물량!$C$7:$C$126,$C14,배관기본물량!$E$7:$E$126,$D14,배관기본물량!$U$7:$U$126,$E14,배관기본물량!$I$7:$I$126,$G14,배관기본물량!$Q$7:$Q$126,"F")),SUMIFS(배관기본물량!$P$7:$P$126,배관기본물량!$B$7:$B$126,$B14,배관기본물량!$C$7:$C$126,$C14,배관기본물량!$E$7:$E$126,$D14,배관기본물량!$U$7:$U$126,$E14,배관기본물량!$I$7:$I$126,$G14,배관기본물량!$Q$7:$Q$126,"F"))/1000)</f>
        <v>0.0128</v>
      </c>
      <c r="O14" s="38" t="n">
        <f aca="false">IF($C14="","",M14+N14)</f>
        <v>0.01520647</v>
      </c>
      <c r="P14" s="38" t="str">
        <f aca="false">IF(OR($C14="",N(O14)=0),"",IF(OR($C14="매설",$G14&lt;배관기준!$AG$5),"",ROUND(N14/O14-배관기준!$AG$6,3)))</f>
        <v/>
      </c>
      <c r="Q14" s="85" t="str">
        <f aca="false">IF($C14="기계실",0.5,"")</f>
        <v/>
      </c>
      <c r="R14" s="85" t="str">
        <f aca="false">IF($C14="매설",-0.3,"")</f>
        <v/>
      </c>
      <c r="S14" s="38" t="str">
        <f aca="false">IF(AND(ISNUMBER($AA14),ISNUMBER($AB14)),ROUND($AB14/$AA14-1,3),IF(OR($C14="",$H14="",$H14=IF($I14="W6311","SPP","SCH40")),"",IFERROR(ROUND(INDEX(배관단중표!$B$7:$W$41,MATCH($G14,배관단중표!$A$7:$A$41,0),MATCH(IF($H14="SPP","SPP",IF(LEFT($E14,3)="STS",IF(ISNUMBER(SEARCH("316",$E14)),"STS316","STS304"),"SPPS")&amp;"|"&amp;$H14),배관단중표!$B$6:$W$6,0))/INDEX(배관단중표!$B$7:$W$41,MATCH($G14,배관단중표!$A$7:$A$41,0),MATCH(IF(IF($I14="W6311","SPP","SCH40")="SPP","SPP",IF(LEFT($E14,3)="STS",IF(ISNUMBER(SEARCH("316",$E14)),"STS316","STS304"),"SPPS")&amp;"|"&amp;IF($I14="W6311","SPP","SCH40")),배관단중표!$B$6:$W$6,0))-1,3),"확인")))</f>
        <v/>
      </c>
      <c r="T14" s="38" t="str">
        <f aca="false">IF(OR($C14="",$F14="",$F14="탄소강"),"",IFERROR(IF(INDEX(배관기준!$I$5:$V$14,MATCH($F14,배관기준!$H$5:$H$14,0),MIN(14,COUNTIF(배관기준!$I$4:$V$4,"&lt;"&amp;$G14)+1))=0,"확인",INDEX(배관기준!$I$5:$V$14,MATCH($F14,배관기준!$H$5:$H$14,0),MIN(14,COUNTIF(배관기준!$I$4:$V$4,"&lt;"&amp;$G14)+1))/100),"확인"))</f>
        <v/>
      </c>
      <c r="U14" s="6" t="str">
        <f aca="false">IF(AND($C14&lt;&gt;"",$D14="5kg/cm2미만",$K14=""),"DL010465001","")</f>
        <v/>
      </c>
      <c r="V14" s="6" t="str">
        <f aca="false">IF(U14="","","DL010265001")</f>
        <v/>
      </c>
      <c r="W14" s="85" t="n">
        <f aca="false">IF($B14="철거",배관기준!$AG$11,"")</f>
        <v>-0.8</v>
      </c>
      <c r="X14" s="37" t="n">
        <f aca="false">IF($C14="","",배관기준!$AG$12)</f>
        <v>0.15</v>
      </c>
      <c r="Y14" s="16" t="str">
        <f aca="false">IF($C14="","",IF(P14&lt;&gt;"","A01="&amp;P14&amp;", ","")&amp;IF(Q14&lt;&gt;"","A02="&amp;Q14&amp;", ","")&amp;IF(R14&lt;&gt;"","A03="&amp;R14&amp;", ","")&amp;IF(S14&lt;&gt;"","A05="&amp;S14&amp;", ","")&amp;IF(T14&lt;&gt;"","F01="&amp;T14&amp;", ","")&amp;IF(W14&lt;&gt;"","B01="&amp;W14&amp;", ","")&amp;"C04="&amp;X14&amp;", "&amp;IF(U14&lt;&gt;"","R03="&amp;U14&amp;", R04="&amp;V14&amp;", ",""))</f>
        <v>B01=-0.8, C04=0.15, </v>
      </c>
      <c r="Z14" s="6" t="str">
        <f aca="false">IF($G14="","",IFERROR(I14&amp;VALUE(IF(I14="W6311",INDEX(배관기준!$AB$5:$AB$28,MATCH($G14,배관기준!$AA$5:$AA$28,0)),INDEX(배관기준!$AC$5:$AC$28,MATCH($G14,배관기준!$AA$5:$AA$28,0)))),"확인"))</f>
        <v>W6312104</v>
      </c>
      <c r="AA14" s="40"/>
      <c r="AB14" s="40"/>
      <c r="AC14" s="86" t="str">
        <f aca="false">IF($C14="","",IF(AC$2&lt;&gt;"자동",AC$2,IF(OR($C14="매설",$AL$2="N"),"×",IF($C14="옥외",IF($G14&lt;=IF($AK$2="포항",250,200),"○","×"),IF($C14="옥내",IF($G14&lt;=80,"○","×"),"×")))))</f>
        <v>○</v>
      </c>
      <c r="AD14" s="86" t="str">
        <f aca="false">IF($C14="","",AD$2)</f>
        <v>○</v>
      </c>
      <c r="AE14" s="86" t="str">
        <f aca="false">IF($C14="","",AE$2)</f>
        <v>×</v>
      </c>
      <c r="AF14" s="86" t="str">
        <f aca="false">IF($C14="","",AF$2)</f>
        <v>○</v>
      </c>
      <c r="AG14" s="86" t="str">
        <f aca="false">IF($C14="","",IF(AG$2&lt;&gt;"자동",AG$2,IF(OR($AC14="○",$C14="매설",LEFT($E14,3)="STS",LEFT($E14,3)="SUS"),"×","○")))</f>
        <v>×</v>
      </c>
      <c r="AH14" s="86" t="str">
        <f aca="false">IF($C14="","",AH$2)</f>
        <v>C/C</v>
      </c>
      <c r="AI14" s="87" t="str">
        <f aca="false">IF(AND($AC14="○",$AG14="○",배관기준!$AG$17="Y"),"보온·도장 중복→도장 제외","")</f>
        <v/>
      </c>
      <c r="AJ14" s="75" t="str">
        <f aca="false">IF($C14="","",$B14&amp;"|"&amp;$C14&amp;"|"&amp;$D14&amp;"|"&amp;$E14&amp;"|"&amp;$G14)</f>
        <v>철거|옥외|5kg/cm2이상|STPG370S|15</v>
      </c>
    </row>
    <row r="15" customFormat="false" ht="15" hidden="false" customHeight="true" outlineLevel="0" collapsed="false">
      <c r="A15" s="6" t="n">
        <v>9</v>
      </c>
      <c r="B15" s="20" t="s">
        <v>148</v>
      </c>
      <c r="C15" s="20" t="s">
        <v>702</v>
      </c>
      <c r="D15" s="19" t="s">
        <v>704</v>
      </c>
      <c r="E15" s="19" t="s">
        <v>705</v>
      </c>
      <c r="F15" s="20" t="s">
        <v>817</v>
      </c>
      <c r="G15" s="19" t="n">
        <v>50</v>
      </c>
      <c r="H15" s="19" t="s">
        <v>706</v>
      </c>
      <c r="I15" s="19" t="s">
        <v>818</v>
      </c>
      <c r="J15" s="6" t="str">
        <f aca="false">IF($C15="","",IF($C15="매설","매설",""))</f>
        <v/>
      </c>
      <c r="K15" s="19"/>
      <c r="L15" s="6" t="str">
        <f aca="false">IF($C15="","","TON")</f>
        <v>TON</v>
      </c>
      <c r="M15" s="38" t="n">
        <f aca="false">IF($C15="","",IF($B15="철거",IF(SUMIFS(배관기본물량!$P$7:$P$126,배관기본물량!$B$7:$B$126,"철거",배관기본물량!$C$7:$C$126,$C15,배관기본물량!$E$7:$E$126,$D15,배관기본물량!$U$7:$U$126,$E15,배관기본물량!$I$7:$I$126,$G15,배관기본물량!$Q$7:$Q$126,"P")=0,SUMIFS(배관기본물량!$P$7:$P$126,배관기본물량!$B$7:$B$126,"설치",배관기본물량!$C$7:$C$126,$C15,배관기본물량!$E$7:$E$126,$D15,배관기본물량!$U$7:$U$126,$E15,배관기본물량!$I$7:$I$126,$G15,배관기본물량!$Q$7:$Q$126,"P"),SUMIFS(배관기본물량!$P$7:$P$126,배관기본물량!$B$7:$B$126,"철거",배관기본물량!$C$7:$C$126,$C15,배관기본물량!$E$7:$E$126,$D15,배관기본물량!$U$7:$U$126,$E15,배관기본물량!$I$7:$I$126,$G15,배관기본물량!$Q$7:$Q$126,"P")),SUMIFS(배관기본물량!$P$7:$P$126,배관기본물량!$B$7:$B$126,$B15,배관기본물량!$C$7:$C$126,$C15,배관기본물량!$E$7:$E$126,$D15,배관기본물량!$U$7:$U$126,$E15,배관기본물량!$I$7:$I$126,$G15,배관기본물량!$Q$7:$Q$126,"P"))/1000)</f>
        <v>0.09605952</v>
      </c>
      <c r="N15" s="38" t="n">
        <f aca="false">IF($C15="","",IF($B15="철거",IF(SUMIFS(배관기본물량!$P$7:$P$126,배관기본물량!$B$7:$B$126,"철거",배관기본물량!$C$7:$C$126,$C15,배관기본물량!$E$7:$E$126,$D15,배관기본물량!$U$7:$U$126,$E15,배관기본물량!$I$7:$I$126,$G15,배관기본물량!$Q$7:$Q$126,"F")=0,SUMIFS(배관기본물량!$P$7:$P$126,배관기본물량!$B$7:$B$126,"설치",배관기본물량!$C$7:$C$126,$C15,배관기본물량!$E$7:$E$126,$D15,배관기본물량!$U$7:$U$126,$E15,배관기본물량!$I$7:$I$126,$G15,배관기본물량!$Q$7:$Q$126,"F"),SUMIFS(배관기본물량!$P$7:$P$126,배관기본물량!$B$7:$B$126,"철거",배관기본물량!$C$7:$C$126,$C15,배관기본물량!$E$7:$E$126,$D15,배관기본물량!$U$7:$U$126,$E15,배관기본물량!$I$7:$I$126,$G15,배관기본물량!$Q$7:$Q$126,"F")),SUMIFS(배관기본물량!$P$7:$P$126,배관기본물량!$B$7:$B$126,$B15,배관기본물량!$C$7:$C$126,$C15,배관기본물량!$E$7:$E$126,$D15,배관기본물량!$U$7:$U$126,$E15,배관기본물량!$I$7:$I$126,$G15,배관기본물량!$Q$7:$Q$126,"F"))/1000)</f>
        <v>0.1003</v>
      </c>
      <c r="O15" s="38" t="n">
        <f aca="false">IF($C15="","",M15+N15)</f>
        <v>0.19635952</v>
      </c>
      <c r="P15" s="38" t="n">
        <f aca="false">IF(OR($C15="",N(O15)=0),"",IF(OR($C15="매설",$G15&lt;배관기준!$AG$5),"",ROUND(N15/O15-배관기준!$AG$6,3)))</f>
        <v>0.211</v>
      </c>
      <c r="Q15" s="85" t="str">
        <f aca="false">IF($C15="기계실",0.5,"")</f>
        <v/>
      </c>
      <c r="R15" s="85" t="str">
        <f aca="false">IF($C15="매설",-0.3,"")</f>
        <v/>
      </c>
      <c r="S15" s="38" t="str">
        <f aca="false">IF(AND(ISNUMBER($AA15),ISNUMBER($AB15)),ROUND($AB15/$AA15-1,3),IF(OR($C15="",$H15="",$H15=IF($I15="W6311","SPP","SCH40")),"",IFERROR(ROUND(INDEX(배관단중표!$B$7:$W$41,MATCH($G15,배관단중표!$A$7:$A$41,0),MATCH(IF($H15="SPP","SPP",IF(LEFT($E15,3)="STS",IF(ISNUMBER(SEARCH("316",$E15)),"STS316","STS304"),"SPPS")&amp;"|"&amp;$H15),배관단중표!$B$6:$W$6,0))/INDEX(배관단중표!$B$7:$W$41,MATCH($G15,배관단중표!$A$7:$A$41,0),MATCH(IF(IF($I15="W6311","SPP","SCH40")="SPP","SPP",IF(LEFT($E15,3)="STS",IF(ISNUMBER(SEARCH("316",$E15)),"STS316","STS304"),"SPPS")&amp;"|"&amp;IF($I15="W6311","SPP","SCH40")),배관단중표!$B$6:$W$6,0))-1,3),"확인")))</f>
        <v/>
      </c>
      <c r="T15" s="38" t="str">
        <f aca="false">IF(OR($C15="",$F15="",$F15="탄소강"),"",IFERROR(IF(INDEX(배관기준!$I$5:$V$14,MATCH($F15,배관기준!$H$5:$H$14,0),MIN(14,COUNTIF(배관기준!$I$4:$V$4,"&lt;"&amp;$G15)+1))=0,"확인",INDEX(배관기준!$I$5:$V$14,MATCH($F15,배관기준!$H$5:$H$14,0),MIN(14,COUNTIF(배관기준!$I$4:$V$4,"&lt;"&amp;$G15)+1))/100),"확인"))</f>
        <v/>
      </c>
      <c r="U15" s="6" t="str">
        <f aca="false">IF(AND($C15&lt;&gt;"",$D15="5kg/cm2미만",$K15=""),"DL010465001","")</f>
        <v/>
      </c>
      <c r="V15" s="6" t="str">
        <f aca="false">IF(U15="","","DL010265001")</f>
        <v/>
      </c>
      <c r="W15" s="85" t="n">
        <f aca="false">IF($B15="철거",배관기준!$AG$11,"")</f>
        <v>-0.8</v>
      </c>
      <c r="X15" s="37" t="n">
        <f aca="false">IF($C15="","",배관기준!$AG$12)</f>
        <v>0.15</v>
      </c>
      <c r="Y15" s="16" t="str">
        <f aca="false">IF($C15="","",IF(P15&lt;&gt;"","A01="&amp;P15&amp;", ","")&amp;IF(Q15&lt;&gt;"","A02="&amp;Q15&amp;", ","")&amp;IF(R15&lt;&gt;"","A03="&amp;R15&amp;", ","")&amp;IF(S15&lt;&gt;"","A05="&amp;S15&amp;", ","")&amp;IF(T15&lt;&gt;"","F01="&amp;T15&amp;", ","")&amp;IF(W15&lt;&gt;"","B01="&amp;W15&amp;", ","")&amp;"C04="&amp;X15&amp;", "&amp;IF(U15&lt;&gt;"","R03="&amp;U15&amp;", R04="&amp;V15&amp;", ",""))</f>
        <v>A01=0.211, B01=-0.8, C04=0.15, </v>
      </c>
      <c r="Z15" s="6" t="str">
        <f aca="false">IF($G15="","",IFERROR(I15&amp;VALUE(IF(I15="W6311",INDEX(배관기준!$AB$5:$AB$28,MATCH($G15,배관기준!$AA$5:$AA$28,0)),INDEX(배관기준!$AC$5:$AC$28,MATCH($G15,배관기준!$AA$5:$AA$28,0)))),"확인"))</f>
        <v>W6312109</v>
      </c>
      <c r="AA15" s="40"/>
      <c r="AB15" s="40"/>
      <c r="AC15" s="86" t="str">
        <f aca="false">IF($C15="","",IF(AC$2&lt;&gt;"자동",AC$2,IF(OR($C15="매설",$AL$2="N"),"×",IF($C15="옥외",IF($G15&lt;=IF($AK$2="포항",250,200),"○","×"),IF($C15="옥내",IF($G15&lt;=80,"○","×"),"×")))))</f>
        <v>○</v>
      </c>
      <c r="AD15" s="86" t="str">
        <f aca="false">IF($C15="","",AD$2)</f>
        <v>○</v>
      </c>
      <c r="AE15" s="86" t="str">
        <f aca="false">IF($C15="","",AE$2)</f>
        <v>×</v>
      </c>
      <c r="AF15" s="86" t="str">
        <f aca="false">IF($C15="","",AF$2)</f>
        <v>○</v>
      </c>
      <c r="AG15" s="86" t="str">
        <f aca="false">IF($C15="","",IF(AG$2&lt;&gt;"자동",AG$2,IF(OR($AC15="○",$C15="매설",LEFT($E15,3)="STS",LEFT($E15,3)="SUS"),"×","○")))</f>
        <v>×</v>
      </c>
      <c r="AH15" s="86" t="str">
        <f aca="false">IF($C15="","",AH$2)</f>
        <v>C/C</v>
      </c>
      <c r="AI15" s="87" t="str">
        <f aca="false">IF(AND($AC15="○",$AG15="○",배관기준!$AG$17="Y"),"보온·도장 중복→도장 제외","")</f>
        <v/>
      </c>
      <c r="AJ15" s="75" t="str">
        <f aca="false">IF($C15="","",$B15&amp;"|"&amp;$C15&amp;"|"&amp;$D15&amp;"|"&amp;$E15&amp;"|"&amp;$G15)</f>
        <v>철거|옥외|5kg/cm2이상|STPG370S|50</v>
      </c>
    </row>
    <row r="16" customFormat="false" ht="15" hidden="false" customHeight="true" outlineLevel="0" collapsed="false">
      <c r="A16" s="6" t="n">
        <v>10</v>
      </c>
      <c r="B16" s="20" t="s">
        <v>148</v>
      </c>
      <c r="C16" s="20" t="s">
        <v>702</v>
      </c>
      <c r="D16" s="19" t="s">
        <v>704</v>
      </c>
      <c r="E16" s="19" t="s">
        <v>705</v>
      </c>
      <c r="F16" s="20" t="s">
        <v>817</v>
      </c>
      <c r="G16" s="19" t="n">
        <v>80</v>
      </c>
      <c r="H16" s="19" t="s">
        <v>706</v>
      </c>
      <c r="I16" s="19" t="s">
        <v>818</v>
      </c>
      <c r="J16" s="6" t="str">
        <f aca="false">IF($C16="","",IF($C16="매설","매설",""))</f>
        <v/>
      </c>
      <c r="K16" s="19"/>
      <c r="L16" s="6" t="str">
        <f aca="false">IF($C16="","","TON")</f>
        <v>TON</v>
      </c>
      <c r="M16" s="38" t="n">
        <f aca="false">IF($C16="","",IF($B16="철거",IF(SUMIFS(배관기본물량!$P$7:$P$126,배관기본물량!$B$7:$B$126,"철거",배관기본물량!$C$7:$C$126,$C16,배관기본물량!$E$7:$E$126,$D16,배관기본물량!$U$7:$U$126,$E16,배관기본물량!$I$7:$I$126,$G16,배관기본물량!$Q$7:$Q$126,"P")=0,SUMIFS(배관기본물량!$P$7:$P$126,배관기본물량!$B$7:$B$126,"설치",배관기본물량!$C$7:$C$126,$C16,배관기본물량!$E$7:$E$126,$D16,배관기본물량!$U$7:$U$126,$E16,배관기본물량!$I$7:$I$126,$G16,배관기본물량!$Q$7:$Q$126,"P"),SUMIFS(배관기본물량!$P$7:$P$126,배관기본물량!$B$7:$B$126,"철거",배관기본물량!$C$7:$C$126,$C16,배관기본물량!$E$7:$E$126,$D16,배관기본물량!$U$7:$U$126,$E16,배관기본물량!$I$7:$I$126,$G16,배관기본물량!$Q$7:$Q$126,"P")),SUMIFS(배관기본물량!$P$7:$P$126,배관기본물량!$B$7:$B$126,$B16,배관기본물량!$C$7:$C$126,$C16,배관기본물량!$E$7:$E$126,$D16,배관기본물량!$U$7:$U$126,$E16,배관기본물량!$I$7:$I$126,$G16,배관기본물량!$Q$7:$Q$126,"P"))/1000)</f>
        <v>0.069834</v>
      </c>
      <c r="N16" s="38" t="n">
        <f aca="false">IF($C16="","",IF($B16="철거",IF(SUMIFS(배관기본물량!$P$7:$P$126,배관기본물량!$B$7:$B$126,"철거",배관기본물량!$C$7:$C$126,$C16,배관기본물량!$E$7:$E$126,$D16,배관기본물량!$U$7:$U$126,$E16,배관기본물량!$I$7:$I$126,$G16,배관기본물량!$Q$7:$Q$126,"F")=0,SUMIFS(배관기본물량!$P$7:$P$126,배관기본물량!$B$7:$B$126,"설치",배관기본물량!$C$7:$C$126,$C16,배관기본물량!$E$7:$E$126,$D16,배관기본물량!$U$7:$U$126,$E16,배관기본물량!$I$7:$I$126,$G16,배관기본물량!$Q$7:$Q$126,"F"),SUMIFS(배관기본물량!$P$7:$P$126,배관기본물량!$B$7:$B$126,"철거",배관기본물량!$C$7:$C$126,$C16,배관기본물량!$E$7:$E$126,$D16,배관기본물량!$U$7:$U$126,$E16,배관기본물량!$I$7:$I$126,$G16,배관기본물량!$Q$7:$Q$126,"F")),SUMIFS(배관기본물량!$P$7:$P$126,배관기본물량!$B$7:$B$126,$B16,배관기본물량!$C$7:$C$126,$C16,배관기본물량!$E$7:$E$126,$D16,배관기본물량!$U$7:$U$126,$E16,배관기본물량!$I$7:$I$126,$G16,배관기본물량!$Q$7:$Q$126,"F"))/1000)</f>
        <v>0.104</v>
      </c>
      <c r="O16" s="38" t="n">
        <f aca="false">IF($C16="","",M16+N16)</f>
        <v>0.173834</v>
      </c>
      <c r="P16" s="38" t="n">
        <f aca="false">IF(OR($C16="",N(O16)=0),"",IF(OR($C16="매설",$G16&lt;배관기준!$AG$5),"",ROUND(N16/O16-배관기준!$AG$6,3)))</f>
        <v>0.298</v>
      </c>
      <c r="Q16" s="85" t="str">
        <f aca="false">IF($C16="기계실",0.5,"")</f>
        <v/>
      </c>
      <c r="R16" s="85" t="str">
        <f aca="false">IF($C16="매설",-0.3,"")</f>
        <v/>
      </c>
      <c r="S16" s="38" t="str">
        <f aca="false">IF(AND(ISNUMBER($AA16),ISNUMBER($AB16)),ROUND($AB16/$AA16-1,3),IF(OR($C16="",$H16="",$H16=IF($I16="W6311","SPP","SCH40")),"",IFERROR(ROUND(INDEX(배관단중표!$B$7:$W$41,MATCH($G16,배관단중표!$A$7:$A$41,0),MATCH(IF($H16="SPP","SPP",IF(LEFT($E16,3)="STS",IF(ISNUMBER(SEARCH("316",$E16)),"STS316","STS304"),"SPPS")&amp;"|"&amp;$H16),배관단중표!$B$6:$W$6,0))/INDEX(배관단중표!$B$7:$W$41,MATCH($G16,배관단중표!$A$7:$A$41,0),MATCH(IF(IF($I16="W6311","SPP","SCH40")="SPP","SPP",IF(LEFT($E16,3)="STS",IF(ISNUMBER(SEARCH("316",$E16)),"STS316","STS304"),"SPPS")&amp;"|"&amp;IF($I16="W6311","SPP","SCH40")),배관단중표!$B$6:$W$6,0))-1,3),"확인")))</f>
        <v/>
      </c>
      <c r="T16" s="38" t="str">
        <f aca="false">IF(OR($C16="",$F16="",$F16="탄소강"),"",IFERROR(IF(INDEX(배관기준!$I$5:$V$14,MATCH($F16,배관기준!$H$5:$H$14,0),MIN(14,COUNTIF(배관기준!$I$4:$V$4,"&lt;"&amp;$G16)+1))=0,"확인",INDEX(배관기준!$I$5:$V$14,MATCH($F16,배관기준!$H$5:$H$14,0),MIN(14,COUNTIF(배관기준!$I$4:$V$4,"&lt;"&amp;$G16)+1))/100),"확인"))</f>
        <v/>
      </c>
      <c r="U16" s="6" t="str">
        <f aca="false">IF(AND($C16&lt;&gt;"",$D16="5kg/cm2미만",$K16=""),"DL010465001","")</f>
        <v/>
      </c>
      <c r="V16" s="6" t="str">
        <f aca="false">IF(U16="","","DL010265001")</f>
        <v/>
      </c>
      <c r="W16" s="85" t="n">
        <f aca="false">IF($B16="철거",배관기준!$AG$11,"")</f>
        <v>-0.8</v>
      </c>
      <c r="X16" s="37" t="n">
        <f aca="false">IF($C16="","",배관기준!$AG$12)</f>
        <v>0.15</v>
      </c>
      <c r="Y16" s="16" t="str">
        <f aca="false">IF($C16="","",IF(P16&lt;&gt;"","A01="&amp;P16&amp;", ","")&amp;IF(Q16&lt;&gt;"","A02="&amp;Q16&amp;", ","")&amp;IF(R16&lt;&gt;"","A03="&amp;R16&amp;", ","")&amp;IF(S16&lt;&gt;"","A05="&amp;S16&amp;", ","")&amp;IF(T16&lt;&gt;"","F01="&amp;T16&amp;", ","")&amp;IF(W16&lt;&gt;"","B01="&amp;W16&amp;", ","")&amp;"C04="&amp;X16&amp;", "&amp;IF(U16&lt;&gt;"","R03="&amp;U16&amp;", R04="&amp;V16&amp;", ",""))</f>
        <v>A01=0.298, B01=-0.8, C04=0.15, </v>
      </c>
      <c r="Z16" s="6" t="str">
        <f aca="false">IF($G16="","",IFERROR(I16&amp;VALUE(IF(I16="W6311",INDEX(배관기준!$AB$5:$AB$28,MATCH($G16,배관기준!$AA$5:$AA$28,0)),INDEX(배관기준!$AC$5:$AC$28,MATCH($G16,배관기준!$AA$5:$AA$28,0)))),"확인"))</f>
        <v>W6312111</v>
      </c>
      <c r="AA16" s="40"/>
      <c r="AB16" s="40"/>
      <c r="AC16" s="86" t="str">
        <f aca="false">IF($C16="","",IF(AC$2&lt;&gt;"자동",AC$2,IF(OR($C16="매설",$AL$2="N"),"×",IF($C16="옥외",IF($G16&lt;=IF($AK$2="포항",250,200),"○","×"),IF($C16="옥내",IF($G16&lt;=80,"○","×"),"×")))))</f>
        <v>○</v>
      </c>
      <c r="AD16" s="86" t="str">
        <f aca="false">IF($C16="","",AD$2)</f>
        <v>○</v>
      </c>
      <c r="AE16" s="86" t="str">
        <f aca="false">IF($C16="","",AE$2)</f>
        <v>×</v>
      </c>
      <c r="AF16" s="86" t="str">
        <f aca="false">IF($C16="","",AF$2)</f>
        <v>○</v>
      </c>
      <c r="AG16" s="86" t="str">
        <f aca="false">IF($C16="","",IF(AG$2&lt;&gt;"자동",AG$2,IF(OR($AC16="○",$C16="매설",LEFT($E16,3)="STS",LEFT($E16,3)="SUS"),"×","○")))</f>
        <v>×</v>
      </c>
      <c r="AH16" s="86" t="str">
        <f aca="false">IF($C16="","",AH$2)</f>
        <v>C/C</v>
      </c>
      <c r="AI16" s="87" t="str">
        <f aca="false">IF(AND($AC16="○",$AG16="○",배관기준!$AG$17="Y"),"보온·도장 중복→도장 제외","")</f>
        <v/>
      </c>
      <c r="AJ16" s="75" t="str">
        <f aca="false">IF($C16="","",$B16&amp;"|"&amp;$C16&amp;"|"&amp;$D16&amp;"|"&amp;$E16&amp;"|"&amp;$G16)</f>
        <v>철거|옥외|5kg/cm2이상|STPG370S|80</v>
      </c>
    </row>
    <row r="17" customFormat="false" ht="15" hidden="false" customHeight="true" outlineLevel="0" collapsed="false">
      <c r="A17" s="6" t="n">
        <v>11</v>
      </c>
      <c r="B17" s="20" t="s">
        <v>148</v>
      </c>
      <c r="C17" s="20" t="s">
        <v>702</v>
      </c>
      <c r="D17" s="19" t="s">
        <v>704</v>
      </c>
      <c r="E17" s="19" t="s">
        <v>705</v>
      </c>
      <c r="F17" s="20" t="s">
        <v>817</v>
      </c>
      <c r="G17" s="19" t="n">
        <v>150</v>
      </c>
      <c r="H17" s="19" t="s">
        <v>706</v>
      </c>
      <c r="I17" s="19" t="s">
        <v>818</v>
      </c>
      <c r="J17" s="6" t="str">
        <f aca="false">IF($C17="","",IF($C17="매설","매설",""))</f>
        <v/>
      </c>
      <c r="K17" s="19"/>
      <c r="L17" s="6" t="str">
        <f aca="false">IF($C17="","","TON")</f>
        <v>TON</v>
      </c>
      <c r="M17" s="38" t="n">
        <f aca="false">IF($C17="","",IF($B17="철거",IF(SUMIFS(배관기본물량!$P$7:$P$126,배관기본물량!$B$7:$B$126,"철거",배관기본물량!$C$7:$C$126,$C17,배관기본물량!$E$7:$E$126,$D17,배관기본물량!$U$7:$U$126,$E17,배관기본물량!$I$7:$I$126,$G17,배관기본물량!$Q$7:$Q$126,"P")=0,SUMIFS(배관기본물량!$P$7:$P$126,배관기본물량!$B$7:$B$126,"설치",배관기본물량!$C$7:$C$126,$C17,배관기본물량!$E$7:$E$126,$D17,배관기본물량!$U$7:$U$126,$E17,배관기본물량!$I$7:$I$126,$G17,배관기본물량!$Q$7:$Q$126,"P"),SUMIFS(배관기본물량!$P$7:$P$126,배관기본물량!$B$7:$B$126,"철거",배관기본물량!$C$7:$C$126,$C17,배관기본물량!$E$7:$E$126,$D17,배관기본물량!$U$7:$U$126,$E17,배관기본물량!$I$7:$I$126,$G17,배관기본물량!$Q$7:$Q$126,"P")),SUMIFS(배관기본물량!$P$7:$P$126,배관기본물량!$B$7:$B$126,$B17,배관기본물량!$C$7:$C$126,$C17,배관기본물량!$E$7:$E$126,$D17,배관기본물량!$U$7:$U$126,$E17,배관기본물량!$I$7:$I$126,$G17,배관기본물량!$Q$7:$Q$126,"P"))/1000)</f>
        <v>0.5734177</v>
      </c>
      <c r="N17" s="38" t="n">
        <f aca="false">IF($C17="","",IF($B17="철거",IF(SUMIFS(배관기본물량!$P$7:$P$126,배관기본물량!$B$7:$B$126,"철거",배관기본물량!$C$7:$C$126,$C17,배관기본물량!$E$7:$E$126,$D17,배관기본물량!$U$7:$U$126,$E17,배관기본물량!$I$7:$I$126,$G17,배관기본물량!$Q$7:$Q$126,"F")=0,SUMIFS(배관기본물량!$P$7:$P$126,배관기본물량!$B$7:$B$126,"설치",배관기본물량!$C$7:$C$126,$C17,배관기본물량!$E$7:$E$126,$D17,배관기본물량!$U$7:$U$126,$E17,배관기본물량!$I$7:$I$126,$G17,배관기본물량!$Q$7:$Q$126,"F"),SUMIFS(배관기본물량!$P$7:$P$126,배관기본물량!$B$7:$B$126,"철거",배관기본물량!$C$7:$C$126,$C17,배관기본물량!$E$7:$E$126,$D17,배관기본물량!$U$7:$U$126,$E17,배관기본물량!$I$7:$I$126,$G17,배관기본물량!$Q$7:$Q$126,"F")),SUMIFS(배관기본물량!$P$7:$P$126,배관기본물량!$B$7:$B$126,$B17,배관기본물량!$C$7:$C$126,$C17,배관기본물량!$E$7:$E$126,$D17,배관기본물량!$U$7:$U$126,$E17,배관기본물량!$I$7:$I$126,$G17,배관기본물량!$Q$7:$Q$126,"F"))/1000)</f>
        <v>0.41</v>
      </c>
      <c r="O17" s="38" t="n">
        <f aca="false">IF($C17="","",M17+N17)</f>
        <v>0.9834177</v>
      </c>
      <c r="P17" s="38" t="n">
        <f aca="false">IF(OR($C17="",N(O17)=0),"",IF(OR($C17="매설",$G17&lt;배관기준!$AG$5),"",ROUND(N17/O17-배관기준!$AG$6,3)))</f>
        <v>0.117</v>
      </c>
      <c r="Q17" s="85" t="str">
        <f aca="false">IF($C17="기계실",0.5,"")</f>
        <v/>
      </c>
      <c r="R17" s="85" t="str">
        <f aca="false">IF($C17="매설",-0.3,"")</f>
        <v/>
      </c>
      <c r="S17" s="38" t="str">
        <f aca="false">IF(AND(ISNUMBER($AA17),ISNUMBER($AB17)),ROUND($AB17/$AA17-1,3),IF(OR($C17="",$H17="",$H17=IF($I17="W6311","SPP","SCH40")),"",IFERROR(ROUND(INDEX(배관단중표!$B$7:$W$41,MATCH($G17,배관단중표!$A$7:$A$41,0),MATCH(IF($H17="SPP","SPP",IF(LEFT($E17,3)="STS",IF(ISNUMBER(SEARCH("316",$E17)),"STS316","STS304"),"SPPS")&amp;"|"&amp;$H17),배관단중표!$B$6:$W$6,0))/INDEX(배관단중표!$B$7:$W$41,MATCH($G17,배관단중표!$A$7:$A$41,0),MATCH(IF(IF($I17="W6311","SPP","SCH40")="SPP","SPP",IF(LEFT($E17,3)="STS",IF(ISNUMBER(SEARCH("316",$E17)),"STS316","STS304"),"SPPS")&amp;"|"&amp;IF($I17="W6311","SPP","SCH40")),배관단중표!$B$6:$W$6,0))-1,3),"확인")))</f>
        <v/>
      </c>
      <c r="T17" s="38" t="str">
        <f aca="false">IF(OR($C17="",$F17="",$F17="탄소강"),"",IFERROR(IF(INDEX(배관기준!$I$5:$V$14,MATCH($F17,배관기준!$H$5:$H$14,0),MIN(14,COUNTIF(배관기준!$I$4:$V$4,"&lt;"&amp;$G17)+1))=0,"확인",INDEX(배관기준!$I$5:$V$14,MATCH($F17,배관기준!$H$5:$H$14,0),MIN(14,COUNTIF(배관기준!$I$4:$V$4,"&lt;"&amp;$G17)+1))/100),"확인"))</f>
        <v/>
      </c>
      <c r="U17" s="6" t="str">
        <f aca="false">IF(AND($C17&lt;&gt;"",$D17="5kg/cm2미만",$K17=""),"DL010465001","")</f>
        <v/>
      </c>
      <c r="V17" s="6" t="str">
        <f aca="false">IF(U17="","","DL010265001")</f>
        <v/>
      </c>
      <c r="W17" s="85" t="n">
        <f aca="false">IF($B17="철거",배관기준!$AG$11,"")</f>
        <v>-0.8</v>
      </c>
      <c r="X17" s="37" t="n">
        <f aca="false">IF($C17="","",배관기준!$AG$12)</f>
        <v>0.15</v>
      </c>
      <c r="Y17" s="16" t="str">
        <f aca="false">IF($C17="","",IF(P17&lt;&gt;"","A01="&amp;P17&amp;", ","")&amp;IF(Q17&lt;&gt;"","A02="&amp;Q17&amp;", ","")&amp;IF(R17&lt;&gt;"","A03="&amp;R17&amp;", ","")&amp;IF(S17&lt;&gt;"","A05="&amp;S17&amp;", ","")&amp;IF(T17&lt;&gt;"","F01="&amp;T17&amp;", ","")&amp;IF(W17&lt;&gt;"","B01="&amp;W17&amp;", ","")&amp;"C04="&amp;X17&amp;", "&amp;IF(U17&lt;&gt;"","R03="&amp;U17&amp;", R04="&amp;V17&amp;", ",""))</f>
        <v>A01=0.117, B01=-0.8, C04=0.15, </v>
      </c>
      <c r="Z17" s="6" t="str">
        <f aca="false">IF($G17="","",IFERROR(I17&amp;VALUE(IF(I17="W6311",INDEX(배관기준!$AB$5:$AB$28,MATCH($G17,배관기준!$AA$5:$AA$28,0)),INDEX(배관기준!$AC$5:$AC$28,MATCH($G17,배관기준!$AA$5:$AA$28,0)))),"확인"))</f>
        <v>W6312115</v>
      </c>
      <c r="AA17" s="40"/>
      <c r="AB17" s="40"/>
      <c r="AC17" s="86" t="str">
        <f aca="false">IF($C17="","",IF(AC$2&lt;&gt;"자동",AC$2,IF(OR($C17="매설",$AL$2="N"),"×",IF($C17="옥외",IF($G17&lt;=IF($AK$2="포항",250,200),"○","×"),IF($C17="옥내",IF($G17&lt;=80,"○","×"),"×")))))</f>
        <v>○</v>
      </c>
      <c r="AD17" s="86" t="str">
        <f aca="false">IF($C17="","",AD$2)</f>
        <v>○</v>
      </c>
      <c r="AE17" s="86" t="str">
        <f aca="false">IF($C17="","",AE$2)</f>
        <v>×</v>
      </c>
      <c r="AF17" s="86" t="str">
        <f aca="false">IF($C17="","",AF$2)</f>
        <v>○</v>
      </c>
      <c r="AG17" s="86" t="str">
        <f aca="false">IF($C17="","",IF(AG$2&lt;&gt;"자동",AG$2,IF(OR($AC17="○",$C17="매설",LEFT($E17,3)="STS",LEFT($E17,3)="SUS"),"×","○")))</f>
        <v>×</v>
      </c>
      <c r="AH17" s="86" t="str">
        <f aca="false">IF($C17="","",AH$2)</f>
        <v>C/C</v>
      </c>
      <c r="AI17" s="87" t="str">
        <f aca="false">IF(AND($AC17="○",$AG17="○",배관기준!$AG$17="Y"),"보온·도장 중복→도장 제외","")</f>
        <v/>
      </c>
      <c r="AJ17" s="75" t="str">
        <f aca="false">IF($C17="","",$B17&amp;"|"&amp;$C17&amp;"|"&amp;$D17&amp;"|"&amp;$E17&amp;"|"&amp;$G17)</f>
        <v>철거|옥외|5kg/cm2이상|STPG370S|150</v>
      </c>
    </row>
    <row r="18" customFormat="false" ht="15" hidden="false" customHeight="true" outlineLevel="0" collapsed="false">
      <c r="A18" s="6" t="n">
        <v>12</v>
      </c>
      <c r="B18" s="20" t="s">
        <v>148</v>
      </c>
      <c r="C18" s="20" t="s">
        <v>702</v>
      </c>
      <c r="D18" s="19" t="s">
        <v>704</v>
      </c>
      <c r="E18" s="19" t="s">
        <v>705</v>
      </c>
      <c r="F18" s="20" t="s">
        <v>817</v>
      </c>
      <c r="G18" s="19" t="n">
        <v>200</v>
      </c>
      <c r="H18" s="19" t="s">
        <v>706</v>
      </c>
      <c r="I18" s="19" t="s">
        <v>818</v>
      </c>
      <c r="J18" s="6" t="str">
        <f aca="false">IF($C18="","",IF($C18="매설","매설",""))</f>
        <v/>
      </c>
      <c r="K18" s="19"/>
      <c r="L18" s="6" t="str">
        <f aca="false">IF($C18="","","TON")</f>
        <v>TON</v>
      </c>
      <c r="M18" s="38" t="n">
        <f aca="false">IF($C18="","",IF($B18="철거",IF(SUMIFS(배관기본물량!$P$7:$P$126,배관기본물량!$B$7:$B$126,"철거",배관기본물량!$C$7:$C$126,$C18,배관기본물량!$E$7:$E$126,$D18,배관기본물량!$U$7:$U$126,$E18,배관기본물량!$I$7:$I$126,$G18,배관기본물량!$Q$7:$Q$126,"P")=0,SUMIFS(배관기본물량!$P$7:$P$126,배관기본물량!$B$7:$B$126,"설치",배관기본물량!$C$7:$C$126,$C18,배관기본물량!$E$7:$E$126,$D18,배관기본물량!$U$7:$U$126,$E18,배관기본물량!$I$7:$I$126,$G18,배관기본물량!$Q$7:$Q$126,"P"),SUMIFS(배관기본물량!$P$7:$P$126,배관기본물량!$B$7:$B$126,"철거",배관기본물량!$C$7:$C$126,$C18,배관기본물량!$E$7:$E$126,$D18,배관기본물량!$U$7:$U$126,$E18,배관기본물량!$I$7:$I$126,$G18,배관기본물량!$Q$7:$Q$126,"P")),SUMIFS(배관기본물량!$P$7:$P$126,배관기본물량!$B$7:$B$126,$B18,배관기본물량!$C$7:$C$126,$C18,배관기본물량!$E$7:$E$126,$D18,배관기본물량!$U$7:$U$126,$E18,배관기본물량!$I$7:$I$126,$G18,배관기본물량!$Q$7:$Q$126,"P"))/1000)</f>
        <v>0.38370782</v>
      </c>
      <c r="N18" s="38" t="n">
        <f aca="false">IF($C18="","",IF($B18="철거",IF(SUMIFS(배관기본물량!$P$7:$P$126,배관기본물량!$B$7:$B$126,"철거",배관기본물량!$C$7:$C$126,$C18,배관기본물량!$E$7:$E$126,$D18,배관기본물량!$U$7:$U$126,$E18,배관기본물량!$I$7:$I$126,$G18,배관기본물량!$Q$7:$Q$126,"F")=0,SUMIFS(배관기본물량!$P$7:$P$126,배관기본물량!$B$7:$B$126,"설치",배관기본물량!$C$7:$C$126,$C18,배관기본물량!$E$7:$E$126,$D18,배관기본물량!$U$7:$U$126,$E18,배관기본물량!$I$7:$I$126,$G18,배관기본물량!$Q$7:$Q$126,"F"),SUMIFS(배관기본물량!$P$7:$P$126,배관기본물량!$B$7:$B$126,"철거",배관기본물량!$C$7:$C$126,$C18,배관기본물량!$E$7:$E$126,$D18,배관기본물량!$U$7:$U$126,$E18,배관기본물량!$I$7:$I$126,$G18,배관기본물량!$Q$7:$Q$126,"F")),SUMIFS(배관기본물량!$P$7:$P$126,배관기본물량!$B$7:$B$126,$B18,배관기본물량!$C$7:$C$126,$C18,배관기본물량!$E$7:$E$126,$D18,배관기본물량!$U$7:$U$126,$E18,배관기본물량!$I$7:$I$126,$G18,배관기본물량!$Q$7:$Q$126,"F"))/1000)</f>
        <v>0.7994</v>
      </c>
      <c r="O18" s="38" t="n">
        <f aca="false">IF($C18="","",M18+N18)</f>
        <v>1.18310782</v>
      </c>
      <c r="P18" s="38" t="n">
        <f aca="false">IF(OR($C18="",N(O18)=0),"",IF(OR($C18="매설",$G18&lt;배관기준!$AG$5),"",ROUND(N18/O18-배관기준!$AG$6,3)))</f>
        <v>0.376</v>
      </c>
      <c r="Q18" s="85" t="str">
        <f aca="false">IF($C18="기계실",0.5,"")</f>
        <v/>
      </c>
      <c r="R18" s="85" t="str">
        <f aca="false">IF($C18="매설",-0.3,"")</f>
        <v/>
      </c>
      <c r="S18" s="38" t="str">
        <f aca="false">IF(AND(ISNUMBER($AA18),ISNUMBER($AB18)),ROUND($AB18/$AA18-1,3),IF(OR($C18="",$H18="",$H18=IF($I18="W6311","SPP","SCH40")),"",IFERROR(ROUND(INDEX(배관단중표!$B$7:$W$41,MATCH($G18,배관단중표!$A$7:$A$41,0),MATCH(IF($H18="SPP","SPP",IF(LEFT($E18,3)="STS",IF(ISNUMBER(SEARCH("316",$E18)),"STS316","STS304"),"SPPS")&amp;"|"&amp;$H18),배관단중표!$B$6:$W$6,0))/INDEX(배관단중표!$B$7:$W$41,MATCH($G18,배관단중표!$A$7:$A$41,0),MATCH(IF(IF($I18="W6311","SPP","SCH40")="SPP","SPP",IF(LEFT($E18,3)="STS",IF(ISNUMBER(SEARCH("316",$E18)),"STS316","STS304"),"SPPS")&amp;"|"&amp;IF($I18="W6311","SPP","SCH40")),배관단중표!$B$6:$W$6,0))-1,3),"확인")))</f>
        <v/>
      </c>
      <c r="T18" s="38" t="str">
        <f aca="false">IF(OR($C18="",$F18="",$F18="탄소강"),"",IFERROR(IF(INDEX(배관기준!$I$5:$V$14,MATCH($F18,배관기준!$H$5:$H$14,0),MIN(14,COUNTIF(배관기준!$I$4:$V$4,"&lt;"&amp;$G18)+1))=0,"확인",INDEX(배관기준!$I$5:$V$14,MATCH($F18,배관기준!$H$5:$H$14,0),MIN(14,COUNTIF(배관기준!$I$4:$V$4,"&lt;"&amp;$G18)+1))/100),"확인"))</f>
        <v/>
      </c>
      <c r="U18" s="6" t="str">
        <f aca="false">IF(AND($C18&lt;&gt;"",$D18="5kg/cm2미만",$K18=""),"DL010465001","")</f>
        <v/>
      </c>
      <c r="V18" s="6" t="str">
        <f aca="false">IF(U18="","","DL010265001")</f>
        <v/>
      </c>
      <c r="W18" s="85" t="n">
        <f aca="false">IF($B18="철거",배관기준!$AG$11,"")</f>
        <v>-0.8</v>
      </c>
      <c r="X18" s="37" t="n">
        <f aca="false">IF($C18="","",배관기준!$AG$12)</f>
        <v>0.15</v>
      </c>
      <c r="Y18" s="16" t="str">
        <f aca="false">IF($C18="","",IF(P18&lt;&gt;"","A01="&amp;P18&amp;", ","")&amp;IF(Q18&lt;&gt;"","A02="&amp;Q18&amp;", ","")&amp;IF(R18&lt;&gt;"","A03="&amp;R18&amp;", ","")&amp;IF(S18&lt;&gt;"","A05="&amp;S18&amp;", ","")&amp;IF(T18&lt;&gt;"","F01="&amp;T18&amp;", ","")&amp;IF(W18&lt;&gt;"","B01="&amp;W18&amp;", ","")&amp;"C04="&amp;X18&amp;", "&amp;IF(U18&lt;&gt;"","R03="&amp;U18&amp;", R04="&amp;V18&amp;", ",""))</f>
        <v>A01=0.376, B01=-0.8, C04=0.15, </v>
      </c>
      <c r="Z18" s="6" t="str">
        <f aca="false">IF($G18="","",IFERROR(I18&amp;VALUE(IF(I18="W6311",INDEX(배관기준!$AB$5:$AB$28,MATCH($G18,배관기준!$AA$5:$AA$28,0)),INDEX(배관기준!$AC$5:$AC$28,MATCH($G18,배관기준!$AA$5:$AA$28,0)))),"확인"))</f>
        <v>W6312116</v>
      </c>
      <c r="AA18" s="40"/>
      <c r="AB18" s="40"/>
      <c r="AC18" s="86" t="str">
        <f aca="false">IF($C18="","",IF(AC$2&lt;&gt;"자동",AC$2,IF(OR($C18="매설",$AL$2="N"),"×",IF($C18="옥외",IF($G18&lt;=IF($AK$2="포항",250,200),"○","×"),IF($C18="옥내",IF($G18&lt;=80,"○","×"),"×")))))</f>
        <v>○</v>
      </c>
      <c r="AD18" s="86" t="str">
        <f aca="false">IF($C18="","",AD$2)</f>
        <v>○</v>
      </c>
      <c r="AE18" s="86" t="str">
        <f aca="false">IF($C18="","",AE$2)</f>
        <v>×</v>
      </c>
      <c r="AF18" s="86" t="str">
        <f aca="false">IF($C18="","",AF$2)</f>
        <v>○</v>
      </c>
      <c r="AG18" s="86" t="str">
        <f aca="false">IF($C18="","",IF(AG$2&lt;&gt;"자동",AG$2,IF(OR($AC18="○",$C18="매설",LEFT($E18,3)="STS",LEFT($E18,3)="SUS"),"×","○")))</f>
        <v>×</v>
      </c>
      <c r="AH18" s="86" t="str">
        <f aca="false">IF($C18="","",AH$2)</f>
        <v>C/C</v>
      </c>
      <c r="AI18" s="87" t="str">
        <f aca="false">IF(AND($AC18="○",$AG18="○",배관기준!$AG$17="Y"),"보온·도장 중복→도장 제외","")</f>
        <v/>
      </c>
      <c r="AJ18" s="75" t="str">
        <f aca="false">IF($C18="","",$B18&amp;"|"&amp;$C18&amp;"|"&amp;$D18&amp;"|"&amp;$E18&amp;"|"&amp;$G18)</f>
        <v>철거|옥외|5kg/cm2이상|STPG370S|200</v>
      </c>
    </row>
    <row r="19" customFormat="false" ht="15" hidden="false" customHeight="true" outlineLevel="0" collapsed="false">
      <c r="A19" s="6" t="n">
        <v>13</v>
      </c>
      <c r="B19" s="20" t="s">
        <v>148</v>
      </c>
      <c r="C19" s="20" t="s">
        <v>702</v>
      </c>
      <c r="D19" s="19" t="s">
        <v>704</v>
      </c>
      <c r="E19" s="19" t="s">
        <v>705</v>
      </c>
      <c r="F19" s="20" t="s">
        <v>817</v>
      </c>
      <c r="G19" s="19" t="n">
        <v>250</v>
      </c>
      <c r="H19" s="19" t="s">
        <v>706</v>
      </c>
      <c r="I19" s="19" t="s">
        <v>818</v>
      </c>
      <c r="J19" s="6" t="str">
        <f aca="false">IF($C19="","",IF($C19="매설","매설",""))</f>
        <v/>
      </c>
      <c r="K19" s="19"/>
      <c r="L19" s="6" t="str">
        <f aca="false">IF($C19="","","TON")</f>
        <v>TON</v>
      </c>
      <c r="M19" s="38" t="n">
        <f aca="false">IF($C19="","",IF($B19="철거",IF(SUMIFS(배관기본물량!$P$7:$P$126,배관기본물량!$B$7:$B$126,"철거",배관기본물량!$C$7:$C$126,$C19,배관기본물량!$E$7:$E$126,$D19,배관기본물량!$U$7:$U$126,$E19,배관기본물량!$I$7:$I$126,$G19,배관기본물량!$Q$7:$Q$126,"P")=0,SUMIFS(배관기본물량!$P$7:$P$126,배관기본물량!$B$7:$B$126,"설치",배관기본물량!$C$7:$C$126,$C19,배관기본물량!$E$7:$E$126,$D19,배관기본물량!$U$7:$U$126,$E19,배관기본물량!$I$7:$I$126,$G19,배관기본물량!$Q$7:$Q$126,"P"),SUMIFS(배관기본물량!$P$7:$P$126,배관기본물량!$B$7:$B$126,"철거",배관기본물량!$C$7:$C$126,$C19,배관기본물량!$E$7:$E$126,$D19,배관기본물량!$U$7:$U$126,$E19,배관기본물량!$I$7:$I$126,$G19,배관기본물량!$Q$7:$Q$126,"P")),SUMIFS(배관기본물량!$P$7:$P$126,배관기본물량!$B$7:$B$126,$B19,배관기본물량!$C$7:$C$126,$C19,배관기본물량!$E$7:$E$126,$D19,배관기본물량!$U$7:$U$126,$E19,배관기본물량!$I$7:$I$126,$G19,배관기본물량!$Q$7:$Q$126,"P"))/1000)</f>
        <v>0.5130272</v>
      </c>
      <c r="N19" s="38" t="n">
        <f aca="false">IF($C19="","",IF($B19="철거",IF(SUMIFS(배관기본물량!$P$7:$P$126,배관기본물량!$B$7:$B$126,"철거",배관기본물량!$C$7:$C$126,$C19,배관기본물량!$E$7:$E$126,$D19,배관기본물량!$U$7:$U$126,$E19,배관기본물량!$I$7:$I$126,$G19,배관기본물량!$Q$7:$Q$126,"F")=0,SUMIFS(배관기본물량!$P$7:$P$126,배관기본물량!$B$7:$B$126,"설치",배관기본물량!$C$7:$C$126,$C19,배관기본물량!$E$7:$E$126,$D19,배관기본물량!$U$7:$U$126,$E19,배관기본물량!$I$7:$I$126,$G19,배관기본물량!$Q$7:$Q$126,"F"),SUMIFS(배관기본물량!$P$7:$P$126,배관기본물량!$B$7:$B$126,"철거",배관기본물량!$C$7:$C$126,$C19,배관기본물량!$E$7:$E$126,$D19,배관기본물량!$U$7:$U$126,$E19,배관기본물량!$I$7:$I$126,$G19,배관기본물량!$Q$7:$Q$126,"F")),SUMIFS(배관기본물량!$P$7:$P$126,배관기본물량!$B$7:$B$126,$B19,배관기본물량!$C$7:$C$126,$C19,배관기본물량!$E$7:$E$126,$D19,배관기본물량!$U$7:$U$126,$E19,배관기본물량!$I$7:$I$126,$G19,배관기본물량!$Q$7:$Q$126,"F"))/1000)</f>
        <v>0.2647</v>
      </c>
      <c r="O19" s="38" t="n">
        <f aca="false">IF($C19="","",M19+N19)</f>
        <v>0.7777272</v>
      </c>
      <c r="P19" s="38" t="n">
        <f aca="false">IF(OR($C19="",N(O19)=0),"",IF(OR($C19="매설",$G19&lt;배관기준!$AG$5),"",ROUND(N19/O19-배관기준!$AG$6,3)))</f>
        <v>0.04</v>
      </c>
      <c r="Q19" s="85" t="str">
        <f aca="false">IF($C19="기계실",0.5,"")</f>
        <v/>
      </c>
      <c r="R19" s="85" t="str">
        <f aca="false">IF($C19="매설",-0.3,"")</f>
        <v/>
      </c>
      <c r="S19" s="38" t="str">
        <f aca="false">IF(AND(ISNUMBER($AA19),ISNUMBER($AB19)),ROUND($AB19/$AA19-1,3),IF(OR($C19="",$H19="",$H19=IF($I19="W6311","SPP","SCH40")),"",IFERROR(ROUND(INDEX(배관단중표!$B$7:$W$41,MATCH($G19,배관단중표!$A$7:$A$41,0),MATCH(IF($H19="SPP","SPP",IF(LEFT($E19,3)="STS",IF(ISNUMBER(SEARCH("316",$E19)),"STS316","STS304"),"SPPS")&amp;"|"&amp;$H19),배관단중표!$B$6:$W$6,0))/INDEX(배관단중표!$B$7:$W$41,MATCH($G19,배관단중표!$A$7:$A$41,0),MATCH(IF(IF($I19="W6311","SPP","SCH40")="SPP","SPP",IF(LEFT($E19,3)="STS",IF(ISNUMBER(SEARCH("316",$E19)),"STS316","STS304"),"SPPS")&amp;"|"&amp;IF($I19="W6311","SPP","SCH40")),배관단중표!$B$6:$W$6,0))-1,3),"확인")))</f>
        <v/>
      </c>
      <c r="T19" s="38" t="str">
        <f aca="false">IF(OR($C19="",$F19="",$F19="탄소강"),"",IFERROR(IF(INDEX(배관기준!$I$5:$V$14,MATCH($F19,배관기준!$H$5:$H$14,0),MIN(14,COUNTIF(배관기준!$I$4:$V$4,"&lt;"&amp;$G19)+1))=0,"확인",INDEX(배관기준!$I$5:$V$14,MATCH($F19,배관기준!$H$5:$H$14,0),MIN(14,COUNTIF(배관기준!$I$4:$V$4,"&lt;"&amp;$G19)+1))/100),"확인"))</f>
        <v/>
      </c>
      <c r="U19" s="6" t="str">
        <f aca="false">IF(AND($C19&lt;&gt;"",$D19="5kg/cm2미만",$K19=""),"DL010465001","")</f>
        <v/>
      </c>
      <c r="V19" s="6" t="str">
        <f aca="false">IF(U19="","","DL010265001")</f>
        <v/>
      </c>
      <c r="W19" s="85" t="n">
        <f aca="false">IF($B19="철거",배관기준!$AG$11,"")</f>
        <v>-0.8</v>
      </c>
      <c r="X19" s="37" t="n">
        <f aca="false">IF($C19="","",배관기준!$AG$12)</f>
        <v>0.15</v>
      </c>
      <c r="Y19" s="16" t="str">
        <f aca="false">IF($C19="","",IF(P19&lt;&gt;"","A01="&amp;P19&amp;", ","")&amp;IF(Q19&lt;&gt;"","A02="&amp;Q19&amp;", ","")&amp;IF(R19&lt;&gt;"","A03="&amp;R19&amp;", ","")&amp;IF(S19&lt;&gt;"","A05="&amp;S19&amp;", ","")&amp;IF(T19&lt;&gt;"","F01="&amp;T19&amp;", ","")&amp;IF(W19&lt;&gt;"","B01="&amp;W19&amp;", ","")&amp;"C04="&amp;X19&amp;", "&amp;IF(U19&lt;&gt;"","R03="&amp;U19&amp;", R04="&amp;V19&amp;", ",""))</f>
        <v>A01=0.04, B01=-0.8, C04=0.15, </v>
      </c>
      <c r="Z19" s="6" t="str">
        <f aca="false">IF($G19="","",IFERROR(I19&amp;VALUE(IF(I19="W6311",INDEX(배관기준!$AB$5:$AB$28,MATCH($G19,배관기준!$AA$5:$AA$28,0)),INDEX(배관기준!$AC$5:$AC$28,MATCH($G19,배관기준!$AA$5:$AA$28,0)))),"확인"))</f>
        <v>W6312117</v>
      </c>
      <c r="AA19" s="40"/>
      <c r="AB19" s="40"/>
      <c r="AC19" s="86" t="str">
        <f aca="false">IF($C19="","",IF(AC$2&lt;&gt;"자동",AC$2,IF(OR($C19="매설",$AL$2="N"),"×",IF($C19="옥외",IF($G19&lt;=IF($AK$2="포항",250,200),"○","×"),IF($C19="옥내",IF($G19&lt;=80,"○","×"),"×")))))</f>
        <v>○</v>
      </c>
      <c r="AD19" s="86" t="str">
        <f aca="false">IF($C19="","",AD$2)</f>
        <v>○</v>
      </c>
      <c r="AE19" s="86" t="str">
        <f aca="false">IF($C19="","",AE$2)</f>
        <v>×</v>
      </c>
      <c r="AF19" s="86" t="str">
        <f aca="false">IF($C19="","",AF$2)</f>
        <v>○</v>
      </c>
      <c r="AG19" s="86" t="str">
        <f aca="false">IF($C19="","",IF(AG$2&lt;&gt;"자동",AG$2,IF(OR($AC19="○",$C19="매설",LEFT($E19,3)="STS",LEFT($E19,3)="SUS"),"×","○")))</f>
        <v>×</v>
      </c>
      <c r="AH19" s="86" t="str">
        <f aca="false">IF($C19="","",AH$2)</f>
        <v>C/C</v>
      </c>
      <c r="AI19" s="87" t="str">
        <f aca="false">IF(AND($AC19="○",$AG19="○",배관기준!$AG$17="Y"),"보온·도장 중복→도장 제외","")</f>
        <v/>
      </c>
      <c r="AJ19" s="75" t="str">
        <f aca="false">IF($C19="","",$B19&amp;"|"&amp;$C19&amp;"|"&amp;$D19&amp;"|"&amp;$E19&amp;"|"&amp;$G19)</f>
        <v>철거|옥외|5kg/cm2이상|STPG370S|250</v>
      </c>
    </row>
    <row r="20" customFormat="false" ht="15" hidden="false" customHeight="true" outlineLevel="0" collapsed="false">
      <c r="A20" s="6" t="n">
        <v>14</v>
      </c>
      <c r="B20" s="20" t="s">
        <v>148</v>
      </c>
      <c r="C20" s="20" t="s">
        <v>702</v>
      </c>
      <c r="D20" s="19" t="s">
        <v>704</v>
      </c>
      <c r="E20" s="19" t="s">
        <v>705</v>
      </c>
      <c r="F20" s="20" t="s">
        <v>817</v>
      </c>
      <c r="G20" s="19" t="n">
        <v>300</v>
      </c>
      <c r="H20" s="19" t="s">
        <v>706</v>
      </c>
      <c r="I20" s="19" t="s">
        <v>818</v>
      </c>
      <c r="J20" s="6" t="str">
        <f aca="false">IF($C20="","",IF($C20="매설","매설",""))</f>
        <v/>
      </c>
      <c r="K20" s="19"/>
      <c r="L20" s="6" t="str">
        <f aca="false">IF($C20="","","TON")</f>
        <v>TON</v>
      </c>
      <c r="M20" s="38" t="n">
        <f aca="false">IF($C20="","",IF($B20="철거",IF(SUMIFS(배관기본물량!$P$7:$P$126,배관기본물량!$B$7:$B$126,"철거",배관기본물량!$C$7:$C$126,$C20,배관기본물량!$E$7:$E$126,$D20,배관기본물량!$U$7:$U$126,$E20,배관기본물량!$I$7:$I$126,$G20,배관기본물량!$Q$7:$Q$126,"P")=0,SUMIFS(배관기본물량!$P$7:$P$126,배관기본물량!$B$7:$B$126,"설치",배관기본물량!$C$7:$C$126,$C20,배관기본물량!$E$7:$E$126,$D20,배관기본물량!$U$7:$U$126,$E20,배관기본물량!$I$7:$I$126,$G20,배관기본물량!$Q$7:$Q$126,"P"),SUMIFS(배관기본물량!$P$7:$P$126,배관기본물량!$B$7:$B$126,"철거",배관기본물량!$C$7:$C$126,$C20,배관기본물량!$E$7:$E$126,$D20,배관기본물량!$U$7:$U$126,$E20,배관기본물량!$I$7:$I$126,$G20,배관기본물량!$Q$7:$Q$126,"P")),SUMIFS(배관기본물량!$P$7:$P$126,배관기본물량!$B$7:$B$126,$B20,배관기본물량!$C$7:$C$126,$C20,배관기본물량!$E$7:$E$126,$D20,배관기본물량!$U$7:$U$126,$E20,배관기본물량!$I$7:$I$126,$G20,배관기본물량!$Q$7:$Q$126,"P"))/1000)</f>
        <v>0.3613545</v>
      </c>
      <c r="N20" s="38" t="n">
        <f aca="false">IF($C20="","",IF($B20="철거",IF(SUMIFS(배관기본물량!$P$7:$P$126,배관기본물량!$B$7:$B$126,"철거",배관기본물량!$C$7:$C$126,$C20,배관기본물량!$E$7:$E$126,$D20,배관기본물량!$U$7:$U$126,$E20,배관기본물량!$I$7:$I$126,$G20,배관기본물량!$Q$7:$Q$126,"F")=0,SUMIFS(배관기본물량!$P$7:$P$126,배관기본물량!$B$7:$B$126,"설치",배관기본물량!$C$7:$C$126,$C20,배관기본물량!$E$7:$E$126,$D20,배관기본물량!$U$7:$U$126,$E20,배관기본물량!$I$7:$I$126,$G20,배관기본물량!$Q$7:$Q$126,"F"),SUMIFS(배관기본물량!$P$7:$P$126,배관기본물량!$B$7:$B$126,"철거",배관기본물량!$C$7:$C$126,$C20,배관기본물량!$E$7:$E$126,$D20,배관기본물량!$U$7:$U$126,$E20,배관기본물량!$I$7:$I$126,$G20,배관기본물량!$Q$7:$Q$126,"F")),SUMIFS(배관기본물량!$P$7:$P$126,배관기본물량!$B$7:$B$126,$B20,배관기본물량!$C$7:$C$126,$C20,배관기본물량!$E$7:$E$126,$D20,배관기본물량!$U$7:$U$126,$E20,배관기본물량!$I$7:$I$126,$G20,배관기본물량!$Q$7:$Q$126,"F"))/1000)</f>
        <v>1.4431</v>
      </c>
      <c r="O20" s="38" t="n">
        <f aca="false">IF($C20="","",M20+N20)</f>
        <v>1.8044545</v>
      </c>
      <c r="P20" s="38" t="n">
        <f aca="false">IF(OR($C20="",N(O20)=0),"",IF(OR($C20="매설",$G20&lt;배관기준!$AG$5),"",ROUND(N20/O20-배관기준!$AG$6,3)))</f>
        <v>0.5</v>
      </c>
      <c r="Q20" s="85" t="str">
        <f aca="false">IF($C20="기계실",0.5,"")</f>
        <v/>
      </c>
      <c r="R20" s="85" t="str">
        <f aca="false">IF($C20="매설",-0.3,"")</f>
        <v/>
      </c>
      <c r="S20" s="38" t="str">
        <f aca="false">IF(AND(ISNUMBER($AA20),ISNUMBER($AB20)),ROUND($AB20/$AA20-1,3),IF(OR($C20="",$H20="",$H20=IF($I20="W6311","SPP","SCH40")),"",IFERROR(ROUND(INDEX(배관단중표!$B$7:$W$41,MATCH($G20,배관단중표!$A$7:$A$41,0),MATCH(IF($H20="SPP","SPP",IF(LEFT($E20,3)="STS",IF(ISNUMBER(SEARCH("316",$E20)),"STS316","STS304"),"SPPS")&amp;"|"&amp;$H20),배관단중표!$B$6:$W$6,0))/INDEX(배관단중표!$B$7:$W$41,MATCH($G20,배관단중표!$A$7:$A$41,0),MATCH(IF(IF($I20="W6311","SPP","SCH40")="SPP","SPP",IF(LEFT($E20,3)="STS",IF(ISNUMBER(SEARCH("316",$E20)),"STS316","STS304"),"SPPS")&amp;"|"&amp;IF($I20="W6311","SPP","SCH40")),배관단중표!$B$6:$W$6,0))-1,3),"확인")))</f>
        <v/>
      </c>
      <c r="T20" s="38" t="str">
        <f aca="false">IF(OR($C20="",$F20="",$F20="탄소강"),"",IFERROR(IF(INDEX(배관기준!$I$5:$V$14,MATCH($F20,배관기준!$H$5:$H$14,0),MIN(14,COUNTIF(배관기준!$I$4:$V$4,"&lt;"&amp;$G20)+1))=0,"확인",INDEX(배관기준!$I$5:$V$14,MATCH($F20,배관기준!$H$5:$H$14,0),MIN(14,COUNTIF(배관기준!$I$4:$V$4,"&lt;"&amp;$G20)+1))/100),"확인"))</f>
        <v/>
      </c>
      <c r="U20" s="6" t="str">
        <f aca="false">IF(AND($C20&lt;&gt;"",$D20="5kg/cm2미만",$K20=""),"DL010465001","")</f>
        <v/>
      </c>
      <c r="V20" s="6" t="str">
        <f aca="false">IF(U20="","","DL010265001")</f>
        <v/>
      </c>
      <c r="W20" s="85" t="n">
        <f aca="false">IF($B20="철거",배관기준!$AG$11,"")</f>
        <v>-0.8</v>
      </c>
      <c r="X20" s="37" t="n">
        <f aca="false">IF($C20="","",배관기준!$AG$12)</f>
        <v>0.15</v>
      </c>
      <c r="Y20" s="16" t="str">
        <f aca="false">IF($C20="","",IF(P20&lt;&gt;"","A01="&amp;P20&amp;", ","")&amp;IF(Q20&lt;&gt;"","A02="&amp;Q20&amp;", ","")&amp;IF(R20&lt;&gt;"","A03="&amp;R20&amp;", ","")&amp;IF(S20&lt;&gt;"","A05="&amp;S20&amp;", ","")&amp;IF(T20&lt;&gt;"","F01="&amp;T20&amp;", ","")&amp;IF(W20&lt;&gt;"","B01="&amp;W20&amp;", ","")&amp;"C04="&amp;X20&amp;", "&amp;IF(U20&lt;&gt;"","R03="&amp;U20&amp;", R04="&amp;V20&amp;", ",""))</f>
        <v>A01=0.5, B01=-0.8, C04=0.15, </v>
      </c>
      <c r="Z20" s="6" t="str">
        <f aca="false">IF($G20="","",IFERROR(I20&amp;VALUE(IF(I20="W6311",INDEX(배관기준!$AB$5:$AB$28,MATCH($G20,배관기준!$AA$5:$AA$28,0)),INDEX(배관기준!$AC$5:$AC$28,MATCH($G20,배관기준!$AA$5:$AA$28,0)))),"확인"))</f>
        <v>W6312118</v>
      </c>
      <c r="AA20" s="40"/>
      <c r="AB20" s="40"/>
      <c r="AC20" s="86" t="str">
        <f aca="false">IF($C20="","",IF(AC$2&lt;&gt;"자동",AC$2,IF(OR($C20="매설",$AL$2="N"),"×",IF($C20="옥외",IF($G20&lt;=IF($AK$2="포항",250,200),"○","×"),IF($C20="옥내",IF($G20&lt;=80,"○","×"),"×")))))</f>
        <v>×</v>
      </c>
      <c r="AD20" s="86" t="str">
        <f aca="false">IF($C20="","",AD$2)</f>
        <v>○</v>
      </c>
      <c r="AE20" s="86" t="str">
        <f aca="false">IF($C20="","",AE$2)</f>
        <v>×</v>
      </c>
      <c r="AF20" s="86" t="str">
        <f aca="false">IF($C20="","",AF$2)</f>
        <v>○</v>
      </c>
      <c r="AG20" s="86" t="str">
        <f aca="false">IF($C20="","",IF(AG$2&lt;&gt;"자동",AG$2,IF(OR($AC20="○",$C20="매설",LEFT($E20,3)="STS",LEFT($E20,3)="SUS"),"×","○")))</f>
        <v>○</v>
      </c>
      <c r="AH20" s="86" t="str">
        <f aca="false">IF($C20="","",AH$2)</f>
        <v>C/C</v>
      </c>
      <c r="AI20" s="87" t="str">
        <f aca="false">IF(AND($AC20="○",$AG20="○",배관기준!$AG$17="Y"),"보온·도장 중복→도장 제외","")</f>
        <v/>
      </c>
      <c r="AJ20" s="75" t="str">
        <f aca="false">IF($C20="","",$B20&amp;"|"&amp;$C20&amp;"|"&amp;$D20&amp;"|"&amp;$E20&amp;"|"&amp;$G20)</f>
        <v>철거|옥외|5kg/cm2이상|STPG370S|300</v>
      </c>
    </row>
    <row r="21" customFormat="false" ht="15" hidden="false" customHeight="true" outlineLevel="0" collapsed="false">
      <c r="A21" s="6"/>
      <c r="B21" s="21"/>
      <c r="C21" s="21"/>
      <c r="D21" s="21"/>
      <c r="E21" s="21"/>
      <c r="F21" s="21"/>
      <c r="G21" s="21"/>
      <c r="H21" s="21"/>
      <c r="I21" s="21"/>
      <c r="J21" s="6" t="str">
        <f aca="false">IF($C21="","",IF($C21="매설","매설",""))</f>
        <v/>
      </c>
      <c r="K21" s="19"/>
      <c r="L21" s="6" t="str">
        <f aca="false">IF($C21="","","TON")</f>
        <v/>
      </c>
      <c r="M21" s="38" t="str">
        <f aca="false">IF($C21="","",IF($B21="철거",IF(SUMIFS(배관기본물량!$P$7:$P$126,배관기본물량!$B$7:$B$126,"철거",배관기본물량!$C$7:$C$126,$C21,배관기본물량!$E$7:$E$126,$D21,배관기본물량!$U$7:$U$126,$E21,배관기본물량!$I$7:$I$126,$G21,배관기본물량!$Q$7:$Q$126,"P")=0,SUMIFS(배관기본물량!$P$7:$P$126,배관기본물량!$B$7:$B$126,"설치",배관기본물량!$C$7:$C$126,$C21,배관기본물량!$E$7:$E$126,$D21,배관기본물량!$U$7:$U$126,$E21,배관기본물량!$I$7:$I$126,$G21,배관기본물량!$Q$7:$Q$126,"P"),SUMIFS(배관기본물량!$P$7:$P$126,배관기본물량!$B$7:$B$126,"철거",배관기본물량!$C$7:$C$126,$C21,배관기본물량!$E$7:$E$126,$D21,배관기본물량!$U$7:$U$126,$E21,배관기본물량!$I$7:$I$126,$G21,배관기본물량!$Q$7:$Q$126,"P")),SUMIFS(배관기본물량!$P$7:$P$126,배관기본물량!$B$7:$B$126,$B21,배관기본물량!$C$7:$C$126,$C21,배관기본물량!$E$7:$E$126,$D21,배관기본물량!$U$7:$U$126,$E21,배관기본물량!$I$7:$I$126,$G21,배관기본물량!$Q$7:$Q$126,"P"))/1000)</f>
        <v/>
      </c>
      <c r="N21" s="38" t="str">
        <f aca="false">IF($C21="","",IF($B21="철거",IF(SUMIFS(배관기본물량!$P$7:$P$126,배관기본물량!$B$7:$B$126,"철거",배관기본물량!$C$7:$C$126,$C21,배관기본물량!$E$7:$E$126,$D21,배관기본물량!$U$7:$U$126,$E21,배관기본물량!$I$7:$I$126,$G21,배관기본물량!$Q$7:$Q$126,"F")=0,SUMIFS(배관기본물량!$P$7:$P$126,배관기본물량!$B$7:$B$126,"설치",배관기본물량!$C$7:$C$126,$C21,배관기본물량!$E$7:$E$126,$D21,배관기본물량!$U$7:$U$126,$E21,배관기본물량!$I$7:$I$126,$G21,배관기본물량!$Q$7:$Q$126,"F"),SUMIFS(배관기본물량!$P$7:$P$126,배관기본물량!$B$7:$B$126,"철거",배관기본물량!$C$7:$C$126,$C21,배관기본물량!$E$7:$E$126,$D21,배관기본물량!$U$7:$U$126,$E21,배관기본물량!$I$7:$I$126,$G21,배관기본물량!$Q$7:$Q$126,"F")),SUMIFS(배관기본물량!$P$7:$P$126,배관기본물량!$B$7:$B$126,$B21,배관기본물량!$C$7:$C$126,$C21,배관기본물량!$E$7:$E$126,$D21,배관기본물량!$U$7:$U$126,$E21,배관기본물량!$I$7:$I$126,$G21,배관기본물량!$Q$7:$Q$126,"F"))/1000)</f>
        <v/>
      </c>
      <c r="O21" s="38" t="str">
        <f aca="false">IF($C21="","",M21+N21)</f>
        <v/>
      </c>
      <c r="P21" s="38" t="str">
        <f aca="false">IF(OR($C21="",N(O21)=0),"",IF(OR($C21="매설",$G21&lt;배관기준!$AG$5),"",ROUND(N21/O21-배관기준!$AG$6,3)))</f>
        <v/>
      </c>
      <c r="Q21" s="85" t="str">
        <f aca="false">IF($C21="기계실",0.5,"")</f>
        <v/>
      </c>
      <c r="R21" s="85" t="str">
        <f aca="false">IF($C21="매설",-0.3,"")</f>
        <v/>
      </c>
      <c r="S21" s="38" t="str">
        <f aca="false">IF(AND(ISNUMBER($AA21),ISNUMBER($AB21)),ROUND($AB21/$AA21-1,3),IF(OR($C21="",$H21="",$H21=IF($I21="W6311","SPP","SCH40")),"",IFERROR(ROUND(INDEX(배관단중표!$B$7:$W$41,MATCH($G21,배관단중표!$A$7:$A$41,0),MATCH(IF($H21="SPP","SPP",IF(LEFT($E21,3)="STS",IF(ISNUMBER(SEARCH("316",$E21)),"STS316","STS304"),"SPPS")&amp;"|"&amp;$H21),배관단중표!$B$6:$W$6,0))/INDEX(배관단중표!$B$7:$W$41,MATCH($G21,배관단중표!$A$7:$A$41,0),MATCH(IF(IF($I21="W6311","SPP","SCH40")="SPP","SPP",IF(LEFT($E21,3)="STS",IF(ISNUMBER(SEARCH("316",$E21)),"STS316","STS304"),"SPPS")&amp;"|"&amp;IF($I21="W6311","SPP","SCH40")),배관단중표!$B$6:$W$6,0))-1,3),"확인")))</f>
        <v/>
      </c>
      <c r="T21" s="38" t="str">
        <f aca="false">IF(OR($C21="",$F21="",$F21="탄소강"),"",IFERROR(IF(INDEX(배관기준!$I$5:$V$14,MATCH($F21,배관기준!$H$5:$H$14,0),MIN(14,COUNTIF(배관기준!$I$4:$V$4,"&lt;"&amp;$G21)+1))=0,"확인",INDEX(배관기준!$I$5:$V$14,MATCH($F21,배관기준!$H$5:$H$14,0),MIN(14,COUNTIF(배관기준!$I$4:$V$4,"&lt;"&amp;$G21)+1))/100),"확인"))</f>
        <v/>
      </c>
      <c r="U21" s="6" t="str">
        <f aca="false">IF(AND($C21&lt;&gt;"",$D21="5kg/cm2미만",$K21=""),"DL010465001","")</f>
        <v/>
      </c>
      <c r="V21" s="6" t="str">
        <f aca="false">IF(U21="","","DL010265001")</f>
        <v/>
      </c>
      <c r="W21" s="85" t="str">
        <f aca="false">IF($B21="철거",배관기준!$AG$11,"")</f>
        <v/>
      </c>
      <c r="X21" s="37" t="str">
        <f aca="false">IF($C21="","",배관기준!$AG$12)</f>
        <v/>
      </c>
      <c r="Y21" s="16" t="str">
        <f aca="false">IF($C21="","",IF(P21&lt;&gt;"","A01="&amp;P21&amp;", ","")&amp;IF(Q21&lt;&gt;"","A02="&amp;Q21&amp;", ","")&amp;IF(R21&lt;&gt;"","A03="&amp;R21&amp;", ","")&amp;IF(S21&lt;&gt;"","A05="&amp;S21&amp;", ","")&amp;IF(T21&lt;&gt;"","F01="&amp;T21&amp;", ","")&amp;IF(W21&lt;&gt;"","B01="&amp;W21&amp;", ","")&amp;"C04="&amp;X21&amp;", "&amp;IF(U21&lt;&gt;"","R03="&amp;U21&amp;", R04="&amp;V21&amp;", ",""))</f>
        <v/>
      </c>
      <c r="Z21" s="6" t="str">
        <f aca="false">IF($G21="","",IFERROR(I21&amp;VALUE(IF(I21="W6311",INDEX(배관기준!$AB$5:$AB$28,MATCH($G21,배관기준!$AA$5:$AA$28,0)),INDEX(배관기준!$AC$5:$AC$28,MATCH($G21,배관기준!$AA$5:$AA$28,0)))),"확인"))</f>
        <v/>
      </c>
      <c r="AA21" s="40"/>
      <c r="AB21" s="40"/>
      <c r="AC21" s="86" t="str">
        <f aca="false">IF($C21="","",IF(AC$2&lt;&gt;"자동",AC$2,IF(OR($C21="매설",$AL$2="N"),"×",IF($C21="옥외",IF($G21&lt;=IF($AK$2="포항",250,200),"○","×"),IF($C21="옥내",IF($G21&lt;=80,"○","×"),"×")))))</f>
        <v/>
      </c>
      <c r="AD21" s="86" t="str">
        <f aca="false">IF($C21="","",AD$2)</f>
        <v/>
      </c>
      <c r="AE21" s="86" t="str">
        <f aca="false">IF($C21="","",AE$2)</f>
        <v/>
      </c>
      <c r="AF21" s="86" t="str">
        <f aca="false">IF($C21="","",AF$2)</f>
        <v/>
      </c>
      <c r="AG21" s="86" t="str">
        <f aca="false">IF($C21="","",IF(AG$2&lt;&gt;"자동",AG$2,IF(OR($AC21="○",$C21="매설",LEFT($E21,3)="STS",LEFT($E21,3)="SUS"),"×","○")))</f>
        <v/>
      </c>
      <c r="AH21" s="86" t="str">
        <f aca="false">IF($C21="","",AH$2)</f>
        <v/>
      </c>
      <c r="AI21" s="87" t="str">
        <f aca="false">IF(AND($AC21="○",$AG21="○",배관기준!$AG$17="Y"),"보온·도장 중복→도장 제외","")</f>
        <v/>
      </c>
      <c r="AJ21" s="75" t="str">
        <f aca="false">IF($C21="","",$B21&amp;"|"&amp;$C21&amp;"|"&amp;$D21&amp;"|"&amp;$E21&amp;"|"&amp;$G21)</f>
        <v/>
      </c>
    </row>
    <row r="22" customFormat="false" ht="15" hidden="false" customHeight="true" outlineLevel="0" collapsed="false">
      <c r="A22" s="6"/>
      <c r="B22" s="21"/>
      <c r="C22" s="21"/>
      <c r="D22" s="21"/>
      <c r="E22" s="21"/>
      <c r="F22" s="21"/>
      <c r="G22" s="21"/>
      <c r="H22" s="21"/>
      <c r="I22" s="21"/>
      <c r="J22" s="6" t="str">
        <f aca="false">IF($C22="","",IF($C22="매설","매설",""))</f>
        <v/>
      </c>
      <c r="K22" s="19"/>
      <c r="L22" s="6" t="str">
        <f aca="false">IF($C22="","","TON")</f>
        <v/>
      </c>
      <c r="M22" s="38" t="str">
        <f aca="false">IF($C22="","",IF($B22="철거",IF(SUMIFS(배관기본물량!$P$7:$P$126,배관기본물량!$B$7:$B$126,"철거",배관기본물량!$C$7:$C$126,$C22,배관기본물량!$E$7:$E$126,$D22,배관기본물량!$U$7:$U$126,$E22,배관기본물량!$I$7:$I$126,$G22,배관기본물량!$Q$7:$Q$126,"P")=0,SUMIFS(배관기본물량!$P$7:$P$126,배관기본물량!$B$7:$B$126,"설치",배관기본물량!$C$7:$C$126,$C22,배관기본물량!$E$7:$E$126,$D22,배관기본물량!$U$7:$U$126,$E22,배관기본물량!$I$7:$I$126,$G22,배관기본물량!$Q$7:$Q$126,"P"),SUMIFS(배관기본물량!$P$7:$P$126,배관기본물량!$B$7:$B$126,"철거",배관기본물량!$C$7:$C$126,$C22,배관기본물량!$E$7:$E$126,$D22,배관기본물량!$U$7:$U$126,$E22,배관기본물량!$I$7:$I$126,$G22,배관기본물량!$Q$7:$Q$126,"P")),SUMIFS(배관기본물량!$P$7:$P$126,배관기본물량!$B$7:$B$126,$B22,배관기본물량!$C$7:$C$126,$C22,배관기본물량!$E$7:$E$126,$D22,배관기본물량!$U$7:$U$126,$E22,배관기본물량!$I$7:$I$126,$G22,배관기본물량!$Q$7:$Q$126,"P"))/1000)</f>
        <v/>
      </c>
      <c r="N22" s="38" t="str">
        <f aca="false">IF($C22="","",IF($B22="철거",IF(SUMIFS(배관기본물량!$P$7:$P$126,배관기본물량!$B$7:$B$126,"철거",배관기본물량!$C$7:$C$126,$C22,배관기본물량!$E$7:$E$126,$D22,배관기본물량!$U$7:$U$126,$E22,배관기본물량!$I$7:$I$126,$G22,배관기본물량!$Q$7:$Q$126,"F")=0,SUMIFS(배관기본물량!$P$7:$P$126,배관기본물량!$B$7:$B$126,"설치",배관기본물량!$C$7:$C$126,$C22,배관기본물량!$E$7:$E$126,$D22,배관기본물량!$U$7:$U$126,$E22,배관기본물량!$I$7:$I$126,$G22,배관기본물량!$Q$7:$Q$126,"F"),SUMIFS(배관기본물량!$P$7:$P$126,배관기본물량!$B$7:$B$126,"철거",배관기본물량!$C$7:$C$126,$C22,배관기본물량!$E$7:$E$126,$D22,배관기본물량!$U$7:$U$126,$E22,배관기본물량!$I$7:$I$126,$G22,배관기본물량!$Q$7:$Q$126,"F")),SUMIFS(배관기본물량!$P$7:$P$126,배관기본물량!$B$7:$B$126,$B22,배관기본물량!$C$7:$C$126,$C22,배관기본물량!$E$7:$E$126,$D22,배관기본물량!$U$7:$U$126,$E22,배관기본물량!$I$7:$I$126,$G22,배관기본물량!$Q$7:$Q$126,"F"))/1000)</f>
        <v/>
      </c>
      <c r="O22" s="38" t="str">
        <f aca="false">IF($C22="","",M22+N22)</f>
        <v/>
      </c>
      <c r="P22" s="38" t="str">
        <f aca="false">IF(OR($C22="",N(O22)=0),"",IF(OR($C22="매설",$G22&lt;배관기준!$AG$5),"",ROUND(N22/O22-배관기준!$AG$6,3)))</f>
        <v/>
      </c>
      <c r="Q22" s="85" t="str">
        <f aca="false">IF($C22="기계실",0.5,"")</f>
        <v/>
      </c>
      <c r="R22" s="85" t="str">
        <f aca="false">IF($C22="매설",-0.3,"")</f>
        <v/>
      </c>
      <c r="S22" s="38" t="str">
        <f aca="false">IF(AND(ISNUMBER($AA22),ISNUMBER($AB22)),ROUND($AB22/$AA22-1,3),IF(OR($C22="",$H22="",$H22=IF($I22="W6311","SPP","SCH40")),"",IFERROR(ROUND(INDEX(배관단중표!$B$7:$W$41,MATCH($G22,배관단중표!$A$7:$A$41,0),MATCH(IF($H22="SPP","SPP",IF(LEFT($E22,3)="STS",IF(ISNUMBER(SEARCH("316",$E22)),"STS316","STS304"),"SPPS")&amp;"|"&amp;$H22),배관단중표!$B$6:$W$6,0))/INDEX(배관단중표!$B$7:$W$41,MATCH($G22,배관단중표!$A$7:$A$41,0),MATCH(IF(IF($I22="W6311","SPP","SCH40")="SPP","SPP",IF(LEFT($E22,3)="STS",IF(ISNUMBER(SEARCH("316",$E22)),"STS316","STS304"),"SPPS")&amp;"|"&amp;IF($I22="W6311","SPP","SCH40")),배관단중표!$B$6:$W$6,0))-1,3),"확인")))</f>
        <v/>
      </c>
      <c r="T22" s="38" t="str">
        <f aca="false">IF(OR($C22="",$F22="",$F22="탄소강"),"",IFERROR(IF(INDEX(배관기준!$I$5:$V$14,MATCH($F22,배관기준!$H$5:$H$14,0),MIN(14,COUNTIF(배관기준!$I$4:$V$4,"&lt;"&amp;$G22)+1))=0,"확인",INDEX(배관기준!$I$5:$V$14,MATCH($F22,배관기준!$H$5:$H$14,0),MIN(14,COUNTIF(배관기준!$I$4:$V$4,"&lt;"&amp;$G22)+1))/100),"확인"))</f>
        <v/>
      </c>
      <c r="U22" s="6" t="str">
        <f aca="false">IF(AND($C22&lt;&gt;"",$D22="5kg/cm2미만",$K22=""),"DL010465001","")</f>
        <v/>
      </c>
      <c r="V22" s="6" t="str">
        <f aca="false">IF(U22="","","DL010265001")</f>
        <v/>
      </c>
      <c r="W22" s="85" t="str">
        <f aca="false">IF($B22="철거",배관기준!$AG$11,"")</f>
        <v/>
      </c>
      <c r="X22" s="37" t="str">
        <f aca="false">IF($C22="","",배관기준!$AG$12)</f>
        <v/>
      </c>
      <c r="Y22" s="16" t="str">
        <f aca="false">IF($C22="","",IF(P22&lt;&gt;"","A01="&amp;P22&amp;", ","")&amp;IF(Q22&lt;&gt;"","A02="&amp;Q22&amp;", ","")&amp;IF(R22&lt;&gt;"","A03="&amp;R22&amp;", ","")&amp;IF(S22&lt;&gt;"","A05="&amp;S22&amp;", ","")&amp;IF(T22&lt;&gt;"","F01="&amp;T22&amp;", ","")&amp;IF(W22&lt;&gt;"","B01="&amp;W22&amp;", ","")&amp;"C04="&amp;X22&amp;", "&amp;IF(U22&lt;&gt;"","R03="&amp;U22&amp;", R04="&amp;V22&amp;", ",""))</f>
        <v/>
      </c>
      <c r="Z22" s="6" t="str">
        <f aca="false">IF($G22="","",IFERROR(I22&amp;VALUE(IF(I22="W6311",INDEX(배관기준!$AB$5:$AB$28,MATCH($G22,배관기준!$AA$5:$AA$28,0)),INDEX(배관기준!$AC$5:$AC$28,MATCH($G22,배관기준!$AA$5:$AA$28,0)))),"확인"))</f>
        <v/>
      </c>
      <c r="AA22" s="40"/>
      <c r="AB22" s="40"/>
      <c r="AC22" s="86" t="str">
        <f aca="false">IF($C22="","",IF(AC$2&lt;&gt;"자동",AC$2,IF(OR($C22="매설",$AL$2="N"),"×",IF($C22="옥외",IF($G22&lt;=IF($AK$2="포항",250,200),"○","×"),IF($C22="옥내",IF($G22&lt;=80,"○","×"),"×")))))</f>
        <v/>
      </c>
      <c r="AD22" s="86" t="str">
        <f aca="false">IF($C22="","",AD$2)</f>
        <v/>
      </c>
      <c r="AE22" s="86" t="str">
        <f aca="false">IF($C22="","",AE$2)</f>
        <v/>
      </c>
      <c r="AF22" s="86" t="str">
        <f aca="false">IF($C22="","",AF$2)</f>
        <v/>
      </c>
      <c r="AG22" s="86" t="str">
        <f aca="false">IF($C22="","",IF(AG$2&lt;&gt;"자동",AG$2,IF(OR($AC22="○",$C22="매설",LEFT($E22,3)="STS",LEFT($E22,3)="SUS"),"×","○")))</f>
        <v/>
      </c>
      <c r="AH22" s="86" t="str">
        <f aca="false">IF($C22="","",AH$2)</f>
        <v/>
      </c>
      <c r="AI22" s="87" t="str">
        <f aca="false">IF(AND($AC22="○",$AG22="○",배관기준!$AG$17="Y"),"보온·도장 중복→도장 제외","")</f>
        <v/>
      </c>
      <c r="AJ22" s="75" t="str">
        <f aca="false">IF($C22="","",$B22&amp;"|"&amp;$C22&amp;"|"&amp;$D22&amp;"|"&amp;$E22&amp;"|"&amp;$G22)</f>
        <v/>
      </c>
    </row>
    <row r="23" customFormat="false" ht="15" hidden="false" customHeight="true" outlineLevel="0" collapsed="false">
      <c r="A23" s="6"/>
      <c r="B23" s="21"/>
      <c r="C23" s="21"/>
      <c r="D23" s="21"/>
      <c r="E23" s="21"/>
      <c r="F23" s="21"/>
      <c r="G23" s="21"/>
      <c r="H23" s="21"/>
      <c r="I23" s="21"/>
      <c r="J23" s="6" t="str">
        <f aca="false">IF($C23="","",IF($C23="매설","매설",""))</f>
        <v/>
      </c>
      <c r="K23" s="19"/>
      <c r="L23" s="6" t="str">
        <f aca="false">IF($C23="","","TON")</f>
        <v/>
      </c>
      <c r="M23" s="38" t="str">
        <f aca="false">IF($C23="","",IF($B23="철거",IF(SUMIFS(배관기본물량!$P$7:$P$126,배관기본물량!$B$7:$B$126,"철거",배관기본물량!$C$7:$C$126,$C23,배관기본물량!$E$7:$E$126,$D23,배관기본물량!$U$7:$U$126,$E23,배관기본물량!$I$7:$I$126,$G23,배관기본물량!$Q$7:$Q$126,"P")=0,SUMIFS(배관기본물량!$P$7:$P$126,배관기본물량!$B$7:$B$126,"설치",배관기본물량!$C$7:$C$126,$C23,배관기본물량!$E$7:$E$126,$D23,배관기본물량!$U$7:$U$126,$E23,배관기본물량!$I$7:$I$126,$G23,배관기본물량!$Q$7:$Q$126,"P"),SUMIFS(배관기본물량!$P$7:$P$126,배관기본물량!$B$7:$B$126,"철거",배관기본물량!$C$7:$C$126,$C23,배관기본물량!$E$7:$E$126,$D23,배관기본물량!$U$7:$U$126,$E23,배관기본물량!$I$7:$I$126,$G23,배관기본물량!$Q$7:$Q$126,"P")),SUMIFS(배관기본물량!$P$7:$P$126,배관기본물량!$B$7:$B$126,$B23,배관기본물량!$C$7:$C$126,$C23,배관기본물량!$E$7:$E$126,$D23,배관기본물량!$U$7:$U$126,$E23,배관기본물량!$I$7:$I$126,$G23,배관기본물량!$Q$7:$Q$126,"P"))/1000)</f>
        <v/>
      </c>
      <c r="N23" s="38" t="str">
        <f aca="false">IF($C23="","",IF($B23="철거",IF(SUMIFS(배관기본물량!$P$7:$P$126,배관기본물량!$B$7:$B$126,"철거",배관기본물량!$C$7:$C$126,$C23,배관기본물량!$E$7:$E$126,$D23,배관기본물량!$U$7:$U$126,$E23,배관기본물량!$I$7:$I$126,$G23,배관기본물량!$Q$7:$Q$126,"F")=0,SUMIFS(배관기본물량!$P$7:$P$126,배관기본물량!$B$7:$B$126,"설치",배관기본물량!$C$7:$C$126,$C23,배관기본물량!$E$7:$E$126,$D23,배관기본물량!$U$7:$U$126,$E23,배관기본물량!$I$7:$I$126,$G23,배관기본물량!$Q$7:$Q$126,"F"),SUMIFS(배관기본물량!$P$7:$P$126,배관기본물량!$B$7:$B$126,"철거",배관기본물량!$C$7:$C$126,$C23,배관기본물량!$E$7:$E$126,$D23,배관기본물량!$U$7:$U$126,$E23,배관기본물량!$I$7:$I$126,$G23,배관기본물량!$Q$7:$Q$126,"F")),SUMIFS(배관기본물량!$P$7:$P$126,배관기본물량!$B$7:$B$126,$B23,배관기본물량!$C$7:$C$126,$C23,배관기본물량!$E$7:$E$126,$D23,배관기본물량!$U$7:$U$126,$E23,배관기본물량!$I$7:$I$126,$G23,배관기본물량!$Q$7:$Q$126,"F"))/1000)</f>
        <v/>
      </c>
      <c r="O23" s="38" t="str">
        <f aca="false">IF($C23="","",M23+N23)</f>
        <v/>
      </c>
      <c r="P23" s="38" t="str">
        <f aca="false">IF(OR($C23="",N(O23)=0),"",IF(OR($C23="매설",$G23&lt;배관기준!$AG$5),"",ROUND(N23/O23-배관기준!$AG$6,3)))</f>
        <v/>
      </c>
      <c r="Q23" s="85" t="str">
        <f aca="false">IF($C23="기계실",0.5,"")</f>
        <v/>
      </c>
      <c r="R23" s="85" t="str">
        <f aca="false">IF($C23="매설",-0.3,"")</f>
        <v/>
      </c>
      <c r="S23" s="38" t="str">
        <f aca="false">IF(AND(ISNUMBER($AA23),ISNUMBER($AB23)),ROUND($AB23/$AA23-1,3),IF(OR($C23="",$H23="",$H23=IF($I23="W6311","SPP","SCH40")),"",IFERROR(ROUND(INDEX(배관단중표!$B$7:$W$41,MATCH($G23,배관단중표!$A$7:$A$41,0),MATCH(IF($H23="SPP","SPP",IF(LEFT($E23,3)="STS",IF(ISNUMBER(SEARCH("316",$E23)),"STS316","STS304"),"SPPS")&amp;"|"&amp;$H23),배관단중표!$B$6:$W$6,0))/INDEX(배관단중표!$B$7:$W$41,MATCH($G23,배관단중표!$A$7:$A$41,0),MATCH(IF(IF($I23="W6311","SPP","SCH40")="SPP","SPP",IF(LEFT($E23,3)="STS",IF(ISNUMBER(SEARCH("316",$E23)),"STS316","STS304"),"SPPS")&amp;"|"&amp;IF($I23="W6311","SPP","SCH40")),배관단중표!$B$6:$W$6,0))-1,3),"확인")))</f>
        <v/>
      </c>
      <c r="T23" s="38" t="str">
        <f aca="false">IF(OR($C23="",$F23="",$F23="탄소강"),"",IFERROR(IF(INDEX(배관기준!$I$5:$V$14,MATCH($F23,배관기준!$H$5:$H$14,0),MIN(14,COUNTIF(배관기준!$I$4:$V$4,"&lt;"&amp;$G23)+1))=0,"확인",INDEX(배관기준!$I$5:$V$14,MATCH($F23,배관기준!$H$5:$H$14,0),MIN(14,COUNTIF(배관기준!$I$4:$V$4,"&lt;"&amp;$G23)+1))/100),"확인"))</f>
        <v/>
      </c>
      <c r="U23" s="6" t="str">
        <f aca="false">IF(AND($C23&lt;&gt;"",$D23="5kg/cm2미만",$K23=""),"DL010465001","")</f>
        <v/>
      </c>
      <c r="V23" s="6" t="str">
        <f aca="false">IF(U23="","","DL010265001")</f>
        <v/>
      </c>
      <c r="W23" s="85" t="str">
        <f aca="false">IF($B23="철거",배관기준!$AG$11,"")</f>
        <v/>
      </c>
      <c r="X23" s="37" t="str">
        <f aca="false">IF($C23="","",배관기준!$AG$12)</f>
        <v/>
      </c>
      <c r="Y23" s="16" t="str">
        <f aca="false">IF($C23="","",IF(P23&lt;&gt;"","A01="&amp;P23&amp;", ","")&amp;IF(Q23&lt;&gt;"","A02="&amp;Q23&amp;", ","")&amp;IF(R23&lt;&gt;"","A03="&amp;R23&amp;", ","")&amp;IF(S23&lt;&gt;"","A05="&amp;S23&amp;", ","")&amp;IF(T23&lt;&gt;"","F01="&amp;T23&amp;", ","")&amp;IF(W23&lt;&gt;"","B01="&amp;W23&amp;", ","")&amp;"C04="&amp;X23&amp;", "&amp;IF(U23&lt;&gt;"","R03="&amp;U23&amp;", R04="&amp;V23&amp;", ",""))</f>
        <v/>
      </c>
      <c r="Z23" s="6" t="str">
        <f aca="false">IF($G23="","",IFERROR(I23&amp;VALUE(IF(I23="W6311",INDEX(배관기준!$AB$5:$AB$28,MATCH($G23,배관기준!$AA$5:$AA$28,0)),INDEX(배관기준!$AC$5:$AC$28,MATCH($G23,배관기준!$AA$5:$AA$28,0)))),"확인"))</f>
        <v/>
      </c>
      <c r="AA23" s="40"/>
      <c r="AB23" s="40"/>
      <c r="AC23" s="86" t="str">
        <f aca="false">IF($C23="","",IF(AC$2&lt;&gt;"자동",AC$2,IF(OR($C23="매설",$AL$2="N"),"×",IF($C23="옥외",IF($G23&lt;=IF($AK$2="포항",250,200),"○","×"),IF($C23="옥내",IF($G23&lt;=80,"○","×"),"×")))))</f>
        <v/>
      </c>
      <c r="AD23" s="86" t="str">
        <f aca="false">IF($C23="","",AD$2)</f>
        <v/>
      </c>
      <c r="AE23" s="86" t="str">
        <f aca="false">IF($C23="","",AE$2)</f>
        <v/>
      </c>
      <c r="AF23" s="86" t="str">
        <f aca="false">IF($C23="","",AF$2)</f>
        <v/>
      </c>
      <c r="AG23" s="86" t="str">
        <f aca="false">IF($C23="","",IF(AG$2&lt;&gt;"자동",AG$2,IF(OR($AC23="○",$C23="매설",LEFT($E23,3)="STS",LEFT($E23,3)="SUS"),"×","○")))</f>
        <v/>
      </c>
      <c r="AH23" s="86" t="str">
        <f aca="false">IF($C23="","",AH$2)</f>
        <v/>
      </c>
      <c r="AI23" s="87" t="str">
        <f aca="false">IF(AND($AC23="○",$AG23="○",배관기준!$AG$17="Y"),"보온·도장 중복→도장 제외","")</f>
        <v/>
      </c>
      <c r="AJ23" s="75" t="str">
        <f aca="false">IF($C23="","",$B23&amp;"|"&amp;$C23&amp;"|"&amp;$D23&amp;"|"&amp;$E23&amp;"|"&amp;$G23)</f>
        <v/>
      </c>
    </row>
    <row r="24" customFormat="false" ht="15" hidden="false" customHeight="true" outlineLevel="0" collapsed="false">
      <c r="A24" s="6"/>
      <c r="B24" s="21"/>
      <c r="C24" s="21"/>
      <c r="D24" s="21"/>
      <c r="E24" s="21"/>
      <c r="F24" s="21"/>
      <c r="G24" s="21"/>
      <c r="H24" s="21"/>
      <c r="I24" s="21"/>
      <c r="J24" s="6" t="str">
        <f aca="false">IF($C24="","",IF($C24="매설","매설",""))</f>
        <v/>
      </c>
      <c r="K24" s="19"/>
      <c r="L24" s="6" t="str">
        <f aca="false">IF($C24="","","TON")</f>
        <v/>
      </c>
      <c r="M24" s="38" t="str">
        <f aca="false">IF($C24="","",IF($B24="철거",IF(SUMIFS(배관기본물량!$P$7:$P$126,배관기본물량!$B$7:$B$126,"철거",배관기본물량!$C$7:$C$126,$C24,배관기본물량!$E$7:$E$126,$D24,배관기본물량!$U$7:$U$126,$E24,배관기본물량!$I$7:$I$126,$G24,배관기본물량!$Q$7:$Q$126,"P")=0,SUMIFS(배관기본물량!$P$7:$P$126,배관기본물량!$B$7:$B$126,"설치",배관기본물량!$C$7:$C$126,$C24,배관기본물량!$E$7:$E$126,$D24,배관기본물량!$U$7:$U$126,$E24,배관기본물량!$I$7:$I$126,$G24,배관기본물량!$Q$7:$Q$126,"P"),SUMIFS(배관기본물량!$P$7:$P$126,배관기본물량!$B$7:$B$126,"철거",배관기본물량!$C$7:$C$126,$C24,배관기본물량!$E$7:$E$126,$D24,배관기본물량!$U$7:$U$126,$E24,배관기본물량!$I$7:$I$126,$G24,배관기본물량!$Q$7:$Q$126,"P")),SUMIFS(배관기본물량!$P$7:$P$126,배관기본물량!$B$7:$B$126,$B24,배관기본물량!$C$7:$C$126,$C24,배관기본물량!$E$7:$E$126,$D24,배관기본물량!$U$7:$U$126,$E24,배관기본물량!$I$7:$I$126,$G24,배관기본물량!$Q$7:$Q$126,"P"))/1000)</f>
        <v/>
      </c>
      <c r="N24" s="38" t="str">
        <f aca="false">IF($C24="","",IF($B24="철거",IF(SUMIFS(배관기본물량!$P$7:$P$126,배관기본물량!$B$7:$B$126,"철거",배관기본물량!$C$7:$C$126,$C24,배관기본물량!$E$7:$E$126,$D24,배관기본물량!$U$7:$U$126,$E24,배관기본물량!$I$7:$I$126,$G24,배관기본물량!$Q$7:$Q$126,"F")=0,SUMIFS(배관기본물량!$P$7:$P$126,배관기본물량!$B$7:$B$126,"설치",배관기본물량!$C$7:$C$126,$C24,배관기본물량!$E$7:$E$126,$D24,배관기본물량!$U$7:$U$126,$E24,배관기본물량!$I$7:$I$126,$G24,배관기본물량!$Q$7:$Q$126,"F"),SUMIFS(배관기본물량!$P$7:$P$126,배관기본물량!$B$7:$B$126,"철거",배관기본물량!$C$7:$C$126,$C24,배관기본물량!$E$7:$E$126,$D24,배관기본물량!$U$7:$U$126,$E24,배관기본물량!$I$7:$I$126,$G24,배관기본물량!$Q$7:$Q$126,"F")),SUMIFS(배관기본물량!$P$7:$P$126,배관기본물량!$B$7:$B$126,$B24,배관기본물량!$C$7:$C$126,$C24,배관기본물량!$E$7:$E$126,$D24,배관기본물량!$U$7:$U$126,$E24,배관기본물량!$I$7:$I$126,$G24,배관기본물량!$Q$7:$Q$126,"F"))/1000)</f>
        <v/>
      </c>
      <c r="O24" s="38" t="str">
        <f aca="false">IF($C24="","",M24+N24)</f>
        <v/>
      </c>
      <c r="P24" s="38" t="str">
        <f aca="false">IF(OR($C24="",N(O24)=0),"",IF(OR($C24="매설",$G24&lt;배관기준!$AG$5),"",ROUND(N24/O24-배관기준!$AG$6,3)))</f>
        <v/>
      </c>
      <c r="Q24" s="85" t="str">
        <f aca="false">IF($C24="기계실",0.5,"")</f>
        <v/>
      </c>
      <c r="R24" s="85" t="str">
        <f aca="false">IF($C24="매설",-0.3,"")</f>
        <v/>
      </c>
      <c r="S24" s="38" t="str">
        <f aca="false">IF(AND(ISNUMBER($AA24),ISNUMBER($AB24)),ROUND($AB24/$AA24-1,3),IF(OR($C24="",$H24="",$H24=IF($I24="W6311","SPP","SCH40")),"",IFERROR(ROUND(INDEX(배관단중표!$B$7:$W$41,MATCH($G24,배관단중표!$A$7:$A$41,0),MATCH(IF($H24="SPP","SPP",IF(LEFT($E24,3)="STS",IF(ISNUMBER(SEARCH("316",$E24)),"STS316","STS304"),"SPPS")&amp;"|"&amp;$H24),배관단중표!$B$6:$W$6,0))/INDEX(배관단중표!$B$7:$W$41,MATCH($G24,배관단중표!$A$7:$A$41,0),MATCH(IF(IF($I24="W6311","SPP","SCH40")="SPP","SPP",IF(LEFT($E24,3)="STS",IF(ISNUMBER(SEARCH("316",$E24)),"STS316","STS304"),"SPPS")&amp;"|"&amp;IF($I24="W6311","SPP","SCH40")),배관단중표!$B$6:$W$6,0))-1,3),"확인")))</f>
        <v/>
      </c>
      <c r="T24" s="38" t="str">
        <f aca="false">IF(OR($C24="",$F24="",$F24="탄소강"),"",IFERROR(IF(INDEX(배관기준!$I$5:$V$14,MATCH($F24,배관기준!$H$5:$H$14,0),MIN(14,COUNTIF(배관기준!$I$4:$V$4,"&lt;"&amp;$G24)+1))=0,"확인",INDEX(배관기준!$I$5:$V$14,MATCH($F24,배관기준!$H$5:$H$14,0),MIN(14,COUNTIF(배관기준!$I$4:$V$4,"&lt;"&amp;$G24)+1))/100),"확인"))</f>
        <v/>
      </c>
      <c r="U24" s="6" t="str">
        <f aca="false">IF(AND($C24&lt;&gt;"",$D24="5kg/cm2미만",$K24=""),"DL010465001","")</f>
        <v/>
      </c>
      <c r="V24" s="6" t="str">
        <f aca="false">IF(U24="","","DL010265001")</f>
        <v/>
      </c>
      <c r="W24" s="85" t="str">
        <f aca="false">IF($B24="철거",배관기준!$AG$11,"")</f>
        <v/>
      </c>
      <c r="X24" s="37" t="str">
        <f aca="false">IF($C24="","",배관기준!$AG$12)</f>
        <v/>
      </c>
      <c r="Y24" s="16" t="str">
        <f aca="false">IF($C24="","",IF(P24&lt;&gt;"","A01="&amp;P24&amp;", ","")&amp;IF(Q24&lt;&gt;"","A02="&amp;Q24&amp;", ","")&amp;IF(R24&lt;&gt;"","A03="&amp;R24&amp;", ","")&amp;IF(S24&lt;&gt;"","A05="&amp;S24&amp;", ","")&amp;IF(T24&lt;&gt;"","F01="&amp;T24&amp;", ","")&amp;IF(W24&lt;&gt;"","B01="&amp;W24&amp;", ","")&amp;"C04="&amp;X24&amp;", "&amp;IF(U24&lt;&gt;"","R03="&amp;U24&amp;", R04="&amp;V24&amp;", ",""))</f>
        <v/>
      </c>
      <c r="Z24" s="6" t="str">
        <f aca="false">IF($G24="","",IFERROR(I24&amp;VALUE(IF(I24="W6311",INDEX(배관기준!$AB$5:$AB$28,MATCH($G24,배관기준!$AA$5:$AA$28,0)),INDEX(배관기준!$AC$5:$AC$28,MATCH($G24,배관기준!$AA$5:$AA$28,0)))),"확인"))</f>
        <v/>
      </c>
      <c r="AA24" s="40"/>
      <c r="AB24" s="40"/>
      <c r="AC24" s="86" t="str">
        <f aca="false">IF($C24="","",IF(AC$2&lt;&gt;"자동",AC$2,IF(OR($C24="매설",$AL$2="N"),"×",IF($C24="옥외",IF($G24&lt;=IF($AK$2="포항",250,200),"○","×"),IF($C24="옥내",IF($G24&lt;=80,"○","×"),"×")))))</f>
        <v/>
      </c>
      <c r="AD24" s="86" t="str">
        <f aca="false">IF($C24="","",AD$2)</f>
        <v/>
      </c>
      <c r="AE24" s="86" t="str">
        <f aca="false">IF($C24="","",AE$2)</f>
        <v/>
      </c>
      <c r="AF24" s="86" t="str">
        <f aca="false">IF($C24="","",AF$2)</f>
        <v/>
      </c>
      <c r="AG24" s="86" t="str">
        <f aca="false">IF($C24="","",IF(AG$2&lt;&gt;"자동",AG$2,IF(OR($AC24="○",$C24="매설",LEFT($E24,3)="STS",LEFT($E24,3)="SUS"),"×","○")))</f>
        <v/>
      </c>
      <c r="AH24" s="86" t="str">
        <f aca="false">IF($C24="","",AH$2)</f>
        <v/>
      </c>
      <c r="AI24" s="87" t="str">
        <f aca="false">IF(AND($AC24="○",$AG24="○",배관기준!$AG$17="Y"),"보온·도장 중복→도장 제외","")</f>
        <v/>
      </c>
      <c r="AJ24" s="75" t="str">
        <f aca="false">IF($C24="","",$B24&amp;"|"&amp;$C24&amp;"|"&amp;$D24&amp;"|"&amp;$E24&amp;"|"&amp;$G24)</f>
        <v/>
      </c>
    </row>
    <row r="25" customFormat="false" ht="15" hidden="false" customHeight="true" outlineLevel="0" collapsed="false">
      <c r="A25" s="6"/>
      <c r="B25" s="21"/>
      <c r="C25" s="21"/>
      <c r="D25" s="21"/>
      <c r="E25" s="21"/>
      <c r="F25" s="21"/>
      <c r="G25" s="21"/>
      <c r="H25" s="21"/>
      <c r="I25" s="21"/>
      <c r="J25" s="6" t="str">
        <f aca="false">IF($C25="","",IF($C25="매설","매설",""))</f>
        <v/>
      </c>
      <c r="K25" s="19"/>
      <c r="L25" s="6" t="str">
        <f aca="false">IF($C25="","","TON")</f>
        <v/>
      </c>
      <c r="M25" s="38" t="str">
        <f aca="false">IF($C25="","",IF($B25="철거",IF(SUMIFS(배관기본물량!$P$7:$P$126,배관기본물량!$B$7:$B$126,"철거",배관기본물량!$C$7:$C$126,$C25,배관기본물량!$E$7:$E$126,$D25,배관기본물량!$U$7:$U$126,$E25,배관기본물량!$I$7:$I$126,$G25,배관기본물량!$Q$7:$Q$126,"P")=0,SUMIFS(배관기본물량!$P$7:$P$126,배관기본물량!$B$7:$B$126,"설치",배관기본물량!$C$7:$C$126,$C25,배관기본물량!$E$7:$E$126,$D25,배관기본물량!$U$7:$U$126,$E25,배관기본물량!$I$7:$I$126,$G25,배관기본물량!$Q$7:$Q$126,"P"),SUMIFS(배관기본물량!$P$7:$P$126,배관기본물량!$B$7:$B$126,"철거",배관기본물량!$C$7:$C$126,$C25,배관기본물량!$E$7:$E$126,$D25,배관기본물량!$U$7:$U$126,$E25,배관기본물량!$I$7:$I$126,$G25,배관기본물량!$Q$7:$Q$126,"P")),SUMIFS(배관기본물량!$P$7:$P$126,배관기본물량!$B$7:$B$126,$B25,배관기본물량!$C$7:$C$126,$C25,배관기본물량!$E$7:$E$126,$D25,배관기본물량!$U$7:$U$126,$E25,배관기본물량!$I$7:$I$126,$G25,배관기본물량!$Q$7:$Q$126,"P"))/1000)</f>
        <v/>
      </c>
      <c r="N25" s="38" t="str">
        <f aca="false">IF($C25="","",IF($B25="철거",IF(SUMIFS(배관기본물량!$P$7:$P$126,배관기본물량!$B$7:$B$126,"철거",배관기본물량!$C$7:$C$126,$C25,배관기본물량!$E$7:$E$126,$D25,배관기본물량!$U$7:$U$126,$E25,배관기본물량!$I$7:$I$126,$G25,배관기본물량!$Q$7:$Q$126,"F")=0,SUMIFS(배관기본물량!$P$7:$P$126,배관기본물량!$B$7:$B$126,"설치",배관기본물량!$C$7:$C$126,$C25,배관기본물량!$E$7:$E$126,$D25,배관기본물량!$U$7:$U$126,$E25,배관기본물량!$I$7:$I$126,$G25,배관기본물량!$Q$7:$Q$126,"F"),SUMIFS(배관기본물량!$P$7:$P$126,배관기본물량!$B$7:$B$126,"철거",배관기본물량!$C$7:$C$126,$C25,배관기본물량!$E$7:$E$126,$D25,배관기본물량!$U$7:$U$126,$E25,배관기본물량!$I$7:$I$126,$G25,배관기본물량!$Q$7:$Q$126,"F")),SUMIFS(배관기본물량!$P$7:$P$126,배관기본물량!$B$7:$B$126,$B25,배관기본물량!$C$7:$C$126,$C25,배관기본물량!$E$7:$E$126,$D25,배관기본물량!$U$7:$U$126,$E25,배관기본물량!$I$7:$I$126,$G25,배관기본물량!$Q$7:$Q$126,"F"))/1000)</f>
        <v/>
      </c>
      <c r="O25" s="38" t="str">
        <f aca="false">IF($C25="","",M25+N25)</f>
        <v/>
      </c>
      <c r="P25" s="38" t="str">
        <f aca="false">IF(OR($C25="",N(O25)=0),"",IF(OR($C25="매설",$G25&lt;배관기준!$AG$5),"",ROUND(N25/O25-배관기준!$AG$6,3)))</f>
        <v/>
      </c>
      <c r="Q25" s="85" t="str">
        <f aca="false">IF($C25="기계실",0.5,"")</f>
        <v/>
      </c>
      <c r="R25" s="85" t="str">
        <f aca="false">IF($C25="매설",-0.3,"")</f>
        <v/>
      </c>
      <c r="S25" s="38" t="str">
        <f aca="false">IF(AND(ISNUMBER($AA25),ISNUMBER($AB25)),ROUND($AB25/$AA25-1,3),IF(OR($C25="",$H25="",$H25=IF($I25="W6311","SPP","SCH40")),"",IFERROR(ROUND(INDEX(배관단중표!$B$7:$W$41,MATCH($G25,배관단중표!$A$7:$A$41,0),MATCH(IF($H25="SPP","SPP",IF(LEFT($E25,3)="STS",IF(ISNUMBER(SEARCH("316",$E25)),"STS316","STS304"),"SPPS")&amp;"|"&amp;$H25),배관단중표!$B$6:$W$6,0))/INDEX(배관단중표!$B$7:$W$41,MATCH($G25,배관단중표!$A$7:$A$41,0),MATCH(IF(IF($I25="W6311","SPP","SCH40")="SPP","SPP",IF(LEFT($E25,3)="STS",IF(ISNUMBER(SEARCH("316",$E25)),"STS316","STS304"),"SPPS")&amp;"|"&amp;IF($I25="W6311","SPP","SCH40")),배관단중표!$B$6:$W$6,0))-1,3),"확인")))</f>
        <v/>
      </c>
      <c r="T25" s="38" t="str">
        <f aca="false">IF(OR($C25="",$F25="",$F25="탄소강"),"",IFERROR(IF(INDEX(배관기준!$I$5:$V$14,MATCH($F25,배관기준!$H$5:$H$14,0),MIN(14,COUNTIF(배관기준!$I$4:$V$4,"&lt;"&amp;$G25)+1))=0,"확인",INDEX(배관기준!$I$5:$V$14,MATCH($F25,배관기준!$H$5:$H$14,0),MIN(14,COUNTIF(배관기준!$I$4:$V$4,"&lt;"&amp;$G25)+1))/100),"확인"))</f>
        <v/>
      </c>
      <c r="U25" s="6" t="str">
        <f aca="false">IF(AND($C25&lt;&gt;"",$D25="5kg/cm2미만",$K25=""),"DL010465001","")</f>
        <v/>
      </c>
      <c r="V25" s="6" t="str">
        <f aca="false">IF(U25="","","DL010265001")</f>
        <v/>
      </c>
      <c r="W25" s="85" t="str">
        <f aca="false">IF($B25="철거",배관기준!$AG$11,"")</f>
        <v/>
      </c>
      <c r="X25" s="37" t="str">
        <f aca="false">IF($C25="","",배관기준!$AG$12)</f>
        <v/>
      </c>
      <c r="Y25" s="16" t="str">
        <f aca="false">IF($C25="","",IF(P25&lt;&gt;"","A01="&amp;P25&amp;", ","")&amp;IF(Q25&lt;&gt;"","A02="&amp;Q25&amp;", ","")&amp;IF(R25&lt;&gt;"","A03="&amp;R25&amp;", ","")&amp;IF(S25&lt;&gt;"","A05="&amp;S25&amp;", ","")&amp;IF(T25&lt;&gt;"","F01="&amp;T25&amp;", ","")&amp;IF(W25&lt;&gt;"","B01="&amp;W25&amp;", ","")&amp;"C04="&amp;X25&amp;", "&amp;IF(U25&lt;&gt;"","R03="&amp;U25&amp;", R04="&amp;V25&amp;", ",""))</f>
        <v/>
      </c>
      <c r="Z25" s="6" t="str">
        <f aca="false">IF($G25="","",IFERROR(I25&amp;VALUE(IF(I25="W6311",INDEX(배관기준!$AB$5:$AB$28,MATCH($G25,배관기준!$AA$5:$AA$28,0)),INDEX(배관기준!$AC$5:$AC$28,MATCH($G25,배관기준!$AA$5:$AA$28,0)))),"확인"))</f>
        <v/>
      </c>
      <c r="AA25" s="40"/>
      <c r="AB25" s="40"/>
      <c r="AC25" s="86" t="str">
        <f aca="false">IF($C25="","",IF(AC$2&lt;&gt;"자동",AC$2,IF(OR($C25="매설",$AL$2="N"),"×",IF($C25="옥외",IF($G25&lt;=IF($AK$2="포항",250,200),"○","×"),IF($C25="옥내",IF($G25&lt;=80,"○","×"),"×")))))</f>
        <v/>
      </c>
      <c r="AD25" s="86" t="str">
        <f aca="false">IF($C25="","",AD$2)</f>
        <v/>
      </c>
      <c r="AE25" s="86" t="str">
        <f aca="false">IF($C25="","",AE$2)</f>
        <v/>
      </c>
      <c r="AF25" s="86" t="str">
        <f aca="false">IF($C25="","",AF$2)</f>
        <v/>
      </c>
      <c r="AG25" s="86" t="str">
        <f aca="false">IF($C25="","",IF(AG$2&lt;&gt;"자동",AG$2,IF(OR($AC25="○",$C25="매설",LEFT($E25,3)="STS",LEFT($E25,3)="SUS"),"×","○")))</f>
        <v/>
      </c>
      <c r="AH25" s="86" t="str">
        <f aca="false">IF($C25="","",AH$2)</f>
        <v/>
      </c>
      <c r="AI25" s="87" t="str">
        <f aca="false">IF(AND($AC25="○",$AG25="○",배관기준!$AG$17="Y"),"보온·도장 중복→도장 제외","")</f>
        <v/>
      </c>
      <c r="AJ25" s="75" t="str">
        <f aca="false">IF($C25="","",$B25&amp;"|"&amp;$C25&amp;"|"&amp;$D25&amp;"|"&amp;$E25&amp;"|"&amp;$G25)</f>
        <v/>
      </c>
    </row>
    <row r="26" customFormat="false" ht="15" hidden="false" customHeight="true" outlineLevel="0" collapsed="false">
      <c r="A26" s="6"/>
      <c r="B26" s="21"/>
      <c r="C26" s="21"/>
      <c r="D26" s="21"/>
      <c r="E26" s="21"/>
      <c r="F26" s="21"/>
      <c r="G26" s="21"/>
      <c r="H26" s="21"/>
      <c r="I26" s="21"/>
      <c r="J26" s="6" t="str">
        <f aca="false">IF($C26="","",IF($C26="매설","매설",""))</f>
        <v/>
      </c>
      <c r="K26" s="19"/>
      <c r="L26" s="6" t="str">
        <f aca="false">IF($C26="","","TON")</f>
        <v/>
      </c>
      <c r="M26" s="38" t="str">
        <f aca="false">IF($C26="","",IF($B26="철거",IF(SUMIFS(배관기본물량!$P$7:$P$126,배관기본물량!$B$7:$B$126,"철거",배관기본물량!$C$7:$C$126,$C26,배관기본물량!$E$7:$E$126,$D26,배관기본물량!$U$7:$U$126,$E26,배관기본물량!$I$7:$I$126,$G26,배관기본물량!$Q$7:$Q$126,"P")=0,SUMIFS(배관기본물량!$P$7:$P$126,배관기본물량!$B$7:$B$126,"설치",배관기본물량!$C$7:$C$126,$C26,배관기본물량!$E$7:$E$126,$D26,배관기본물량!$U$7:$U$126,$E26,배관기본물량!$I$7:$I$126,$G26,배관기본물량!$Q$7:$Q$126,"P"),SUMIFS(배관기본물량!$P$7:$P$126,배관기본물량!$B$7:$B$126,"철거",배관기본물량!$C$7:$C$126,$C26,배관기본물량!$E$7:$E$126,$D26,배관기본물량!$U$7:$U$126,$E26,배관기본물량!$I$7:$I$126,$G26,배관기본물량!$Q$7:$Q$126,"P")),SUMIFS(배관기본물량!$P$7:$P$126,배관기본물량!$B$7:$B$126,$B26,배관기본물량!$C$7:$C$126,$C26,배관기본물량!$E$7:$E$126,$D26,배관기본물량!$U$7:$U$126,$E26,배관기본물량!$I$7:$I$126,$G26,배관기본물량!$Q$7:$Q$126,"P"))/1000)</f>
        <v/>
      </c>
      <c r="N26" s="38" t="str">
        <f aca="false">IF($C26="","",IF($B26="철거",IF(SUMIFS(배관기본물량!$P$7:$P$126,배관기본물량!$B$7:$B$126,"철거",배관기본물량!$C$7:$C$126,$C26,배관기본물량!$E$7:$E$126,$D26,배관기본물량!$U$7:$U$126,$E26,배관기본물량!$I$7:$I$126,$G26,배관기본물량!$Q$7:$Q$126,"F")=0,SUMIFS(배관기본물량!$P$7:$P$126,배관기본물량!$B$7:$B$126,"설치",배관기본물량!$C$7:$C$126,$C26,배관기본물량!$E$7:$E$126,$D26,배관기본물량!$U$7:$U$126,$E26,배관기본물량!$I$7:$I$126,$G26,배관기본물량!$Q$7:$Q$126,"F"),SUMIFS(배관기본물량!$P$7:$P$126,배관기본물량!$B$7:$B$126,"철거",배관기본물량!$C$7:$C$126,$C26,배관기본물량!$E$7:$E$126,$D26,배관기본물량!$U$7:$U$126,$E26,배관기본물량!$I$7:$I$126,$G26,배관기본물량!$Q$7:$Q$126,"F")),SUMIFS(배관기본물량!$P$7:$P$126,배관기본물량!$B$7:$B$126,$B26,배관기본물량!$C$7:$C$126,$C26,배관기본물량!$E$7:$E$126,$D26,배관기본물량!$U$7:$U$126,$E26,배관기본물량!$I$7:$I$126,$G26,배관기본물량!$Q$7:$Q$126,"F"))/1000)</f>
        <v/>
      </c>
      <c r="O26" s="38" t="str">
        <f aca="false">IF($C26="","",M26+N26)</f>
        <v/>
      </c>
      <c r="P26" s="38" t="str">
        <f aca="false">IF(OR($C26="",N(O26)=0),"",IF(OR($C26="매설",$G26&lt;배관기준!$AG$5),"",ROUND(N26/O26-배관기준!$AG$6,3)))</f>
        <v/>
      </c>
      <c r="Q26" s="85" t="str">
        <f aca="false">IF($C26="기계실",0.5,"")</f>
        <v/>
      </c>
      <c r="R26" s="85" t="str">
        <f aca="false">IF($C26="매설",-0.3,"")</f>
        <v/>
      </c>
      <c r="S26" s="38" t="str">
        <f aca="false">IF(AND(ISNUMBER($AA26),ISNUMBER($AB26)),ROUND($AB26/$AA26-1,3),IF(OR($C26="",$H26="",$H26=IF($I26="W6311","SPP","SCH40")),"",IFERROR(ROUND(INDEX(배관단중표!$B$7:$W$41,MATCH($G26,배관단중표!$A$7:$A$41,0),MATCH(IF($H26="SPP","SPP",IF(LEFT($E26,3)="STS",IF(ISNUMBER(SEARCH("316",$E26)),"STS316","STS304"),"SPPS")&amp;"|"&amp;$H26),배관단중표!$B$6:$W$6,0))/INDEX(배관단중표!$B$7:$W$41,MATCH($G26,배관단중표!$A$7:$A$41,0),MATCH(IF(IF($I26="W6311","SPP","SCH40")="SPP","SPP",IF(LEFT($E26,3)="STS",IF(ISNUMBER(SEARCH("316",$E26)),"STS316","STS304"),"SPPS")&amp;"|"&amp;IF($I26="W6311","SPP","SCH40")),배관단중표!$B$6:$W$6,0))-1,3),"확인")))</f>
        <v/>
      </c>
      <c r="T26" s="38" t="str">
        <f aca="false">IF(OR($C26="",$F26="",$F26="탄소강"),"",IFERROR(IF(INDEX(배관기준!$I$5:$V$14,MATCH($F26,배관기준!$H$5:$H$14,0),MIN(14,COUNTIF(배관기준!$I$4:$V$4,"&lt;"&amp;$G26)+1))=0,"확인",INDEX(배관기준!$I$5:$V$14,MATCH($F26,배관기준!$H$5:$H$14,0),MIN(14,COUNTIF(배관기준!$I$4:$V$4,"&lt;"&amp;$G26)+1))/100),"확인"))</f>
        <v/>
      </c>
      <c r="U26" s="6" t="str">
        <f aca="false">IF(AND($C26&lt;&gt;"",$D26="5kg/cm2미만",$K26=""),"DL010465001","")</f>
        <v/>
      </c>
      <c r="V26" s="6" t="str">
        <f aca="false">IF(U26="","","DL010265001")</f>
        <v/>
      </c>
      <c r="W26" s="85" t="str">
        <f aca="false">IF($B26="철거",배관기준!$AG$11,"")</f>
        <v/>
      </c>
      <c r="X26" s="37" t="str">
        <f aca="false">IF($C26="","",배관기준!$AG$12)</f>
        <v/>
      </c>
      <c r="Y26" s="16" t="str">
        <f aca="false">IF($C26="","",IF(P26&lt;&gt;"","A01="&amp;P26&amp;", ","")&amp;IF(Q26&lt;&gt;"","A02="&amp;Q26&amp;", ","")&amp;IF(R26&lt;&gt;"","A03="&amp;R26&amp;", ","")&amp;IF(S26&lt;&gt;"","A05="&amp;S26&amp;", ","")&amp;IF(T26&lt;&gt;"","F01="&amp;T26&amp;", ","")&amp;IF(W26&lt;&gt;"","B01="&amp;W26&amp;", ","")&amp;"C04="&amp;X26&amp;", "&amp;IF(U26&lt;&gt;"","R03="&amp;U26&amp;", R04="&amp;V26&amp;", ",""))</f>
        <v/>
      </c>
      <c r="Z26" s="6" t="str">
        <f aca="false">IF($G26="","",IFERROR(I26&amp;VALUE(IF(I26="W6311",INDEX(배관기준!$AB$5:$AB$28,MATCH($G26,배관기준!$AA$5:$AA$28,0)),INDEX(배관기준!$AC$5:$AC$28,MATCH($G26,배관기준!$AA$5:$AA$28,0)))),"확인"))</f>
        <v/>
      </c>
      <c r="AA26" s="40"/>
      <c r="AB26" s="40"/>
      <c r="AC26" s="86" t="str">
        <f aca="false">IF($C26="","",IF(AC$2&lt;&gt;"자동",AC$2,IF(OR($C26="매설",$AL$2="N"),"×",IF($C26="옥외",IF($G26&lt;=IF($AK$2="포항",250,200),"○","×"),IF($C26="옥내",IF($G26&lt;=80,"○","×"),"×")))))</f>
        <v/>
      </c>
      <c r="AD26" s="86" t="str">
        <f aca="false">IF($C26="","",AD$2)</f>
        <v/>
      </c>
      <c r="AE26" s="86" t="str">
        <f aca="false">IF($C26="","",AE$2)</f>
        <v/>
      </c>
      <c r="AF26" s="86" t="str">
        <f aca="false">IF($C26="","",AF$2)</f>
        <v/>
      </c>
      <c r="AG26" s="86" t="str">
        <f aca="false">IF($C26="","",IF(AG$2&lt;&gt;"자동",AG$2,IF(OR($AC26="○",$C26="매설",LEFT($E26,3)="STS",LEFT($E26,3)="SUS"),"×","○")))</f>
        <v/>
      </c>
      <c r="AH26" s="86" t="str">
        <f aca="false">IF($C26="","",AH$2)</f>
        <v/>
      </c>
      <c r="AI26" s="87" t="str">
        <f aca="false">IF(AND($AC26="○",$AG26="○",배관기준!$AG$17="Y"),"보온·도장 중복→도장 제외","")</f>
        <v/>
      </c>
      <c r="AJ26" s="75" t="str">
        <f aca="false">IF($C26="","",$B26&amp;"|"&amp;$C26&amp;"|"&amp;$D26&amp;"|"&amp;$E26&amp;"|"&amp;$G26)</f>
        <v/>
      </c>
    </row>
    <row r="27" customFormat="false" ht="15" hidden="false" customHeight="true" outlineLevel="0" collapsed="false">
      <c r="A27" s="6"/>
      <c r="B27" s="21"/>
      <c r="C27" s="21"/>
      <c r="D27" s="21"/>
      <c r="E27" s="21"/>
      <c r="F27" s="21"/>
      <c r="G27" s="21"/>
      <c r="H27" s="21"/>
      <c r="I27" s="21"/>
      <c r="J27" s="6" t="str">
        <f aca="false">IF($C27="","",IF($C27="매설","매설",""))</f>
        <v/>
      </c>
      <c r="K27" s="19"/>
      <c r="L27" s="6" t="str">
        <f aca="false">IF($C27="","","TON")</f>
        <v/>
      </c>
      <c r="M27" s="38" t="str">
        <f aca="false">IF($C27="","",IF($B27="철거",IF(SUMIFS(배관기본물량!$P$7:$P$126,배관기본물량!$B$7:$B$126,"철거",배관기본물량!$C$7:$C$126,$C27,배관기본물량!$E$7:$E$126,$D27,배관기본물량!$U$7:$U$126,$E27,배관기본물량!$I$7:$I$126,$G27,배관기본물량!$Q$7:$Q$126,"P")=0,SUMIFS(배관기본물량!$P$7:$P$126,배관기본물량!$B$7:$B$126,"설치",배관기본물량!$C$7:$C$126,$C27,배관기본물량!$E$7:$E$126,$D27,배관기본물량!$U$7:$U$126,$E27,배관기본물량!$I$7:$I$126,$G27,배관기본물량!$Q$7:$Q$126,"P"),SUMIFS(배관기본물량!$P$7:$P$126,배관기본물량!$B$7:$B$126,"철거",배관기본물량!$C$7:$C$126,$C27,배관기본물량!$E$7:$E$126,$D27,배관기본물량!$U$7:$U$126,$E27,배관기본물량!$I$7:$I$126,$G27,배관기본물량!$Q$7:$Q$126,"P")),SUMIFS(배관기본물량!$P$7:$P$126,배관기본물량!$B$7:$B$126,$B27,배관기본물량!$C$7:$C$126,$C27,배관기본물량!$E$7:$E$126,$D27,배관기본물량!$U$7:$U$126,$E27,배관기본물량!$I$7:$I$126,$G27,배관기본물량!$Q$7:$Q$126,"P"))/1000)</f>
        <v/>
      </c>
      <c r="N27" s="38" t="str">
        <f aca="false">IF($C27="","",IF($B27="철거",IF(SUMIFS(배관기본물량!$P$7:$P$126,배관기본물량!$B$7:$B$126,"철거",배관기본물량!$C$7:$C$126,$C27,배관기본물량!$E$7:$E$126,$D27,배관기본물량!$U$7:$U$126,$E27,배관기본물량!$I$7:$I$126,$G27,배관기본물량!$Q$7:$Q$126,"F")=0,SUMIFS(배관기본물량!$P$7:$P$126,배관기본물량!$B$7:$B$126,"설치",배관기본물량!$C$7:$C$126,$C27,배관기본물량!$E$7:$E$126,$D27,배관기본물량!$U$7:$U$126,$E27,배관기본물량!$I$7:$I$126,$G27,배관기본물량!$Q$7:$Q$126,"F"),SUMIFS(배관기본물량!$P$7:$P$126,배관기본물량!$B$7:$B$126,"철거",배관기본물량!$C$7:$C$126,$C27,배관기본물량!$E$7:$E$126,$D27,배관기본물량!$U$7:$U$126,$E27,배관기본물량!$I$7:$I$126,$G27,배관기본물량!$Q$7:$Q$126,"F")),SUMIFS(배관기본물량!$P$7:$P$126,배관기본물량!$B$7:$B$126,$B27,배관기본물량!$C$7:$C$126,$C27,배관기본물량!$E$7:$E$126,$D27,배관기본물량!$U$7:$U$126,$E27,배관기본물량!$I$7:$I$126,$G27,배관기본물량!$Q$7:$Q$126,"F"))/1000)</f>
        <v/>
      </c>
      <c r="O27" s="38" t="str">
        <f aca="false">IF($C27="","",M27+N27)</f>
        <v/>
      </c>
      <c r="P27" s="38" t="str">
        <f aca="false">IF(OR($C27="",N(O27)=0),"",IF(OR($C27="매설",$G27&lt;배관기준!$AG$5),"",ROUND(N27/O27-배관기준!$AG$6,3)))</f>
        <v/>
      </c>
      <c r="Q27" s="85" t="str">
        <f aca="false">IF($C27="기계실",0.5,"")</f>
        <v/>
      </c>
      <c r="R27" s="85" t="str">
        <f aca="false">IF($C27="매설",-0.3,"")</f>
        <v/>
      </c>
      <c r="S27" s="38" t="str">
        <f aca="false">IF(AND(ISNUMBER($AA27),ISNUMBER($AB27)),ROUND($AB27/$AA27-1,3),IF(OR($C27="",$H27="",$H27=IF($I27="W6311","SPP","SCH40")),"",IFERROR(ROUND(INDEX(배관단중표!$B$7:$W$41,MATCH($G27,배관단중표!$A$7:$A$41,0),MATCH(IF($H27="SPP","SPP",IF(LEFT($E27,3)="STS",IF(ISNUMBER(SEARCH("316",$E27)),"STS316","STS304"),"SPPS")&amp;"|"&amp;$H27),배관단중표!$B$6:$W$6,0))/INDEX(배관단중표!$B$7:$W$41,MATCH($G27,배관단중표!$A$7:$A$41,0),MATCH(IF(IF($I27="W6311","SPP","SCH40")="SPP","SPP",IF(LEFT($E27,3)="STS",IF(ISNUMBER(SEARCH("316",$E27)),"STS316","STS304"),"SPPS")&amp;"|"&amp;IF($I27="W6311","SPP","SCH40")),배관단중표!$B$6:$W$6,0))-1,3),"확인")))</f>
        <v/>
      </c>
      <c r="T27" s="38" t="str">
        <f aca="false">IF(OR($C27="",$F27="",$F27="탄소강"),"",IFERROR(IF(INDEX(배관기준!$I$5:$V$14,MATCH($F27,배관기준!$H$5:$H$14,0),MIN(14,COUNTIF(배관기준!$I$4:$V$4,"&lt;"&amp;$G27)+1))=0,"확인",INDEX(배관기준!$I$5:$V$14,MATCH($F27,배관기준!$H$5:$H$14,0),MIN(14,COUNTIF(배관기준!$I$4:$V$4,"&lt;"&amp;$G27)+1))/100),"확인"))</f>
        <v/>
      </c>
      <c r="U27" s="6" t="str">
        <f aca="false">IF(AND($C27&lt;&gt;"",$D27="5kg/cm2미만",$K27=""),"DL010465001","")</f>
        <v/>
      </c>
      <c r="V27" s="6" t="str">
        <f aca="false">IF(U27="","","DL010265001")</f>
        <v/>
      </c>
      <c r="W27" s="85" t="str">
        <f aca="false">IF($B27="철거",배관기준!$AG$11,"")</f>
        <v/>
      </c>
      <c r="X27" s="37" t="str">
        <f aca="false">IF($C27="","",배관기준!$AG$12)</f>
        <v/>
      </c>
      <c r="Y27" s="16" t="str">
        <f aca="false">IF($C27="","",IF(P27&lt;&gt;"","A01="&amp;P27&amp;", ","")&amp;IF(Q27&lt;&gt;"","A02="&amp;Q27&amp;", ","")&amp;IF(R27&lt;&gt;"","A03="&amp;R27&amp;", ","")&amp;IF(S27&lt;&gt;"","A05="&amp;S27&amp;", ","")&amp;IF(T27&lt;&gt;"","F01="&amp;T27&amp;", ","")&amp;IF(W27&lt;&gt;"","B01="&amp;W27&amp;", ","")&amp;"C04="&amp;X27&amp;", "&amp;IF(U27&lt;&gt;"","R03="&amp;U27&amp;", R04="&amp;V27&amp;", ",""))</f>
        <v/>
      </c>
      <c r="Z27" s="6" t="str">
        <f aca="false">IF($G27="","",IFERROR(I27&amp;VALUE(IF(I27="W6311",INDEX(배관기준!$AB$5:$AB$28,MATCH($G27,배관기준!$AA$5:$AA$28,0)),INDEX(배관기준!$AC$5:$AC$28,MATCH($G27,배관기준!$AA$5:$AA$28,0)))),"확인"))</f>
        <v/>
      </c>
      <c r="AA27" s="40"/>
      <c r="AB27" s="40"/>
      <c r="AC27" s="86" t="str">
        <f aca="false">IF($C27="","",IF(AC$2&lt;&gt;"자동",AC$2,IF(OR($C27="매설",$AL$2="N"),"×",IF($C27="옥외",IF($G27&lt;=IF($AK$2="포항",250,200),"○","×"),IF($C27="옥내",IF($G27&lt;=80,"○","×"),"×")))))</f>
        <v/>
      </c>
      <c r="AD27" s="86" t="str">
        <f aca="false">IF($C27="","",AD$2)</f>
        <v/>
      </c>
      <c r="AE27" s="86" t="str">
        <f aca="false">IF($C27="","",AE$2)</f>
        <v/>
      </c>
      <c r="AF27" s="86" t="str">
        <f aca="false">IF($C27="","",AF$2)</f>
        <v/>
      </c>
      <c r="AG27" s="86" t="str">
        <f aca="false">IF($C27="","",IF(AG$2&lt;&gt;"자동",AG$2,IF(OR($AC27="○",$C27="매설",LEFT($E27,3)="STS",LEFT($E27,3)="SUS"),"×","○")))</f>
        <v/>
      </c>
      <c r="AH27" s="86" t="str">
        <f aca="false">IF($C27="","",AH$2)</f>
        <v/>
      </c>
      <c r="AI27" s="87" t="str">
        <f aca="false">IF(AND($AC27="○",$AG27="○",배관기준!$AG$17="Y"),"보온·도장 중복→도장 제외","")</f>
        <v/>
      </c>
      <c r="AJ27" s="75" t="str">
        <f aca="false">IF($C27="","",$B27&amp;"|"&amp;$C27&amp;"|"&amp;$D27&amp;"|"&amp;$E27&amp;"|"&amp;$G27)</f>
        <v/>
      </c>
    </row>
    <row r="28" customFormat="false" ht="15" hidden="false" customHeight="true" outlineLevel="0" collapsed="false">
      <c r="A28" s="6"/>
      <c r="B28" s="21"/>
      <c r="C28" s="21"/>
      <c r="D28" s="21"/>
      <c r="E28" s="21"/>
      <c r="F28" s="21"/>
      <c r="G28" s="21"/>
      <c r="H28" s="21"/>
      <c r="I28" s="21"/>
      <c r="J28" s="6" t="str">
        <f aca="false">IF($C28="","",IF($C28="매설","매설",""))</f>
        <v/>
      </c>
      <c r="K28" s="19"/>
      <c r="L28" s="6" t="str">
        <f aca="false">IF($C28="","","TON")</f>
        <v/>
      </c>
      <c r="M28" s="38" t="str">
        <f aca="false">IF($C28="","",IF($B28="철거",IF(SUMIFS(배관기본물량!$P$7:$P$126,배관기본물량!$B$7:$B$126,"철거",배관기본물량!$C$7:$C$126,$C28,배관기본물량!$E$7:$E$126,$D28,배관기본물량!$U$7:$U$126,$E28,배관기본물량!$I$7:$I$126,$G28,배관기본물량!$Q$7:$Q$126,"P")=0,SUMIFS(배관기본물량!$P$7:$P$126,배관기본물량!$B$7:$B$126,"설치",배관기본물량!$C$7:$C$126,$C28,배관기본물량!$E$7:$E$126,$D28,배관기본물량!$U$7:$U$126,$E28,배관기본물량!$I$7:$I$126,$G28,배관기본물량!$Q$7:$Q$126,"P"),SUMIFS(배관기본물량!$P$7:$P$126,배관기본물량!$B$7:$B$126,"철거",배관기본물량!$C$7:$C$126,$C28,배관기본물량!$E$7:$E$126,$D28,배관기본물량!$U$7:$U$126,$E28,배관기본물량!$I$7:$I$126,$G28,배관기본물량!$Q$7:$Q$126,"P")),SUMIFS(배관기본물량!$P$7:$P$126,배관기본물량!$B$7:$B$126,$B28,배관기본물량!$C$7:$C$126,$C28,배관기본물량!$E$7:$E$126,$D28,배관기본물량!$U$7:$U$126,$E28,배관기본물량!$I$7:$I$126,$G28,배관기본물량!$Q$7:$Q$126,"P"))/1000)</f>
        <v/>
      </c>
      <c r="N28" s="38" t="str">
        <f aca="false">IF($C28="","",IF($B28="철거",IF(SUMIFS(배관기본물량!$P$7:$P$126,배관기본물량!$B$7:$B$126,"철거",배관기본물량!$C$7:$C$126,$C28,배관기본물량!$E$7:$E$126,$D28,배관기본물량!$U$7:$U$126,$E28,배관기본물량!$I$7:$I$126,$G28,배관기본물량!$Q$7:$Q$126,"F")=0,SUMIFS(배관기본물량!$P$7:$P$126,배관기본물량!$B$7:$B$126,"설치",배관기본물량!$C$7:$C$126,$C28,배관기본물량!$E$7:$E$126,$D28,배관기본물량!$U$7:$U$126,$E28,배관기본물량!$I$7:$I$126,$G28,배관기본물량!$Q$7:$Q$126,"F"),SUMIFS(배관기본물량!$P$7:$P$126,배관기본물량!$B$7:$B$126,"철거",배관기본물량!$C$7:$C$126,$C28,배관기본물량!$E$7:$E$126,$D28,배관기본물량!$U$7:$U$126,$E28,배관기본물량!$I$7:$I$126,$G28,배관기본물량!$Q$7:$Q$126,"F")),SUMIFS(배관기본물량!$P$7:$P$126,배관기본물량!$B$7:$B$126,$B28,배관기본물량!$C$7:$C$126,$C28,배관기본물량!$E$7:$E$126,$D28,배관기본물량!$U$7:$U$126,$E28,배관기본물량!$I$7:$I$126,$G28,배관기본물량!$Q$7:$Q$126,"F"))/1000)</f>
        <v/>
      </c>
      <c r="O28" s="38" t="str">
        <f aca="false">IF($C28="","",M28+N28)</f>
        <v/>
      </c>
      <c r="P28" s="38" t="str">
        <f aca="false">IF(OR($C28="",N(O28)=0),"",IF(OR($C28="매설",$G28&lt;배관기준!$AG$5),"",ROUND(N28/O28-배관기준!$AG$6,3)))</f>
        <v/>
      </c>
      <c r="Q28" s="85" t="str">
        <f aca="false">IF($C28="기계실",0.5,"")</f>
        <v/>
      </c>
      <c r="R28" s="85" t="str">
        <f aca="false">IF($C28="매설",-0.3,"")</f>
        <v/>
      </c>
      <c r="S28" s="38" t="str">
        <f aca="false">IF(AND(ISNUMBER($AA28),ISNUMBER($AB28)),ROUND($AB28/$AA28-1,3),IF(OR($C28="",$H28="",$H28=IF($I28="W6311","SPP","SCH40")),"",IFERROR(ROUND(INDEX(배관단중표!$B$7:$W$41,MATCH($G28,배관단중표!$A$7:$A$41,0),MATCH(IF($H28="SPP","SPP",IF(LEFT($E28,3)="STS",IF(ISNUMBER(SEARCH("316",$E28)),"STS316","STS304"),"SPPS")&amp;"|"&amp;$H28),배관단중표!$B$6:$W$6,0))/INDEX(배관단중표!$B$7:$W$41,MATCH($G28,배관단중표!$A$7:$A$41,0),MATCH(IF(IF($I28="W6311","SPP","SCH40")="SPP","SPP",IF(LEFT($E28,3)="STS",IF(ISNUMBER(SEARCH("316",$E28)),"STS316","STS304"),"SPPS")&amp;"|"&amp;IF($I28="W6311","SPP","SCH40")),배관단중표!$B$6:$W$6,0))-1,3),"확인")))</f>
        <v/>
      </c>
      <c r="T28" s="38" t="str">
        <f aca="false">IF(OR($C28="",$F28="",$F28="탄소강"),"",IFERROR(IF(INDEX(배관기준!$I$5:$V$14,MATCH($F28,배관기준!$H$5:$H$14,0),MIN(14,COUNTIF(배관기준!$I$4:$V$4,"&lt;"&amp;$G28)+1))=0,"확인",INDEX(배관기준!$I$5:$V$14,MATCH($F28,배관기준!$H$5:$H$14,0),MIN(14,COUNTIF(배관기준!$I$4:$V$4,"&lt;"&amp;$G28)+1))/100),"확인"))</f>
        <v/>
      </c>
      <c r="U28" s="6" t="str">
        <f aca="false">IF(AND($C28&lt;&gt;"",$D28="5kg/cm2미만",$K28=""),"DL010465001","")</f>
        <v/>
      </c>
      <c r="V28" s="6" t="str">
        <f aca="false">IF(U28="","","DL010265001")</f>
        <v/>
      </c>
      <c r="W28" s="85" t="str">
        <f aca="false">IF($B28="철거",배관기준!$AG$11,"")</f>
        <v/>
      </c>
      <c r="X28" s="37" t="str">
        <f aca="false">IF($C28="","",배관기준!$AG$12)</f>
        <v/>
      </c>
      <c r="Y28" s="16" t="str">
        <f aca="false">IF($C28="","",IF(P28&lt;&gt;"","A01="&amp;P28&amp;", ","")&amp;IF(Q28&lt;&gt;"","A02="&amp;Q28&amp;", ","")&amp;IF(R28&lt;&gt;"","A03="&amp;R28&amp;", ","")&amp;IF(S28&lt;&gt;"","A05="&amp;S28&amp;", ","")&amp;IF(T28&lt;&gt;"","F01="&amp;T28&amp;", ","")&amp;IF(W28&lt;&gt;"","B01="&amp;W28&amp;", ","")&amp;"C04="&amp;X28&amp;", "&amp;IF(U28&lt;&gt;"","R03="&amp;U28&amp;", R04="&amp;V28&amp;", ",""))</f>
        <v/>
      </c>
      <c r="Z28" s="6" t="str">
        <f aca="false">IF($G28="","",IFERROR(I28&amp;VALUE(IF(I28="W6311",INDEX(배관기준!$AB$5:$AB$28,MATCH($G28,배관기준!$AA$5:$AA$28,0)),INDEX(배관기준!$AC$5:$AC$28,MATCH($G28,배관기준!$AA$5:$AA$28,0)))),"확인"))</f>
        <v/>
      </c>
      <c r="AA28" s="40"/>
      <c r="AB28" s="40"/>
      <c r="AC28" s="86" t="str">
        <f aca="false">IF($C28="","",IF(AC$2&lt;&gt;"자동",AC$2,IF(OR($C28="매설",$AL$2="N"),"×",IF($C28="옥외",IF($G28&lt;=IF($AK$2="포항",250,200),"○","×"),IF($C28="옥내",IF($G28&lt;=80,"○","×"),"×")))))</f>
        <v/>
      </c>
      <c r="AD28" s="86" t="str">
        <f aca="false">IF($C28="","",AD$2)</f>
        <v/>
      </c>
      <c r="AE28" s="86" t="str">
        <f aca="false">IF($C28="","",AE$2)</f>
        <v/>
      </c>
      <c r="AF28" s="86" t="str">
        <f aca="false">IF($C28="","",AF$2)</f>
        <v/>
      </c>
      <c r="AG28" s="86" t="str">
        <f aca="false">IF($C28="","",IF(AG$2&lt;&gt;"자동",AG$2,IF(OR($AC28="○",$C28="매설",LEFT($E28,3)="STS",LEFT($E28,3)="SUS"),"×","○")))</f>
        <v/>
      </c>
      <c r="AH28" s="86" t="str">
        <f aca="false">IF($C28="","",AH$2)</f>
        <v/>
      </c>
      <c r="AI28" s="87" t="str">
        <f aca="false">IF(AND($AC28="○",$AG28="○",배관기준!$AG$17="Y"),"보온·도장 중복→도장 제외","")</f>
        <v/>
      </c>
      <c r="AJ28" s="75" t="str">
        <f aca="false">IF($C28="","",$B28&amp;"|"&amp;$C28&amp;"|"&amp;$D28&amp;"|"&amp;$E28&amp;"|"&amp;$G28)</f>
        <v/>
      </c>
    </row>
    <row r="29" customFormat="false" ht="15" hidden="false" customHeight="true" outlineLevel="0" collapsed="false">
      <c r="A29" s="6"/>
      <c r="B29" s="21"/>
      <c r="C29" s="21"/>
      <c r="D29" s="21"/>
      <c r="E29" s="21"/>
      <c r="F29" s="21"/>
      <c r="G29" s="21"/>
      <c r="H29" s="21"/>
      <c r="I29" s="21"/>
      <c r="J29" s="6" t="str">
        <f aca="false">IF($C29="","",IF($C29="매설","매설",""))</f>
        <v/>
      </c>
      <c r="K29" s="19"/>
      <c r="L29" s="6" t="str">
        <f aca="false">IF($C29="","","TON")</f>
        <v/>
      </c>
      <c r="M29" s="38" t="str">
        <f aca="false">IF($C29="","",IF($B29="철거",IF(SUMIFS(배관기본물량!$P$7:$P$126,배관기본물량!$B$7:$B$126,"철거",배관기본물량!$C$7:$C$126,$C29,배관기본물량!$E$7:$E$126,$D29,배관기본물량!$U$7:$U$126,$E29,배관기본물량!$I$7:$I$126,$G29,배관기본물량!$Q$7:$Q$126,"P")=0,SUMIFS(배관기본물량!$P$7:$P$126,배관기본물량!$B$7:$B$126,"설치",배관기본물량!$C$7:$C$126,$C29,배관기본물량!$E$7:$E$126,$D29,배관기본물량!$U$7:$U$126,$E29,배관기본물량!$I$7:$I$126,$G29,배관기본물량!$Q$7:$Q$126,"P"),SUMIFS(배관기본물량!$P$7:$P$126,배관기본물량!$B$7:$B$126,"철거",배관기본물량!$C$7:$C$126,$C29,배관기본물량!$E$7:$E$126,$D29,배관기본물량!$U$7:$U$126,$E29,배관기본물량!$I$7:$I$126,$G29,배관기본물량!$Q$7:$Q$126,"P")),SUMIFS(배관기본물량!$P$7:$P$126,배관기본물량!$B$7:$B$126,$B29,배관기본물량!$C$7:$C$126,$C29,배관기본물량!$E$7:$E$126,$D29,배관기본물량!$U$7:$U$126,$E29,배관기본물량!$I$7:$I$126,$G29,배관기본물량!$Q$7:$Q$126,"P"))/1000)</f>
        <v/>
      </c>
      <c r="N29" s="38" t="str">
        <f aca="false">IF($C29="","",IF($B29="철거",IF(SUMIFS(배관기본물량!$P$7:$P$126,배관기본물량!$B$7:$B$126,"철거",배관기본물량!$C$7:$C$126,$C29,배관기본물량!$E$7:$E$126,$D29,배관기본물량!$U$7:$U$126,$E29,배관기본물량!$I$7:$I$126,$G29,배관기본물량!$Q$7:$Q$126,"F")=0,SUMIFS(배관기본물량!$P$7:$P$126,배관기본물량!$B$7:$B$126,"설치",배관기본물량!$C$7:$C$126,$C29,배관기본물량!$E$7:$E$126,$D29,배관기본물량!$U$7:$U$126,$E29,배관기본물량!$I$7:$I$126,$G29,배관기본물량!$Q$7:$Q$126,"F"),SUMIFS(배관기본물량!$P$7:$P$126,배관기본물량!$B$7:$B$126,"철거",배관기본물량!$C$7:$C$126,$C29,배관기본물량!$E$7:$E$126,$D29,배관기본물량!$U$7:$U$126,$E29,배관기본물량!$I$7:$I$126,$G29,배관기본물량!$Q$7:$Q$126,"F")),SUMIFS(배관기본물량!$P$7:$P$126,배관기본물량!$B$7:$B$126,$B29,배관기본물량!$C$7:$C$126,$C29,배관기본물량!$E$7:$E$126,$D29,배관기본물량!$U$7:$U$126,$E29,배관기본물량!$I$7:$I$126,$G29,배관기본물량!$Q$7:$Q$126,"F"))/1000)</f>
        <v/>
      </c>
      <c r="O29" s="38" t="str">
        <f aca="false">IF($C29="","",M29+N29)</f>
        <v/>
      </c>
      <c r="P29" s="38" t="str">
        <f aca="false">IF(OR($C29="",N(O29)=0),"",IF(OR($C29="매설",$G29&lt;배관기준!$AG$5),"",ROUND(N29/O29-배관기준!$AG$6,3)))</f>
        <v/>
      </c>
      <c r="Q29" s="85" t="str">
        <f aca="false">IF($C29="기계실",0.5,"")</f>
        <v/>
      </c>
      <c r="R29" s="85" t="str">
        <f aca="false">IF($C29="매설",-0.3,"")</f>
        <v/>
      </c>
      <c r="S29" s="38" t="str">
        <f aca="false">IF(AND(ISNUMBER($AA29),ISNUMBER($AB29)),ROUND($AB29/$AA29-1,3),IF(OR($C29="",$H29="",$H29=IF($I29="W6311","SPP","SCH40")),"",IFERROR(ROUND(INDEX(배관단중표!$B$7:$W$41,MATCH($G29,배관단중표!$A$7:$A$41,0),MATCH(IF($H29="SPP","SPP",IF(LEFT($E29,3)="STS",IF(ISNUMBER(SEARCH("316",$E29)),"STS316","STS304"),"SPPS")&amp;"|"&amp;$H29),배관단중표!$B$6:$W$6,0))/INDEX(배관단중표!$B$7:$W$41,MATCH($G29,배관단중표!$A$7:$A$41,0),MATCH(IF(IF($I29="W6311","SPP","SCH40")="SPP","SPP",IF(LEFT($E29,3)="STS",IF(ISNUMBER(SEARCH("316",$E29)),"STS316","STS304"),"SPPS")&amp;"|"&amp;IF($I29="W6311","SPP","SCH40")),배관단중표!$B$6:$W$6,0))-1,3),"확인")))</f>
        <v/>
      </c>
      <c r="T29" s="38" t="str">
        <f aca="false">IF(OR($C29="",$F29="",$F29="탄소강"),"",IFERROR(IF(INDEX(배관기준!$I$5:$V$14,MATCH($F29,배관기준!$H$5:$H$14,0),MIN(14,COUNTIF(배관기준!$I$4:$V$4,"&lt;"&amp;$G29)+1))=0,"확인",INDEX(배관기준!$I$5:$V$14,MATCH($F29,배관기준!$H$5:$H$14,0),MIN(14,COUNTIF(배관기준!$I$4:$V$4,"&lt;"&amp;$G29)+1))/100),"확인"))</f>
        <v/>
      </c>
      <c r="U29" s="6" t="str">
        <f aca="false">IF(AND($C29&lt;&gt;"",$D29="5kg/cm2미만",$K29=""),"DL010465001","")</f>
        <v/>
      </c>
      <c r="V29" s="6" t="str">
        <f aca="false">IF(U29="","","DL010265001")</f>
        <v/>
      </c>
      <c r="W29" s="85" t="str">
        <f aca="false">IF($B29="철거",배관기준!$AG$11,"")</f>
        <v/>
      </c>
      <c r="X29" s="37" t="str">
        <f aca="false">IF($C29="","",배관기준!$AG$12)</f>
        <v/>
      </c>
      <c r="Y29" s="16" t="str">
        <f aca="false">IF($C29="","",IF(P29&lt;&gt;"","A01="&amp;P29&amp;", ","")&amp;IF(Q29&lt;&gt;"","A02="&amp;Q29&amp;", ","")&amp;IF(R29&lt;&gt;"","A03="&amp;R29&amp;", ","")&amp;IF(S29&lt;&gt;"","A05="&amp;S29&amp;", ","")&amp;IF(T29&lt;&gt;"","F01="&amp;T29&amp;", ","")&amp;IF(W29&lt;&gt;"","B01="&amp;W29&amp;", ","")&amp;"C04="&amp;X29&amp;", "&amp;IF(U29&lt;&gt;"","R03="&amp;U29&amp;", R04="&amp;V29&amp;", ",""))</f>
        <v/>
      </c>
      <c r="Z29" s="6" t="str">
        <f aca="false">IF($G29="","",IFERROR(I29&amp;VALUE(IF(I29="W6311",INDEX(배관기준!$AB$5:$AB$28,MATCH($G29,배관기준!$AA$5:$AA$28,0)),INDEX(배관기준!$AC$5:$AC$28,MATCH($G29,배관기준!$AA$5:$AA$28,0)))),"확인"))</f>
        <v/>
      </c>
      <c r="AA29" s="40"/>
      <c r="AB29" s="40"/>
      <c r="AC29" s="86" t="str">
        <f aca="false">IF($C29="","",IF(AC$2&lt;&gt;"자동",AC$2,IF(OR($C29="매설",$AL$2="N"),"×",IF($C29="옥외",IF($G29&lt;=IF($AK$2="포항",250,200),"○","×"),IF($C29="옥내",IF($G29&lt;=80,"○","×"),"×")))))</f>
        <v/>
      </c>
      <c r="AD29" s="86" t="str">
        <f aca="false">IF($C29="","",AD$2)</f>
        <v/>
      </c>
      <c r="AE29" s="86" t="str">
        <f aca="false">IF($C29="","",AE$2)</f>
        <v/>
      </c>
      <c r="AF29" s="86" t="str">
        <f aca="false">IF($C29="","",AF$2)</f>
        <v/>
      </c>
      <c r="AG29" s="86" t="str">
        <f aca="false">IF($C29="","",IF(AG$2&lt;&gt;"자동",AG$2,IF(OR($AC29="○",$C29="매설",LEFT($E29,3)="STS",LEFT($E29,3)="SUS"),"×","○")))</f>
        <v/>
      </c>
      <c r="AH29" s="86" t="str">
        <f aca="false">IF($C29="","",AH$2)</f>
        <v/>
      </c>
      <c r="AI29" s="87" t="str">
        <f aca="false">IF(AND($AC29="○",$AG29="○",배관기준!$AG$17="Y"),"보온·도장 중복→도장 제외","")</f>
        <v/>
      </c>
      <c r="AJ29" s="75" t="str">
        <f aca="false">IF($C29="","",$B29&amp;"|"&amp;$C29&amp;"|"&amp;$D29&amp;"|"&amp;$E29&amp;"|"&amp;$G29)</f>
        <v/>
      </c>
    </row>
    <row r="30" customFormat="false" ht="15" hidden="false" customHeight="true" outlineLevel="0" collapsed="false">
      <c r="A30" s="6"/>
      <c r="B30" s="21"/>
      <c r="C30" s="21"/>
      <c r="D30" s="21"/>
      <c r="E30" s="21"/>
      <c r="F30" s="21"/>
      <c r="G30" s="21"/>
      <c r="H30" s="21"/>
      <c r="I30" s="21"/>
      <c r="J30" s="6" t="str">
        <f aca="false">IF($C30="","",IF($C30="매설","매설",""))</f>
        <v/>
      </c>
      <c r="K30" s="19"/>
      <c r="L30" s="6" t="str">
        <f aca="false">IF($C30="","","TON")</f>
        <v/>
      </c>
      <c r="M30" s="38" t="str">
        <f aca="false">IF($C30="","",IF($B30="철거",IF(SUMIFS(배관기본물량!$P$7:$P$126,배관기본물량!$B$7:$B$126,"철거",배관기본물량!$C$7:$C$126,$C30,배관기본물량!$E$7:$E$126,$D30,배관기본물량!$U$7:$U$126,$E30,배관기본물량!$I$7:$I$126,$G30,배관기본물량!$Q$7:$Q$126,"P")=0,SUMIFS(배관기본물량!$P$7:$P$126,배관기본물량!$B$7:$B$126,"설치",배관기본물량!$C$7:$C$126,$C30,배관기본물량!$E$7:$E$126,$D30,배관기본물량!$U$7:$U$126,$E30,배관기본물량!$I$7:$I$126,$G30,배관기본물량!$Q$7:$Q$126,"P"),SUMIFS(배관기본물량!$P$7:$P$126,배관기본물량!$B$7:$B$126,"철거",배관기본물량!$C$7:$C$126,$C30,배관기본물량!$E$7:$E$126,$D30,배관기본물량!$U$7:$U$126,$E30,배관기본물량!$I$7:$I$126,$G30,배관기본물량!$Q$7:$Q$126,"P")),SUMIFS(배관기본물량!$P$7:$P$126,배관기본물량!$B$7:$B$126,$B30,배관기본물량!$C$7:$C$126,$C30,배관기본물량!$E$7:$E$126,$D30,배관기본물량!$U$7:$U$126,$E30,배관기본물량!$I$7:$I$126,$G30,배관기본물량!$Q$7:$Q$126,"P"))/1000)</f>
        <v/>
      </c>
      <c r="N30" s="38" t="str">
        <f aca="false">IF($C30="","",IF($B30="철거",IF(SUMIFS(배관기본물량!$P$7:$P$126,배관기본물량!$B$7:$B$126,"철거",배관기본물량!$C$7:$C$126,$C30,배관기본물량!$E$7:$E$126,$D30,배관기본물량!$U$7:$U$126,$E30,배관기본물량!$I$7:$I$126,$G30,배관기본물량!$Q$7:$Q$126,"F")=0,SUMIFS(배관기본물량!$P$7:$P$126,배관기본물량!$B$7:$B$126,"설치",배관기본물량!$C$7:$C$126,$C30,배관기본물량!$E$7:$E$126,$D30,배관기본물량!$U$7:$U$126,$E30,배관기본물량!$I$7:$I$126,$G30,배관기본물량!$Q$7:$Q$126,"F"),SUMIFS(배관기본물량!$P$7:$P$126,배관기본물량!$B$7:$B$126,"철거",배관기본물량!$C$7:$C$126,$C30,배관기본물량!$E$7:$E$126,$D30,배관기본물량!$U$7:$U$126,$E30,배관기본물량!$I$7:$I$126,$G30,배관기본물량!$Q$7:$Q$126,"F")),SUMIFS(배관기본물량!$P$7:$P$126,배관기본물량!$B$7:$B$126,$B30,배관기본물량!$C$7:$C$126,$C30,배관기본물량!$E$7:$E$126,$D30,배관기본물량!$U$7:$U$126,$E30,배관기본물량!$I$7:$I$126,$G30,배관기본물량!$Q$7:$Q$126,"F"))/1000)</f>
        <v/>
      </c>
      <c r="O30" s="38" t="str">
        <f aca="false">IF($C30="","",M30+N30)</f>
        <v/>
      </c>
      <c r="P30" s="38" t="str">
        <f aca="false">IF(OR($C30="",N(O30)=0),"",IF(OR($C30="매설",$G30&lt;배관기준!$AG$5),"",ROUND(N30/O30-배관기준!$AG$6,3)))</f>
        <v/>
      </c>
      <c r="Q30" s="85" t="str">
        <f aca="false">IF($C30="기계실",0.5,"")</f>
        <v/>
      </c>
      <c r="R30" s="85" t="str">
        <f aca="false">IF($C30="매설",-0.3,"")</f>
        <v/>
      </c>
      <c r="S30" s="38" t="str">
        <f aca="false">IF(AND(ISNUMBER($AA30),ISNUMBER($AB30)),ROUND($AB30/$AA30-1,3),IF(OR($C30="",$H30="",$H30=IF($I30="W6311","SPP","SCH40")),"",IFERROR(ROUND(INDEX(배관단중표!$B$7:$W$41,MATCH($G30,배관단중표!$A$7:$A$41,0),MATCH(IF($H30="SPP","SPP",IF(LEFT($E30,3)="STS",IF(ISNUMBER(SEARCH("316",$E30)),"STS316","STS304"),"SPPS")&amp;"|"&amp;$H30),배관단중표!$B$6:$W$6,0))/INDEX(배관단중표!$B$7:$W$41,MATCH($G30,배관단중표!$A$7:$A$41,0),MATCH(IF(IF($I30="W6311","SPP","SCH40")="SPP","SPP",IF(LEFT($E30,3)="STS",IF(ISNUMBER(SEARCH("316",$E30)),"STS316","STS304"),"SPPS")&amp;"|"&amp;IF($I30="W6311","SPP","SCH40")),배관단중표!$B$6:$W$6,0))-1,3),"확인")))</f>
        <v/>
      </c>
      <c r="T30" s="38" t="str">
        <f aca="false">IF(OR($C30="",$F30="",$F30="탄소강"),"",IFERROR(IF(INDEX(배관기준!$I$5:$V$14,MATCH($F30,배관기준!$H$5:$H$14,0),MIN(14,COUNTIF(배관기준!$I$4:$V$4,"&lt;"&amp;$G30)+1))=0,"확인",INDEX(배관기준!$I$5:$V$14,MATCH($F30,배관기준!$H$5:$H$14,0),MIN(14,COUNTIF(배관기준!$I$4:$V$4,"&lt;"&amp;$G30)+1))/100),"확인"))</f>
        <v/>
      </c>
      <c r="U30" s="6" t="str">
        <f aca="false">IF(AND($C30&lt;&gt;"",$D30="5kg/cm2미만",$K30=""),"DL010465001","")</f>
        <v/>
      </c>
      <c r="V30" s="6" t="str">
        <f aca="false">IF(U30="","","DL010265001")</f>
        <v/>
      </c>
      <c r="W30" s="85" t="str">
        <f aca="false">IF($B30="철거",배관기준!$AG$11,"")</f>
        <v/>
      </c>
      <c r="X30" s="37" t="str">
        <f aca="false">IF($C30="","",배관기준!$AG$12)</f>
        <v/>
      </c>
      <c r="Y30" s="16" t="str">
        <f aca="false">IF($C30="","",IF(P30&lt;&gt;"","A01="&amp;P30&amp;", ","")&amp;IF(Q30&lt;&gt;"","A02="&amp;Q30&amp;", ","")&amp;IF(R30&lt;&gt;"","A03="&amp;R30&amp;", ","")&amp;IF(S30&lt;&gt;"","A05="&amp;S30&amp;", ","")&amp;IF(T30&lt;&gt;"","F01="&amp;T30&amp;", ","")&amp;IF(W30&lt;&gt;"","B01="&amp;W30&amp;", ","")&amp;"C04="&amp;X30&amp;", "&amp;IF(U30&lt;&gt;"","R03="&amp;U30&amp;", R04="&amp;V30&amp;", ",""))</f>
        <v/>
      </c>
      <c r="Z30" s="6" t="str">
        <f aca="false">IF($G30="","",IFERROR(I30&amp;VALUE(IF(I30="W6311",INDEX(배관기준!$AB$5:$AB$28,MATCH($G30,배관기준!$AA$5:$AA$28,0)),INDEX(배관기준!$AC$5:$AC$28,MATCH($G30,배관기준!$AA$5:$AA$28,0)))),"확인"))</f>
        <v/>
      </c>
      <c r="AA30" s="40"/>
      <c r="AB30" s="40"/>
      <c r="AC30" s="86" t="str">
        <f aca="false">IF($C30="","",IF(AC$2&lt;&gt;"자동",AC$2,IF(OR($C30="매설",$AL$2="N"),"×",IF($C30="옥외",IF($G30&lt;=IF($AK$2="포항",250,200),"○","×"),IF($C30="옥내",IF($G30&lt;=80,"○","×"),"×")))))</f>
        <v/>
      </c>
      <c r="AD30" s="86" t="str">
        <f aca="false">IF($C30="","",AD$2)</f>
        <v/>
      </c>
      <c r="AE30" s="86" t="str">
        <f aca="false">IF($C30="","",AE$2)</f>
        <v/>
      </c>
      <c r="AF30" s="86" t="str">
        <f aca="false">IF($C30="","",AF$2)</f>
        <v/>
      </c>
      <c r="AG30" s="86" t="str">
        <f aca="false">IF($C30="","",IF(AG$2&lt;&gt;"자동",AG$2,IF(OR($AC30="○",$C30="매설",LEFT($E30,3)="STS",LEFT($E30,3)="SUS"),"×","○")))</f>
        <v/>
      </c>
      <c r="AH30" s="86" t="str">
        <f aca="false">IF($C30="","",AH$2)</f>
        <v/>
      </c>
      <c r="AI30" s="87" t="str">
        <f aca="false">IF(AND($AC30="○",$AG30="○",배관기준!$AG$17="Y"),"보온·도장 중복→도장 제외","")</f>
        <v/>
      </c>
      <c r="AJ30" s="75" t="str">
        <f aca="false">IF($C30="","",$B30&amp;"|"&amp;$C30&amp;"|"&amp;$D30&amp;"|"&amp;$E30&amp;"|"&amp;$G30)</f>
        <v/>
      </c>
    </row>
    <row r="31" customFormat="false" ht="15" hidden="false" customHeight="true" outlineLevel="0" collapsed="false">
      <c r="A31" s="6"/>
      <c r="B31" s="21"/>
      <c r="C31" s="21"/>
      <c r="D31" s="21"/>
      <c r="E31" s="21"/>
      <c r="F31" s="21"/>
      <c r="G31" s="21"/>
      <c r="H31" s="21"/>
      <c r="I31" s="21"/>
      <c r="J31" s="6" t="str">
        <f aca="false">IF($C31="","",IF($C31="매설","매설",""))</f>
        <v/>
      </c>
      <c r="K31" s="19"/>
      <c r="L31" s="6" t="str">
        <f aca="false">IF($C31="","","TON")</f>
        <v/>
      </c>
      <c r="M31" s="38" t="str">
        <f aca="false">IF($C31="","",IF($B31="철거",IF(SUMIFS(배관기본물량!$P$7:$P$126,배관기본물량!$B$7:$B$126,"철거",배관기본물량!$C$7:$C$126,$C31,배관기본물량!$E$7:$E$126,$D31,배관기본물량!$U$7:$U$126,$E31,배관기본물량!$I$7:$I$126,$G31,배관기본물량!$Q$7:$Q$126,"P")=0,SUMIFS(배관기본물량!$P$7:$P$126,배관기본물량!$B$7:$B$126,"설치",배관기본물량!$C$7:$C$126,$C31,배관기본물량!$E$7:$E$126,$D31,배관기본물량!$U$7:$U$126,$E31,배관기본물량!$I$7:$I$126,$G31,배관기본물량!$Q$7:$Q$126,"P"),SUMIFS(배관기본물량!$P$7:$P$126,배관기본물량!$B$7:$B$126,"철거",배관기본물량!$C$7:$C$126,$C31,배관기본물량!$E$7:$E$126,$D31,배관기본물량!$U$7:$U$126,$E31,배관기본물량!$I$7:$I$126,$G31,배관기본물량!$Q$7:$Q$126,"P")),SUMIFS(배관기본물량!$P$7:$P$126,배관기본물량!$B$7:$B$126,$B31,배관기본물량!$C$7:$C$126,$C31,배관기본물량!$E$7:$E$126,$D31,배관기본물량!$U$7:$U$126,$E31,배관기본물량!$I$7:$I$126,$G31,배관기본물량!$Q$7:$Q$126,"P"))/1000)</f>
        <v/>
      </c>
      <c r="N31" s="38" t="str">
        <f aca="false">IF($C31="","",IF($B31="철거",IF(SUMIFS(배관기본물량!$P$7:$P$126,배관기본물량!$B$7:$B$126,"철거",배관기본물량!$C$7:$C$126,$C31,배관기본물량!$E$7:$E$126,$D31,배관기본물량!$U$7:$U$126,$E31,배관기본물량!$I$7:$I$126,$G31,배관기본물량!$Q$7:$Q$126,"F")=0,SUMIFS(배관기본물량!$P$7:$P$126,배관기본물량!$B$7:$B$126,"설치",배관기본물량!$C$7:$C$126,$C31,배관기본물량!$E$7:$E$126,$D31,배관기본물량!$U$7:$U$126,$E31,배관기본물량!$I$7:$I$126,$G31,배관기본물량!$Q$7:$Q$126,"F"),SUMIFS(배관기본물량!$P$7:$P$126,배관기본물량!$B$7:$B$126,"철거",배관기본물량!$C$7:$C$126,$C31,배관기본물량!$E$7:$E$126,$D31,배관기본물량!$U$7:$U$126,$E31,배관기본물량!$I$7:$I$126,$G31,배관기본물량!$Q$7:$Q$126,"F")),SUMIFS(배관기본물량!$P$7:$P$126,배관기본물량!$B$7:$B$126,$B31,배관기본물량!$C$7:$C$126,$C31,배관기본물량!$E$7:$E$126,$D31,배관기본물량!$U$7:$U$126,$E31,배관기본물량!$I$7:$I$126,$G31,배관기본물량!$Q$7:$Q$126,"F"))/1000)</f>
        <v/>
      </c>
      <c r="O31" s="38" t="str">
        <f aca="false">IF($C31="","",M31+N31)</f>
        <v/>
      </c>
      <c r="P31" s="38" t="str">
        <f aca="false">IF(OR($C31="",N(O31)=0),"",IF(OR($C31="매설",$G31&lt;배관기준!$AG$5),"",ROUND(N31/O31-배관기준!$AG$6,3)))</f>
        <v/>
      </c>
      <c r="Q31" s="85" t="str">
        <f aca="false">IF($C31="기계실",0.5,"")</f>
        <v/>
      </c>
      <c r="R31" s="85" t="str">
        <f aca="false">IF($C31="매설",-0.3,"")</f>
        <v/>
      </c>
      <c r="S31" s="38" t="str">
        <f aca="false">IF(AND(ISNUMBER($AA31),ISNUMBER($AB31)),ROUND($AB31/$AA31-1,3),IF(OR($C31="",$H31="",$H31=IF($I31="W6311","SPP","SCH40")),"",IFERROR(ROUND(INDEX(배관단중표!$B$7:$W$41,MATCH($G31,배관단중표!$A$7:$A$41,0),MATCH(IF($H31="SPP","SPP",IF(LEFT($E31,3)="STS",IF(ISNUMBER(SEARCH("316",$E31)),"STS316","STS304"),"SPPS")&amp;"|"&amp;$H31),배관단중표!$B$6:$W$6,0))/INDEX(배관단중표!$B$7:$W$41,MATCH($G31,배관단중표!$A$7:$A$41,0),MATCH(IF(IF($I31="W6311","SPP","SCH40")="SPP","SPP",IF(LEFT($E31,3)="STS",IF(ISNUMBER(SEARCH("316",$E31)),"STS316","STS304"),"SPPS")&amp;"|"&amp;IF($I31="W6311","SPP","SCH40")),배관단중표!$B$6:$W$6,0))-1,3),"확인")))</f>
        <v/>
      </c>
      <c r="T31" s="38" t="str">
        <f aca="false">IF(OR($C31="",$F31="",$F31="탄소강"),"",IFERROR(IF(INDEX(배관기준!$I$5:$V$14,MATCH($F31,배관기준!$H$5:$H$14,0),MIN(14,COUNTIF(배관기준!$I$4:$V$4,"&lt;"&amp;$G31)+1))=0,"확인",INDEX(배관기준!$I$5:$V$14,MATCH($F31,배관기준!$H$5:$H$14,0),MIN(14,COUNTIF(배관기준!$I$4:$V$4,"&lt;"&amp;$G31)+1))/100),"확인"))</f>
        <v/>
      </c>
      <c r="U31" s="6" t="str">
        <f aca="false">IF(AND($C31&lt;&gt;"",$D31="5kg/cm2미만",$K31=""),"DL010465001","")</f>
        <v/>
      </c>
      <c r="V31" s="6" t="str">
        <f aca="false">IF(U31="","","DL010265001")</f>
        <v/>
      </c>
      <c r="W31" s="85" t="str">
        <f aca="false">IF($B31="철거",배관기준!$AG$11,"")</f>
        <v/>
      </c>
      <c r="X31" s="37" t="str">
        <f aca="false">IF($C31="","",배관기준!$AG$12)</f>
        <v/>
      </c>
      <c r="Y31" s="16" t="str">
        <f aca="false">IF($C31="","",IF(P31&lt;&gt;"","A01="&amp;P31&amp;", ","")&amp;IF(Q31&lt;&gt;"","A02="&amp;Q31&amp;", ","")&amp;IF(R31&lt;&gt;"","A03="&amp;R31&amp;", ","")&amp;IF(S31&lt;&gt;"","A05="&amp;S31&amp;", ","")&amp;IF(T31&lt;&gt;"","F01="&amp;T31&amp;", ","")&amp;IF(W31&lt;&gt;"","B01="&amp;W31&amp;", ","")&amp;"C04="&amp;X31&amp;", "&amp;IF(U31&lt;&gt;"","R03="&amp;U31&amp;", R04="&amp;V31&amp;", ",""))</f>
        <v/>
      </c>
      <c r="Z31" s="6" t="str">
        <f aca="false">IF($G31="","",IFERROR(I31&amp;VALUE(IF(I31="W6311",INDEX(배관기준!$AB$5:$AB$28,MATCH($G31,배관기준!$AA$5:$AA$28,0)),INDEX(배관기준!$AC$5:$AC$28,MATCH($G31,배관기준!$AA$5:$AA$28,0)))),"확인"))</f>
        <v/>
      </c>
      <c r="AA31" s="40"/>
      <c r="AB31" s="40"/>
      <c r="AC31" s="86" t="str">
        <f aca="false">IF($C31="","",IF(AC$2&lt;&gt;"자동",AC$2,IF(OR($C31="매설",$AL$2="N"),"×",IF($C31="옥외",IF($G31&lt;=IF($AK$2="포항",250,200),"○","×"),IF($C31="옥내",IF($G31&lt;=80,"○","×"),"×")))))</f>
        <v/>
      </c>
      <c r="AD31" s="86" t="str">
        <f aca="false">IF($C31="","",AD$2)</f>
        <v/>
      </c>
      <c r="AE31" s="86" t="str">
        <f aca="false">IF($C31="","",AE$2)</f>
        <v/>
      </c>
      <c r="AF31" s="86" t="str">
        <f aca="false">IF($C31="","",AF$2)</f>
        <v/>
      </c>
      <c r="AG31" s="86" t="str">
        <f aca="false">IF($C31="","",IF(AG$2&lt;&gt;"자동",AG$2,IF(OR($AC31="○",$C31="매설",LEFT($E31,3)="STS",LEFT($E31,3)="SUS"),"×","○")))</f>
        <v/>
      </c>
      <c r="AH31" s="86" t="str">
        <f aca="false">IF($C31="","",AH$2)</f>
        <v/>
      </c>
      <c r="AI31" s="87" t="str">
        <f aca="false">IF(AND($AC31="○",$AG31="○",배관기준!$AG$17="Y"),"보온·도장 중복→도장 제외","")</f>
        <v/>
      </c>
      <c r="AJ31" s="75" t="str">
        <f aca="false">IF($C31="","",$B31&amp;"|"&amp;$C31&amp;"|"&amp;$D31&amp;"|"&amp;$E31&amp;"|"&amp;$G31)</f>
        <v/>
      </c>
    </row>
    <row r="32" customFormat="false" ht="15" hidden="false" customHeight="true" outlineLevel="0" collapsed="false">
      <c r="A32" s="6"/>
      <c r="B32" s="21"/>
      <c r="C32" s="21"/>
      <c r="D32" s="21"/>
      <c r="E32" s="21"/>
      <c r="F32" s="21"/>
      <c r="G32" s="21"/>
      <c r="H32" s="21"/>
      <c r="I32" s="21"/>
      <c r="J32" s="6" t="str">
        <f aca="false">IF($C32="","",IF($C32="매설","매설",""))</f>
        <v/>
      </c>
      <c r="K32" s="19"/>
      <c r="L32" s="6" t="str">
        <f aca="false">IF($C32="","","TON")</f>
        <v/>
      </c>
      <c r="M32" s="38" t="str">
        <f aca="false">IF($C32="","",IF($B32="철거",IF(SUMIFS(배관기본물량!$P$7:$P$126,배관기본물량!$B$7:$B$126,"철거",배관기본물량!$C$7:$C$126,$C32,배관기본물량!$E$7:$E$126,$D32,배관기본물량!$U$7:$U$126,$E32,배관기본물량!$I$7:$I$126,$G32,배관기본물량!$Q$7:$Q$126,"P")=0,SUMIFS(배관기본물량!$P$7:$P$126,배관기본물량!$B$7:$B$126,"설치",배관기본물량!$C$7:$C$126,$C32,배관기본물량!$E$7:$E$126,$D32,배관기본물량!$U$7:$U$126,$E32,배관기본물량!$I$7:$I$126,$G32,배관기본물량!$Q$7:$Q$126,"P"),SUMIFS(배관기본물량!$P$7:$P$126,배관기본물량!$B$7:$B$126,"철거",배관기본물량!$C$7:$C$126,$C32,배관기본물량!$E$7:$E$126,$D32,배관기본물량!$U$7:$U$126,$E32,배관기본물량!$I$7:$I$126,$G32,배관기본물량!$Q$7:$Q$126,"P")),SUMIFS(배관기본물량!$P$7:$P$126,배관기본물량!$B$7:$B$126,$B32,배관기본물량!$C$7:$C$126,$C32,배관기본물량!$E$7:$E$126,$D32,배관기본물량!$U$7:$U$126,$E32,배관기본물량!$I$7:$I$126,$G32,배관기본물량!$Q$7:$Q$126,"P"))/1000)</f>
        <v/>
      </c>
      <c r="N32" s="38" t="str">
        <f aca="false">IF($C32="","",IF($B32="철거",IF(SUMIFS(배관기본물량!$P$7:$P$126,배관기본물량!$B$7:$B$126,"철거",배관기본물량!$C$7:$C$126,$C32,배관기본물량!$E$7:$E$126,$D32,배관기본물량!$U$7:$U$126,$E32,배관기본물량!$I$7:$I$126,$G32,배관기본물량!$Q$7:$Q$126,"F")=0,SUMIFS(배관기본물량!$P$7:$P$126,배관기본물량!$B$7:$B$126,"설치",배관기본물량!$C$7:$C$126,$C32,배관기본물량!$E$7:$E$126,$D32,배관기본물량!$U$7:$U$126,$E32,배관기본물량!$I$7:$I$126,$G32,배관기본물량!$Q$7:$Q$126,"F"),SUMIFS(배관기본물량!$P$7:$P$126,배관기본물량!$B$7:$B$126,"철거",배관기본물량!$C$7:$C$126,$C32,배관기본물량!$E$7:$E$126,$D32,배관기본물량!$U$7:$U$126,$E32,배관기본물량!$I$7:$I$126,$G32,배관기본물량!$Q$7:$Q$126,"F")),SUMIFS(배관기본물량!$P$7:$P$126,배관기본물량!$B$7:$B$126,$B32,배관기본물량!$C$7:$C$126,$C32,배관기본물량!$E$7:$E$126,$D32,배관기본물량!$U$7:$U$126,$E32,배관기본물량!$I$7:$I$126,$G32,배관기본물량!$Q$7:$Q$126,"F"))/1000)</f>
        <v/>
      </c>
      <c r="O32" s="38" t="str">
        <f aca="false">IF($C32="","",M32+N32)</f>
        <v/>
      </c>
      <c r="P32" s="38" t="str">
        <f aca="false">IF(OR($C32="",N(O32)=0),"",IF(OR($C32="매설",$G32&lt;배관기준!$AG$5),"",ROUND(N32/O32-배관기준!$AG$6,3)))</f>
        <v/>
      </c>
      <c r="Q32" s="85" t="str">
        <f aca="false">IF($C32="기계실",0.5,"")</f>
        <v/>
      </c>
      <c r="R32" s="85" t="str">
        <f aca="false">IF($C32="매설",-0.3,"")</f>
        <v/>
      </c>
      <c r="S32" s="38" t="str">
        <f aca="false">IF(AND(ISNUMBER($AA32),ISNUMBER($AB32)),ROUND($AB32/$AA32-1,3),IF(OR($C32="",$H32="",$H32=IF($I32="W6311","SPP","SCH40")),"",IFERROR(ROUND(INDEX(배관단중표!$B$7:$W$41,MATCH($G32,배관단중표!$A$7:$A$41,0),MATCH(IF($H32="SPP","SPP",IF(LEFT($E32,3)="STS",IF(ISNUMBER(SEARCH("316",$E32)),"STS316","STS304"),"SPPS")&amp;"|"&amp;$H32),배관단중표!$B$6:$W$6,0))/INDEX(배관단중표!$B$7:$W$41,MATCH($G32,배관단중표!$A$7:$A$41,0),MATCH(IF(IF($I32="W6311","SPP","SCH40")="SPP","SPP",IF(LEFT($E32,3)="STS",IF(ISNUMBER(SEARCH("316",$E32)),"STS316","STS304"),"SPPS")&amp;"|"&amp;IF($I32="W6311","SPP","SCH40")),배관단중표!$B$6:$W$6,0))-1,3),"확인")))</f>
        <v/>
      </c>
      <c r="T32" s="38" t="str">
        <f aca="false">IF(OR($C32="",$F32="",$F32="탄소강"),"",IFERROR(IF(INDEX(배관기준!$I$5:$V$14,MATCH($F32,배관기준!$H$5:$H$14,0),MIN(14,COUNTIF(배관기준!$I$4:$V$4,"&lt;"&amp;$G32)+1))=0,"확인",INDEX(배관기준!$I$5:$V$14,MATCH($F32,배관기준!$H$5:$H$14,0),MIN(14,COUNTIF(배관기준!$I$4:$V$4,"&lt;"&amp;$G32)+1))/100),"확인"))</f>
        <v/>
      </c>
      <c r="U32" s="6" t="str">
        <f aca="false">IF(AND($C32&lt;&gt;"",$D32="5kg/cm2미만",$K32=""),"DL010465001","")</f>
        <v/>
      </c>
      <c r="V32" s="6" t="str">
        <f aca="false">IF(U32="","","DL010265001")</f>
        <v/>
      </c>
      <c r="W32" s="85" t="str">
        <f aca="false">IF($B32="철거",배관기준!$AG$11,"")</f>
        <v/>
      </c>
      <c r="X32" s="37" t="str">
        <f aca="false">IF($C32="","",배관기준!$AG$12)</f>
        <v/>
      </c>
      <c r="Y32" s="16" t="str">
        <f aca="false">IF($C32="","",IF(P32&lt;&gt;"","A01="&amp;P32&amp;", ","")&amp;IF(Q32&lt;&gt;"","A02="&amp;Q32&amp;", ","")&amp;IF(R32&lt;&gt;"","A03="&amp;R32&amp;", ","")&amp;IF(S32&lt;&gt;"","A05="&amp;S32&amp;", ","")&amp;IF(T32&lt;&gt;"","F01="&amp;T32&amp;", ","")&amp;IF(W32&lt;&gt;"","B01="&amp;W32&amp;", ","")&amp;"C04="&amp;X32&amp;", "&amp;IF(U32&lt;&gt;"","R03="&amp;U32&amp;", R04="&amp;V32&amp;", ",""))</f>
        <v/>
      </c>
      <c r="Z32" s="6" t="str">
        <f aca="false">IF($G32="","",IFERROR(I32&amp;VALUE(IF(I32="W6311",INDEX(배관기준!$AB$5:$AB$28,MATCH($G32,배관기준!$AA$5:$AA$28,0)),INDEX(배관기준!$AC$5:$AC$28,MATCH($G32,배관기준!$AA$5:$AA$28,0)))),"확인"))</f>
        <v/>
      </c>
      <c r="AA32" s="40"/>
      <c r="AB32" s="40"/>
      <c r="AC32" s="86" t="str">
        <f aca="false">IF($C32="","",IF(AC$2&lt;&gt;"자동",AC$2,IF(OR($C32="매설",$AL$2="N"),"×",IF($C32="옥외",IF($G32&lt;=IF($AK$2="포항",250,200),"○","×"),IF($C32="옥내",IF($G32&lt;=80,"○","×"),"×")))))</f>
        <v/>
      </c>
      <c r="AD32" s="86" t="str">
        <f aca="false">IF($C32="","",AD$2)</f>
        <v/>
      </c>
      <c r="AE32" s="86" t="str">
        <f aca="false">IF($C32="","",AE$2)</f>
        <v/>
      </c>
      <c r="AF32" s="86" t="str">
        <f aca="false">IF($C32="","",AF$2)</f>
        <v/>
      </c>
      <c r="AG32" s="86" t="str">
        <f aca="false">IF($C32="","",IF(AG$2&lt;&gt;"자동",AG$2,IF(OR($AC32="○",$C32="매설",LEFT($E32,3)="STS",LEFT($E32,3)="SUS"),"×","○")))</f>
        <v/>
      </c>
      <c r="AH32" s="86" t="str">
        <f aca="false">IF($C32="","",AH$2)</f>
        <v/>
      </c>
      <c r="AI32" s="87" t="str">
        <f aca="false">IF(AND($AC32="○",$AG32="○",배관기준!$AG$17="Y"),"보온·도장 중복→도장 제외","")</f>
        <v/>
      </c>
      <c r="AJ32" s="75" t="str">
        <f aca="false">IF($C32="","",$B32&amp;"|"&amp;$C32&amp;"|"&amp;$D32&amp;"|"&amp;$E32&amp;"|"&amp;$G32)</f>
        <v/>
      </c>
    </row>
    <row r="33" customFormat="false" ht="15" hidden="false" customHeight="true" outlineLevel="0" collapsed="false">
      <c r="A33" s="10"/>
      <c r="B33" s="44" t="s">
        <v>819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8" t="n">
        <f aca="false">SUMIF($B$7:$B$32,"설치",M7:M32)</f>
        <v>1.99980721</v>
      </c>
      <c r="N33" s="88" t="n">
        <f aca="false">SUMIF($B$7:$B$32,"설치",N7:N32)</f>
        <v>3.1343</v>
      </c>
      <c r="O33" s="88" t="n">
        <f aca="false">SUMIF($B$7:$B$32,"설치",O7:O32)</f>
        <v>5.13410721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" hidden="false" customHeight="true" outlineLevel="0" collapsed="false">
      <c r="A34" s="10"/>
      <c r="B34" s="44" t="s">
        <v>820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8" t="n">
        <f aca="false">SUMIF($B$7:$B$32,"철거",M7:M32)</f>
        <v>1.99980721</v>
      </c>
      <c r="N34" s="88" t="n">
        <f aca="false">SUMIF($B$7:$B$32,"철거",N7:N32)</f>
        <v>3.1343</v>
      </c>
      <c r="O34" s="88" t="n">
        <f aca="false">SUMIF($B$7:$B$32,"철거",O7:O32)</f>
        <v>5.13410721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6" customFormat="false" ht="15" hidden="false" customHeight="true" outlineLevel="0" collapsed="false">
      <c r="A36" s="3" t="s">
        <v>821</v>
      </c>
    </row>
    <row r="37" customFormat="false" ht="15" hidden="false" customHeight="true" outlineLevel="0" collapsed="false">
      <c r="A37" s="3" t="s">
        <v>822</v>
      </c>
    </row>
  </sheetData>
  <dataValidations count="15">
    <dataValidation allowBlank="true" errorStyle="stop" operator="between" showDropDown="false" showErrorMessage="false" showInputMessage="false" sqref="B7:B32" type="list">
      <formula1>"설치,철거"</formula1>
      <formula2>0</formula2>
    </dataValidation>
    <dataValidation allowBlank="true" errorStyle="stop" operator="between" showDropDown="false" showErrorMessage="false" showInputMessage="false" sqref="C7:C32" type="list">
      <formula1>"옥외,옥내,매설,기계실"</formula1>
      <formula2>0</formula2>
    </dataValidation>
    <dataValidation allowBlank="true" errorStyle="stop" operator="between" showDropDown="false" showErrorMessage="false" showInputMessage="false" sqref="D7:D32" type="list">
      <formula1>"5kg/cm2미만,5kg/cm2이상"</formula1>
      <formula2>0</formula2>
    </dataValidation>
    <dataValidation allowBlank="true" errorStyle="stop" operator="between" showDropDown="false" showErrorMessage="false" showInputMessage="false" sqref="F7:F32" type="list">
      <formula1>배관기준!$H$5:$H$14</formula1>
      <formula2>0</formula2>
    </dataValidation>
    <dataValidation allowBlank="true" errorStyle="stop" operator="between" showDropDown="false" showErrorMessage="false" showInputMessage="false" sqref="H7:H32" type="list">
      <formula1>"SPP,SCH5,SCH10,SCH20,SCH40,SCH60,SCH80,SCH120,SCH160"</formula1>
      <formula2>0</formula2>
    </dataValidation>
    <dataValidation allowBlank="true" errorStyle="stop" operator="between" showDropDown="false" showErrorMessage="false" showInputMessage="false" sqref="I7:I32" type="list">
      <formula1>"W6311,W6312"</formula1>
      <formula2>0</formula2>
    </dataValidation>
    <dataValidation allowBlank="true" errorStyle="stop" operator="between" showDropDown="false" showErrorMessage="false" showInputMessage="false" sqref="K7:K32" type="list">
      <formula1>"해당있음"</formula1>
      <formula2>0</formula2>
    </dataValidation>
    <dataValidation allowBlank="true" errorStyle="stop" operator="between" showDropDown="false" showErrorMessage="false" showInputMessage="false" sqref="AC7:AC32" type="list">
      <formula1>"○,×"</formula1>
      <formula2>0</formula2>
    </dataValidation>
    <dataValidation allowBlank="true" errorStyle="stop" operator="between" showDropDown="false" showErrorMessage="false" showInputMessage="false" sqref="AD7:AD32" type="list">
      <formula1>"○,×"</formula1>
      <formula2>0</formula2>
    </dataValidation>
    <dataValidation allowBlank="true" errorStyle="stop" operator="between" showDropDown="false" showErrorMessage="false" showInputMessage="false" sqref="AE7:AE32" type="list">
      <formula1>"○,×"</formula1>
      <formula2>0</formula2>
    </dataValidation>
    <dataValidation allowBlank="true" errorStyle="stop" operator="between" showDropDown="false" showErrorMessage="false" showInputMessage="false" sqref="AF7:AF32" type="list">
      <formula1>"○,×"</formula1>
      <formula2>0</formula2>
    </dataValidation>
    <dataValidation allowBlank="true" errorStyle="stop" operator="between" showDropDown="false" showErrorMessage="false" showInputMessage="false" sqref="AG7:AG32" type="list">
      <formula1>"○,×"</formula1>
      <formula2>0</formula2>
    </dataValidation>
    <dataValidation allowBlank="true" errorStyle="stop" operator="between" showDropDown="false" showErrorMessage="false" showInputMessage="false" sqref="AC2:AG2" type="list">
      <formula1>"○,×,자동"</formula1>
      <formula2>0</formula2>
    </dataValidation>
    <dataValidation allowBlank="false" errorStyle="stop" operator="between" showDropDown="false" showErrorMessage="false" showInputMessage="false" sqref="AK2" type="list">
      <formula1>"포항,광양"</formula1>
      <formula2>0</formula2>
    </dataValidation>
    <dataValidation allowBlank="false" errorStyle="stop" operator="between" showDropDown="false" showErrorMessage="false" showInputMessage="false" sqref="AL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0"/>
    <col collapsed="false" customWidth="true" hidden="false" outlineLevel="0" max="5" min="5" style="1" width="9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8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8" min="17" style="1" width="10"/>
    <col collapsed="false" customWidth="true" hidden="false" outlineLevel="0" max="26" min="19" style="1" width="11"/>
  </cols>
  <sheetData>
    <row r="1" customFormat="false" ht="21" hidden="false" customHeight="true" outlineLevel="0" collapsed="false">
      <c r="A1" s="71" t="s">
        <v>823</v>
      </c>
    </row>
    <row r="2" customFormat="false" ht="15" hidden="false" customHeight="true" outlineLevel="0" collapsed="false">
      <c r="A2" s="3" t="s">
        <v>824</v>
      </c>
    </row>
    <row r="3" customFormat="false" ht="15" hidden="false" customHeight="true" outlineLevel="0" collapsed="false">
      <c r="A3" s="3" t="s">
        <v>825</v>
      </c>
    </row>
    <row r="5" customFormat="false" ht="15" hidden="false" customHeight="true" outlineLevel="0" collapsed="false">
      <c r="S5" s="72" t="s">
        <v>826</v>
      </c>
    </row>
    <row r="6" customFormat="false" ht="43.5" hidden="false" customHeight="true" outlineLevel="0" collapsed="false">
      <c r="A6" s="4" t="s">
        <v>680</v>
      </c>
      <c r="B6" s="31" t="s">
        <v>827</v>
      </c>
      <c r="C6" s="31" t="s">
        <v>828</v>
      </c>
      <c r="D6" s="31" t="s">
        <v>829</v>
      </c>
      <c r="E6" s="31" t="s">
        <v>830</v>
      </c>
      <c r="F6" s="4" t="s">
        <v>831</v>
      </c>
      <c r="G6" s="4" t="s">
        <v>832</v>
      </c>
      <c r="H6" s="31" t="s">
        <v>833</v>
      </c>
      <c r="I6" s="31" t="s">
        <v>834</v>
      </c>
      <c r="J6" s="4" t="s">
        <v>835</v>
      </c>
      <c r="K6" s="31" t="s">
        <v>836</v>
      </c>
      <c r="L6" s="31" t="s">
        <v>837</v>
      </c>
      <c r="M6" s="31" t="s">
        <v>838</v>
      </c>
      <c r="N6" s="31" t="s">
        <v>839</v>
      </c>
      <c r="O6" s="31" t="s">
        <v>840</v>
      </c>
      <c r="P6" s="31" t="s">
        <v>841</v>
      </c>
      <c r="Q6" s="4" t="s">
        <v>842</v>
      </c>
      <c r="R6" s="4" t="s">
        <v>843</v>
      </c>
      <c r="S6" s="31" t="s">
        <v>844</v>
      </c>
      <c r="T6" s="4" t="s">
        <v>845</v>
      </c>
      <c r="U6" s="4" t="s">
        <v>846</v>
      </c>
      <c r="V6" s="31" t="s">
        <v>847</v>
      </c>
      <c r="W6" s="31" t="s">
        <v>848</v>
      </c>
      <c r="X6" s="4" t="s">
        <v>849</v>
      </c>
      <c r="Y6" s="4" t="s">
        <v>850</v>
      </c>
      <c r="Z6" s="4" t="s">
        <v>851</v>
      </c>
    </row>
    <row r="7" customFormat="false" ht="15" hidden="false" customHeight="true" outlineLevel="0" collapsed="false">
      <c r="A7" s="19" t="n">
        <v>6</v>
      </c>
      <c r="B7" s="15" t="n">
        <f aca="false">SUMIFS(배관기본물량!$R$7:$R$126,배관기본물량!$I$7:$I$126,$A7,배관기본물량!$B$7:$B$126,"설치")</f>
        <v>0</v>
      </c>
      <c r="C7" s="15" t="n">
        <f aca="false">SUMIFS(배관기본물량!$P$7:$P$126,배관기본물량!$I$7:$I$126,$A7,배관기본물량!$B$7:$B$126,"설치",배관기본물량!$G$7:$G$126,"PIPE")</f>
        <v>0</v>
      </c>
      <c r="D7" s="15" t="n">
        <f aca="false">SUMIFS(배관기본물량!$P$7:$P$126,배관기본물량!$I$7:$I$126,$A7,배관기본물량!$B$7:$B$126,"설치",배관기본물량!$G$7:$G$126,"FITTING")</f>
        <v>0</v>
      </c>
      <c r="E7" s="15" t="n">
        <f aca="false">SUMIFS(배관기본물량!$P$7:$P$126,배관기본물량!$I$7:$I$126,$A7,배관기본물량!$B$7:$B$126,"설치",배관기본물량!$G$7:$G$126,"VALVE")</f>
        <v>0</v>
      </c>
      <c r="F7" s="15" t="n">
        <f aca="false">SUMIFS(배관소재집계!$K$7:$K$126,배관기본물량!$I$7:$I$126,$A7,배관기본물량!$G$7:$G$126,"PIPE")</f>
        <v>0</v>
      </c>
      <c r="G7" s="15" t="n">
        <f aca="false">SUMIFS(배관소재집계!$K$7:$K$126,배관기본물량!$I$7:$I$126,$A7,배관기본물량!$G$7:$G$126,"FITTING")</f>
        <v>0</v>
      </c>
      <c r="H7" s="15" t="n">
        <f aca="false">((F7-C7)+(G7-D7)+(SUMIFS(배관소재집계!$K$7:$K$126,배관기본물량!$I$7:$I$126,$A7,배관기본물량!$G$7:$G$126,"VALVE")-E7))*제작기준!$L$7</f>
        <v>0</v>
      </c>
      <c r="I7" s="17" t="n">
        <f aca="false">IF(S7=0,0,ROUNDUP(S7/배관기준!$AG$7,0))</f>
        <v>0</v>
      </c>
      <c r="J7" s="36" t="n">
        <f aca="false">INDEX(배관기준!$Y$5:$Y$20,MATCH(A7,배관기준!$X$5:$X$20,1))</f>
        <v>2</v>
      </c>
      <c r="K7" s="89" t="n">
        <f aca="false">IF(A7&lt;=배관기준!$AG$13,0,배관기준!$AG$10)</f>
        <v>0</v>
      </c>
      <c r="L7" s="17" t="n">
        <f aca="false">ROUNDUP(I7*J7*K7,0)</f>
        <v>0</v>
      </c>
      <c r="M7" s="89" t="n">
        <f aca="false">IF(A7&lt;=배관기준!$AG$13,배관기준!$AG$14,0)</f>
        <v>0.1</v>
      </c>
      <c r="N7" s="18" t="n">
        <f aca="false">IFERROR(INDEX(배관기준!$B$5:$B$39,MATCH(A7,배관기준!$A$5:$A$39,0))*PI()/1000*I7*M7,0)</f>
        <v>0</v>
      </c>
      <c r="O7" s="34" t="n">
        <f aca="false">IFERROR(INDEX(배관기준!$AL$5:$AL$18,COUNTIF(배관기준!$AK$5:$AK$18,"&lt;"&amp;A7)+1),"")</f>
        <v>64</v>
      </c>
      <c r="P7" s="17" t="n">
        <f aca="false">SUMIFS(배관ARGON!$O$7:$O$21,배관ARGON!$B$7:$B$21,A7)</f>
        <v>0</v>
      </c>
      <c r="Q7" s="17" t="n">
        <f aca="false">ROUNDUP(SUMIFS(배관기본물량!$R$7:$R$126,배관기본물량!$I$7:$I$126,$A7,배관기본물량!$B$7:$B$126,"설치",배관기본물량!$G$7:$G$126,"PIPE",배관기본물량!$S$7:$S$126,"Y"),0)</f>
        <v>0</v>
      </c>
      <c r="R7" s="18" t="n">
        <f aca="false">IFERROR(Q7*INDEX(제작기준!$G$5:$G$400,MATCH("PIPE|"&amp;A7&amp;"A",제작기준!$I$5:$I$400,0)),0)</f>
        <v>0</v>
      </c>
      <c r="S7" s="15" t="n">
        <f aca="false">SUMIFS(배관기본물량!$R$7:$R$126,배관기본물량!$I$7:$I$126,$A7,배관기본물량!$B$7:$B$126,"설치",배관기본물량!$G$7:$G$126,"PIPE",배관기본물량!$X$7:$X$126,"○")</f>
        <v>0</v>
      </c>
      <c r="T7" s="15" t="n">
        <f aca="false">SUMIFS(배관기본물량!$R$7:$R$126,배관기본물량!$I$7:$I$126,$A7,배관기본물량!$B$7:$B$126,"설치",배관기본물량!$G$7:$G$126,"PIPE",배관기본물량!$W$7:$W$126,"○")</f>
        <v>0</v>
      </c>
      <c r="U7" s="8" t="n">
        <f aca="false">SUMIFS(배관기본물량!$P$7:$P$126,배관기본물량!$I$7:$I$126,$A7,배관기본물량!$B$7:$B$126,"설치",배관기본물량!$Y$7:$Y$126,"○")/1000</f>
        <v>0</v>
      </c>
      <c r="V7" s="8" t="n">
        <f aca="false">SUMIFS(배관기본물량!$P$7:$P$126,배관기본물량!$I$7:$I$126,$A7,배관기본물량!$B$7:$B$126,"설치",배관기본물량!$Z$7:$Z$126,"○")/1000</f>
        <v>0</v>
      </c>
      <c r="W7" s="17" t="n">
        <f aca="false">IFERROR(PI()/4*(INDEX(배관기준!$B$5:$B$39,MATCH($A7,배관기준!$A$5:$A$39,0))^2-4*INDEX(배관단중표!$B$7:$W$41,MATCH($A7,배관단중표!$A$7:$A$41,0),MATCH("SPPS|SCH40",배관단중표!$B$6:$W$6,0))/(PI()*제작기준!$L$8/1000))/INDEX(배관단중표!$B$7:$W$41,MATCH($A7,배관단중표!$A$7:$A$41,0),MATCH("SPPS|SCH40",배관단중표!$B$6:$W$6,0)),0)</f>
        <v>107.273111349098</v>
      </c>
      <c r="X7" s="15" t="n">
        <f aca="false">V7*W7</f>
        <v>0</v>
      </c>
      <c r="Y7" s="15" t="n">
        <f aca="false">SUMIFS(배관기본물량!$R$7:$R$126,배관기본물량!$I$7:$I$126,$A7,배관기본물량!$B$7:$B$126,"설치",배관기본물량!$G$7:$G$126,"PIPE",배관기본물량!$S$7:$S$126,"Y",배관기본물량!$Y$7:$Y$126,"○")</f>
        <v>0</v>
      </c>
      <c r="Z7" s="18" t="n">
        <f aca="false">IFERROR(ROUNDUP(Y7,0)*INDEX(제작기준!$G$5:$G$400,MATCH("PIPE|"&amp;$A7&amp;"A",제작기준!$I$5:$I$400,0)),0)</f>
        <v>0</v>
      </c>
    </row>
    <row r="8" customFormat="false" ht="15" hidden="false" customHeight="true" outlineLevel="0" collapsed="false">
      <c r="A8" s="19" t="n">
        <v>8</v>
      </c>
      <c r="B8" s="15" t="n">
        <f aca="false">SUMIFS(배관기본물량!$R$7:$R$126,배관기본물량!$I$7:$I$126,$A8,배관기본물량!$B$7:$B$126,"설치")</f>
        <v>0</v>
      </c>
      <c r="C8" s="15" t="n">
        <f aca="false">SUMIFS(배관기본물량!$P$7:$P$126,배관기본물량!$I$7:$I$126,$A8,배관기본물량!$B$7:$B$126,"설치",배관기본물량!$G$7:$G$126,"PIPE")</f>
        <v>0</v>
      </c>
      <c r="D8" s="15" t="n">
        <f aca="false">SUMIFS(배관기본물량!$P$7:$P$126,배관기본물량!$I$7:$I$126,$A8,배관기본물량!$B$7:$B$126,"설치",배관기본물량!$G$7:$G$126,"FITTING")</f>
        <v>0</v>
      </c>
      <c r="E8" s="15" t="n">
        <f aca="false">SUMIFS(배관기본물량!$P$7:$P$126,배관기본물량!$I$7:$I$126,$A8,배관기본물량!$B$7:$B$126,"설치",배관기본물량!$G$7:$G$126,"VALVE")</f>
        <v>0</v>
      </c>
      <c r="F8" s="15" t="n">
        <f aca="false">SUMIFS(배관소재집계!$K$7:$K$126,배관기본물량!$I$7:$I$126,$A8,배관기본물량!$G$7:$G$126,"PIPE")</f>
        <v>0</v>
      </c>
      <c r="G8" s="15" t="n">
        <f aca="false">SUMIFS(배관소재집계!$K$7:$K$126,배관기본물량!$I$7:$I$126,$A8,배관기본물량!$G$7:$G$126,"FITTING")</f>
        <v>0</v>
      </c>
      <c r="H8" s="15" t="n">
        <f aca="false">((F8-C8)+(G8-D8)+(SUMIFS(배관소재집계!$K$7:$K$126,배관기본물량!$I$7:$I$126,$A8,배관기본물량!$G$7:$G$126,"VALVE")-E8))*제작기준!$L$7</f>
        <v>0</v>
      </c>
      <c r="I8" s="17" t="n">
        <f aca="false">IF(S8=0,0,ROUNDUP(S8/배관기준!$AG$7,0))</f>
        <v>0</v>
      </c>
      <c r="J8" s="36" t="n">
        <f aca="false">INDEX(배관기준!$Y$5:$Y$20,MATCH(A8,배관기준!$X$5:$X$20,1))</f>
        <v>2</v>
      </c>
      <c r="K8" s="89" t="n">
        <f aca="false">IF(A8&lt;=배관기준!$AG$13,0,배관기준!$AG$10)</f>
        <v>0</v>
      </c>
      <c r="L8" s="17" t="n">
        <f aca="false">ROUNDUP(I8*J8*K8,0)</f>
        <v>0</v>
      </c>
      <c r="M8" s="89" t="n">
        <f aca="false">IF(A8&lt;=배관기준!$AG$13,배관기준!$AG$14,0)</f>
        <v>0.1</v>
      </c>
      <c r="N8" s="18" t="n">
        <f aca="false">IFERROR(INDEX(배관기준!$B$5:$B$39,MATCH(A8,배관기준!$A$5:$A$39,0))*PI()/1000*I8*M8,0)</f>
        <v>0</v>
      </c>
      <c r="O8" s="34" t="n">
        <f aca="false">IFERROR(INDEX(배관기준!$AL$5:$AL$18,COUNTIF(배관기준!$AK$5:$AK$18,"&lt;"&amp;A8)+1),"")</f>
        <v>64</v>
      </c>
      <c r="P8" s="17" t="n">
        <f aca="false">SUMIFS(배관ARGON!$O$7:$O$21,배관ARGON!$B$7:$B$21,A8)</f>
        <v>0</v>
      </c>
      <c r="Q8" s="17" t="n">
        <f aca="false">ROUNDUP(SUMIFS(배관기본물량!$R$7:$R$126,배관기본물량!$I$7:$I$126,$A8,배관기본물량!$B$7:$B$126,"설치",배관기본물량!$G$7:$G$126,"PIPE",배관기본물량!$S$7:$S$126,"Y"),0)</f>
        <v>0</v>
      </c>
      <c r="R8" s="18" t="n">
        <f aca="false">IFERROR(Q8*INDEX(제작기준!$G$5:$G$400,MATCH("PIPE|"&amp;A8&amp;"A",제작기준!$I$5:$I$400,0)),0)</f>
        <v>0</v>
      </c>
      <c r="S8" s="15" t="n">
        <f aca="false">SUMIFS(배관기본물량!$R$7:$R$126,배관기본물량!$I$7:$I$126,$A8,배관기본물량!$B$7:$B$126,"설치",배관기본물량!$G$7:$G$126,"PIPE",배관기본물량!$X$7:$X$126,"○")</f>
        <v>0</v>
      </c>
      <c r="T8" s="15" t="n">
        <f aca="false">SUMIFS(배관기본물량!$R$7:$R$126,배관기본물량!$I$7:$I$126,$A8,배관기본물량!$B$7:$B$126,"설치",배관기본물량!$G$7:$G$126,"PIPE",배관기본물량!$W$7:$W$126,"○")</f>
        <v>0</v>
      </c>
      <c r="U8" s="8" t="n">
        <f aca="false">SUMIFS(배관기본물량!$P$7:$P$126,배관기본물량!$I$7:$I$126,$A8,배관기본물량!$B$7:$B$126,"설치",배관기본물량!$Y$7:$Y$126,"○")/1000</f>
        <v>0</v>
      </c>
      <c r="V8" s="8" t="n">
        <f aca="false">SUMIFS(배관기본물량!$P$7:$P$126,배관기본물량!$I$7:$I$126,$A8,배관기본물량!$B$7:$B$126,"설치",배관기본물량!$Z$7:$Z$126,"○")/1000</f>
        <v>0</v>
      </c>
      <c r="W8" s="17" t="n">
        <f aca="false">IFERROR(PI()/4*(INDEX(배관기준!$B$5:$B$39,MATCH($A8,배관기준!$A$5:$A$39,0))^2-4*INDEX(배관단중표!$B$7:$W$41,MATCH($A8,배관단중표!$A$7:$A$41,0),MATCH("SPPS|SCH40",배관단중표!$B$6:$W$6,0))/(PI()*제작기준!$L$8/1000))/INDEX(배관단중표!$B$7:$W$41,MATCH($A8,배관단중표!$A$7:$A$41,0),MATCH("SPPS|SCH40",배관단중표!$B$6:$W$6,0)),0)</f>
        <v>110.40355755545</v>
      </c>
      <c r="X8" s="15" t="n">
        <f aca="false">V8*W8</f>
        <v>0</v>
      </c>
      <c r="Y8" s="15" t="n">
        <f aca="false">SUMIFS(배관기본물량!$R$7:$R$126,배관기본물량!$I$7:$I$126,$A8,배관기본물량!$B$7:$B$126,"설치",배관기본물량!$G$7:$G$126,"PIPE",배관기본물량!$S$7:$S$126,"Y",배관기본물량!$Y$7:$Y$126,"○")</f>
        <v>0</v>
      </c>
      <c r="Z8" s="18" t="n">
        <f aca="false">IFERROR(ROUNDUP(Y8,0)*INDEX(제작기준!$G$5:$G$400,MATCH("PIPE|"&amp;$A8&amp;"A",제작기준!$I$5:$I$400,0)),0)</f>
        <v>0</v>
      </c>
    </row>
    <row r="9" customFormat="false" ht="15" hidden="false" customHeight="true" outlineLevel="0" collapsed="false">
      <c r="A9" s="19" t="n">
        <v>10</v>
      </c>
      <c r="B9" s="15" t="n">
        <f aca="false">SUMIFS(배관기본물량!$R$7:$R$126,배관기본물량!$I$7:$I$126,$A9,배관기본물량!$B$7:$B$126,"설치")</f>
        <v>0</v>
      </c>
      <c r="C9" s="15" t="n">
        <f aca="false">SUMIFS(배관기본물량!$P$7:$P$126,배관기본물량!$I$7:$I$126,$A9,배관기본물량!$B$7:$B$126,"설치",배관기본물량!$G$7:$G$126,"PIPE")</f>
        <v>0</v>
      </c>
      <c r="D9" s="15" t="n">
        <f aca="false">SUMIFS(배관기본물량!$P$7:$P$126,배관기본물량!$I$7:$I$126,$A9,배관기본물량!$B$7:$B$126,"설치",배관기본물량!$G$7:$G$126,"FITTING")</f>
        <v>0</v>
      </c>
      <c r="E9" s="15" t="n">
        <f aca="false">SUMIFS(배관기본물량!$P$7:$P$126,배관기본물량!$I$7:$I$126,$A9,배관기본물량!$B$7:$B$126,"설치",배관기본물량!$G$7:$G$126,"VALVE")</f>
        <v>0</v>
      </c>
      <c r="F9" s="15" t="n">
        <f aca="false">SUMIFS(배관소재집계!$K$7:$K$126,배관기본물량!$I$7:$I$126,$A9,배관기본물량!$G$7:$G$126,"PIPE")</f>
        <v>0</v>
      </c>
      <c r="G9" s="15" t="n">
        <f aca="false">SUMIFS(배관소재집계!$K$7:$K$126,배관기본물량!$I$7:$I$126,$A9,배관기본물량!$G$7:$G$126,"FITTING")</f>
        <v>0</v>
      </c>
      <c r="H9" s="15" t="n">
        <f aca="false">((F9-C9)+(G9-D9)+(SUMIFS(배관소재집계!$K$7:$K$126,배관기본물량!$I$7:$I$126,$A9,배관기본물량!$G$7:$G$126,"VALVE")-E9))*제작기준!$L$7</f>
        <v>0</v>
      </c>
      <c r="I9" s="17" t="n">
        <f aca="false">IF(S9=0,0,ROUNDUP(S9/배관기준!$AG$7,0))</f>
        <v>0</v>
      </c>
      <c r="J9" s="36" t="n">
        <f aca="false">INDEX(배관기준!$Y$5:$Y$20,MATCH(A9,배관기준!$X$5:$X$20,1))</f>
        <v>2</v>
      </c>
      <c r="K9" s="89" t="n">
        <f aca="false">IF(A9&lt;=배관기준!$AG$13,0,배관기준!$AG$10)</f>
        <v>0</v>
      </c>
      <c r="L9" s="17" t="n">
        <f aca="false">ROUNDUP(I9*J9*K9,0)</f>
        <v>0</v>
      </c>
      <c r="M9" s="89" t="n">
        <f aca="false">IF(A9&lt;=배관기준!$AG$13,배관기준!$AG$14,0)</f>
        <v>0.1</v>
      </c>
      <c r="N9" s="18" t="n">
        <f aca="false">IFERROR(INDEX(배관기준!$B$5:$B$39,MATCH(A9,배관기준!$A$5:$A$39,0))*PI()/1000*I9*M9,0)</f>
        <v>0</v>
      </c>
      <c r="O9" s="34" t="n">
        <f aca="false">IFERROR(INDEX(배관기준!$AL$5:$AL$18,COUNTIF(배관기준!$AK$5:$AK$18,"&lt;"&amp;A9)+1),"")</f>
        <v>64</v>
      </c>
      <c r="P9" s="17" t="n">
        <f aca="false">SUMIFS(배관ARGON!$O$7:$O$21,배관ARGON!$B$7:$B$21,A9)</f>
        <v>0</v>
      </c>
      <c r="Q9" s="17" t="n">
        <f aca="false">ROUNDUP(SUMIFS(배관기본물량!$R$7:$R$126,배관기본물량!$I$7:$I$126,$A9,배관기본물량!$B$7:$B$126,"설치",배관기본물량!$G$7:$G$126,"PIPE",배관기본물량!$S$7:$S$126,"Y"),0)</f>
        <v>0</v>
      </c>
      <c r="R9" s="18" t="n">
        <f aca="false">IFERROR(Q9*INDEX(제작기준!$G$5:$G$400,MATCH("PIPE|"&amp;A9&amp;"A",제작기준!$I$5:$I$400,0)),0)</f>
        <v>0</v>
      </c>
      <c r="S9" s="15" t="n">
        <f aca="false">SUMIFS(배관기본물량!$R$7:$R$126,배관기본물량!$I$7:$I$126,$A9,배관기본물량!$B$7:$B$126,"설치",배관기본물량!$G$7:$G$126,"PIPE",배관기본물량!$X$7:$X$126,"○")</f>
        <v>0</v>
      </c>
      <c r="T9" s="15" t="n">
        <f aca="false">SUMIFS(배관기본물량!$R$7:$R$126,배관기본물량!$I$7:$I$126,$A9,배관기본물량!$B$7:$B$126,"설치",배관기본물량!$G$7:$G$126,"PIPE",배관기본물량!$W$7:$W$126,"○")</f>
        <v>0</v>
      </c>
      <c r="U9" s="8" t="n">
        <f aca="false">SUMIFS(배관기본물량!$P$7:$P$126,배관기본물량!$I$7:$I$126,$A9,배관기본물량!$B$7:$B$126,"설치",배관기본물량!$Y$7:$Y$126,"○")/1000</f>
        <v>0</v>
      </c>
      <c r="V9" s="8" t="n">
        <f aca="false">SUMIFS(배관기본물량!$P$7:$P$126,배관기본물량!$I$7:$I$126,$A9,배관기본물량!$B$7:$B$126,"설치",배관기본물량!$Z$7:$Z$126,"○")/1000</f>
        <v>0</v>
      </c>
      <c r="W9" s="17" t="n">
        <f aca="false">IFERROR(PI()/4*(INDEX(배관기준!$B$5:$B$39,MATCH($A9,배관기준!$A$5:$A$39,0))^2-4*INDEX(배관단중표!$B$7:$W$41,MATCH($A9,배관단중표!$A$7:$A$41,0),MATCH("SPPS|SCH40",배관단중표!$B$6:$W$6,0))/(PI()*제작기준!$L$8/1000))/INDEX(배관단중표!$B$7:$W$41,MATCH($A9,배관단중표!$A$7:$A$41,0),MATCH("SPPS|SCH40",배관단중표!$B$6:$W$6,0)),0)</f>
        <v>148.829815524231</v>
      </c>
      <c r="X9" s="15" t="n">
        <f aca="false">V9*W9</f>
        <v>0</v>
      </c>
      <c r="Y9" s="15" t="n">
        <f aca="false">SUMIFS(배관기본물량!$R$7:$R$126,배관기본물량!$I$7:$I$126,$A9,배관기본물량!$B$7:$B$126,"설치",배관기본물량!$G$7:$G$126,"PIPE",배관기본물량!$S$7:$S$126,"Y",배관기본물량!$Y$7:$Y$126,"○")</f>
        <v>0</v>
      </c>
      <c r="Z9" s="18" t="n">
        <f aca="false">IFERROR(ROUNDUP(Y9,0)*INDEX(제작기준!$G$5:$G$400,MATCH("PIPE|"&amp;$A9&amp;"A",제작기준!$I$5:$I$400,0)),0)</f>
        <v>0</v>
      </c>
    </row>
    <row r="10" customFormat="false" ht="15" hidden="false" customHeight="true" outlineLevel="0" collapsed="false">
      <c r="A10" s="19" t="n">
        <v>15</v>
      </c>
      <c r="B10" s="15" t="n">
        <f aca="false">SUMIFS(배관기본물량!$R$7:$R$126,배관기본물량!$I$7:$I$126,$A10,배관기본물량!$B$7:$B$126,"설치")</f>
        <v>1.837</v>
      </c>
      <c r="C10" s="15" t="n">
        <f aca="false">SUMIFS(배관기본물량!$P$7:$P$126,배관기본물량!$I$7:$I$126,$A10,배관기본물량!$B$7:$B$126,"설치",배관기본물량!$G$7:$G$126,"PIPE")</f>
        <v>2.40647</v>
      </c>
      <c r="D10" s="15" t="n">
        <f aca="false">SUMIFS(배관기본물량!$P$7:$P$126,배관기본물량!$I$7:$I$126,$A10,배관기본물량!$B$7:$B$126,"설치",배관기본물량!$G$7:$G$126,"FITTING")</f>
        <v>4.8</v>
      </c>
      <c r="E10" s="15" t="n">
        <f aca="false">SUMIFS(배관기본물량!$P$7:$P$126,배관기본물량!$I$7:$I$126,$A10,배관기본물량!$B$7:$B$126,"설치",배관기본물량!$G$7:$G$126,"VALVE")</f>
        <v>8</v>
      </c>
      <c r="F10" s="15" t="n">
        <f aca="false">SUMIFS(배관소재집계!$K$7:$K$126,배관기본물량!$I$7:$I$126,$A10,배관기본물량!$G$7:$G$126,"PIPE")</f>
        <v>2.62</v>
      </c>
      <c r="G10" s="15" t="n">
        <f aca="false">SUMIFS(배관소재집계!$K$7:$K$126,배관기본물량!$I$7:$I$126,$A10,배관기본물량!$G$7:$G$126,"FITTING")</f>
        <v>4.8</v>
      </c>
      <c r="H10" s="15" t="n">
        <f aca="false">((F10-C10)+(G10-D10)+(SUMIFS(배관소재집계!$K$7:$K$126,배관기본물량!$I$7:$I$126,$A10,배관기본물량!$G$7:$G$126,"VALVE")-E10))*제작기준!$L$7</f>
        <v>0.149471</v>
      </c>
      <c r="I10" s="17" t="n">
        <f aca="false">IF(S10=0,0,ROUNDUP(S10/배관기준!$AG$7,0))</f>
        <v>1</v>
      </c>
      <c r="J10" s="36" t="n">
        <f aca="false">INDEX(배관기준!$Y$5:$Y$20,MATCH(A10,배관기준!$X$5:$X$20,1))</f>
        <v>2</v>
      </c>
      <c r="K10" s="89" t="n">
        <f aca="false">IF(A10&lt;=배관기준!$AG$13,0,배관기준!$AG$10)</f>
        <v>0</v>
      </c>
      <c r="L10" s="17" t="n">
        <f aca="false">ROUNDUP(I10*J10*K10,0)</f>
        <v>0</v>
      </c>
      <c r="M10" s="89" t="n">
        <f aca="false">IF(A10&lt;=배관기준!$AG$13,배관기준!$AG$14,0)</f>
        <v>0.1</v>
      </c>
      <c r="N10" s="18" t="n">
        <f aca="false">IFERROR(INDEX(배관기준!$B$5:$B$39,MATCH(A10,배관기준!$A$5:$A$39,0))*PI()/1000*I10*M10,0)</f>
        <v>0.00681725605828985</v>
      </c>
      <c r="O10" s="34" t="n">
        <f aca="false">IFERROR(INDEX(배관기준!$AL$5:$AL$18,COUNTIF(배관기준!$AK$5:$AK$18,"&lt;"&amp;A10)+1),"")</f>
        <v>64</v>
      </c>
      <c r="P10" s="17" t="n">
        <f aca="false">SUMIFS(배관ARGON!$O$7:$O$21,배관ARGON!$B$7:$B$21,A10)</f>
        <v>128</v>
      </c>
      <c r="Q10" s="17" t="n">
        <f aca="false">ROUNDUP(SUMIFS(배관기본물량!$R$7:$R$126,배관기본물량!$I$7:$I$126,$A10,배관기본물량!$B$7:$B$126,"설치",배관기본물량!$G$7:$G$126,"PIPE",배관기본물량!$S$7:$S$126,"Y"),0)</f>
        <v>0</v>
      </c>
      <c r="R10" s="18" t="n">
        <f aca="false">IFERROR(Q10*INDEX(제작기준!$G$5:$G$400,MATCH("PIPE|"&amp;A10&amp;"A",제작기준!$I$5:$I$400,0)),0)</f>
        <v>0</v>
      </c>
      <c r="S10" s="15" t="n">
        <f aca="false">SUMIFS(배관기본물량!$R$7:$R$126,배관기본물량!$I$7:$I$126,$A10,배관기본물량!$B$7:$B$126,"설치",배관기본물량!$G$7:$G$126,"PIPE",배관기본물량!$X$7:$X$126,"○")</f>
        <v>1.837</v>
      </c>
      <c r="T10" s="15" t="n">
        <f aca="false">SUMIFS(배관기본물량!$R$7:$R$126,배관기본물량!$I$7:$I$126,$A10,배관기본물량!$B$7:$B$126,"설치",배관기본물량!$G$7:$G$126,"PIPE",배관기본물량!$W$7:$W$126,"○")</f>
        <v>1.837</v>
      </c>
      <c r="U10" s="8" t="n">
        <f aca="false">SUMIFS(배관기본물량!$P$7:$P$126,배관기본물량!$I$7:$I$126,$A10,배관기본물량!$B$7:$B$126,"설치",배관기본물량!$Y$7:$Y$126,"○")/1000</f>
        <v>0</v>
      </c>
      <c r="V10" s="8" t="n">
        <f aca="false">SUMIFS(배관기본물량!$P$7:$P$126,배관기본물량!$I$7:$I$126,$A10,배관기본물량!$B$7:$B$126,"설치",배관기본물량!$Z$7:$Z$126,"○")/1000</f>
        <v>0.01520647</v>
      </c>
      <c r="W10" s="17" t="n">
        <f aca="false">IFERROR(PI()/4*(INDEX(배관기준!$B$5:$B$39,MATCH($A10,배관기준!$A$5:$A$39,0))^2-4*INDEX(배관단중표!$B$7:$W$41,MATCH($A10,배관단중표!$A$7:$A$41,0),MATCH("SPPS|SCH40",배관단중표!$B$6:$W$6,0))/(PI()*제작기준!$L$8/1000))/INDEX(배관단중표!$B$7:$W$41,MATCH($A10,배관단중표!$A$7:$A$41,0),MATCH("SPPS|SCH40",배관단중표!$B$6:$W$6,0)),0)</f>
        <v>154.929129977484</v>
      </c>
      <c r="X10" s="15" t="n">
        <f aca="false">V10*W10</f>
        <v>2.35592516712872</v>
      </c>
      <c r="Y10" s="15" t="n">
        <f aca="false">SUMIFS(배관기본물량!$R$7:$R$126,배관기본물량!$I$7:$I$126,$A10,배관기본물량!$B$7:$B$126,"설치",배관기본물량!$G$7:$G$126,"PIPE",배관기본물량!$S$7:$S$126,"Y",배관기본물량!$Y$7:$Y$126,"○")</f>
        <v>0</v>
      </c>
      <c r="Z10" s="18" t="n">
        <f aca="false">IFERROR(ROUNDUP(Y10,0)*INDEX(제작기준!$G$5:$G$400,MATCH("PIPE|"&amp;$A10&amp;"A",제작기준!$I$5:$I$400,0)),0)</f>
        <v>0</v>
      </c>
    </row>
    <row r="11" customFormat="false" ht="15" hidden="false" customHeight="true" outlineLevel="0" collapsed="false">
      <c r="A11" s="19" t="n">
        <v>20</v>
      </c>
      <c r="B11" s="15" t="n">
        <f aca="false">SUMIFS(배관기본물량!$R$7:$R$126,배관기본물량!$I$7:$I$126,$A11,배관기본물량!$B$7:$B$126,"설치")</f>
        <v>0</v>
      </c>
      <c r="C11" s="15" t="n">
        <f aca="false">SUMIFS(배관기본물량!$P$7:$P$126,배관기본물량!$I$7:$I$126,$A11,배관기본물량!$B$7:$B$126,"설치",배관기본물량!$G$7:$G$126,"PIPE")</f>
        <v>0</v>
      </c>
      <c r="D11" s="15" t="n">
        <f aca="false">SUMIFS(배관기본물량!$P$7:$P$126,배관기본물량!$I$7:$I$126,$A11,배관기본물량!$B$7:$B$126,"설치",배관기본물량!$G$7:$G$126,"FITTING")</f>
        <v>0</v>
      </c>
      <c r="E11" s="15" t="n">
        <f aca="false">SUMIFS(배관기본물량!$P$7:$P$126,배관기본물량!$I$7:$I$126,$A11,배관기본물량!$B$7:$B$126,"설치",배관기본물량!$G$7:$G$126,"VALVE")</f>
        <v>0</v>
      </c>
      <c r="F11" s="15" t="n">
        <f aca="false">SUMIFS(배관소재집계!$K$7:$K$126,배관기본물량!$I$7:$I$126,$A11,배관기본물량!$G$7:$G$126,"PIPE")</f>
        <v>0</v>
      </c>
      <c r="G11" s="15" t="n">
        <f aca="false">SUMIFS(배관소재집계!$K$7:$K$126,배관기본물량!$I$7:$I$126,$A11,배관기본물량!$G$7:$G$126,"FITTING")</f>
        <v>0</v>
      </c>
      <c r="H11" s="15" t="n">
        <f aca="false">((F11-C11)+(G11-D11)+(SUMIFS(배관소재집계!$K$7:$K$126,배관기본물량!$I$7:$I$126,$A11,배관기본물량!$G$7:$G$126,"VALVE")-E11))*제작기준!$L$7</f>
        <v>0</v>
      </c>
      <c r="I11" s="17" t="n">
        <f aca="false">IF(S11=0,0,ROUNDUP(S11/배관기준!$AG$7,0))</f>
        <v>0</v>
      </c>
      <c r="J11" s="36" t="n">
        <f aca="false">INDEX(배관기준!$Y$5:$Y$20,MATCH(A11,배관기준!$X$5:$X$20,1))</f>
        <v>2</v>
      </c>
      <c r="K11" s="89" t="n">
        <f aca="false">IF(A11&lt;=배관기준!$AG$13,0,배관기준!$AG$10)</f>
        <v>0</v>
      </c>
      <c r="L11" s="17" t="n">
        <f aca="false">ROUNDUP(I11*J11*K11,0)</f>
        <v>0</v>
      </c>
      <c r="M11" s="89" t="n">
        <f aca="false">IF(A11&lt;=배관기준!$AG$13,배관기준!$AG$14,0)</f>
        <v>0.1</v>
      </c>
      <c r="N11" s="18" t="n">
        <f aca="false">IFERROR(INDEX(배관기준!$B$5:$B$39,MATCH(A11,배관기준!$A$5:$A$39,0))*PI()/1000*I11*M11,0)</f>
        <v>0</v>
      </c>
      <c r="O11" s="34" t="n">
        <f aca="false">IFERROR(INDEX(배관기준!$AL$5:$AL$18,COUNTIF(배관기준!$AK$5:$AK$18,"&lt;"&amp;A11)+1),"")</f>
        <v>95</v>
      </c>
      <c r="P11" s="17" t="n">
        <f aca="false">SUMIFS(배관ARGON!$O$7:$O$21,배관ARGON!$B$7:$B$21,A11)</f>
        <v>0</v>
      </c>
      <c r="Q11" s="17" t="n">
        <f aca="false">ROUNDUP(SUMIFS(배관기본물량!$R$7:$R$126,배관기본물량!$I$7:$I$126,$A11,배관기본물량!$B$7:$B$126,"설치",배관기본물량!$G$7:$G$126,"PIPE",배관기본물량!$S$7:$S$126,"Y"),0)</f>
        <v>0</v>
      </c>
      <c r="R11" s="18" t="n">
        <f aca="false">IFERROR(Q11*INDEX(제작기준!$G$5:$G$400,MATCH("PIPE|"&amp;A11&amp;"A",제작기준!$I$5:$I$400,0)),0)</f>
        <v>0</v>
      </c>
      <c r="S11" s="15" t="n">
        <f aca="false">SUMIFS(배관기본물량!$R$7:$R$126,배관기본물량!$I$7:$I$126,$A11,배관기본물량!$B$7:$B$126,"설치",배관기본물량!$G$7:$G$126,"PIPE",배관기본물량!$X$7:$X$126,"○")</f>
        <v>0</v>
      </c>
      <c r="T11" s="15" t="n">
        <f aca="false">SUMIFS(배관기본물량!$R$7:$R$126,배관기본물량!$I$7:$I$126,$A11,배관기본물량!$B$7:$B$126,"설치",배관기본물량!$G$7:$G$126,"PIPE",배관기본물량!$W$7:$W$126,"○")</f>
        <v>0</v>
      </c>
      <c r="U11" s="8" t="n">
        <f aca="false">SUMIFS(배관기본물량!$P$7:$P$126,배관기본물량!$I$7:$I$126,$A11,배관기본물량!$B$7:$B$126,"설치",배관기본물량!$Y$7:$Y$126,"○")/1000</f>
        <v>0</v>
      </c>
      <c r="V11" s="8" t="n">
        <f aca="false">SUMIFS(배관기본물량!$P$7:$P$126,배관기본물량!$I$7:$I$126,$A11,배관기본물량!$B$7:$B$126,"설치",배관기본물량!$Z$7:$Z$126,"○")/1000</f>
        <v>0</v>
      </c>
      <c r="W11" s="17" t="n">
        <f aca="false">IFERROR(PI()/4*(INDEX(배관기준!$B$5:$B$39,MATCH($A11,배관기준!$A$5:$A$39,0))^2-4*INDEX(배관단중표!$B$7:$W$41,MATCH($A11,배관단중표!$A$7:$A$41,0),MATCH("SPPS|SCH40",배관단중표!$B$6:$W$6,0))/(PI()*제작기준!$L$8/1000))/INDEX(배관단중표!$B$7:$W$41,MATCH($A11,배관단중표!$A$7:$A$41,0),MATCH("SPPS|SCH40",배관단중표!$B$6:$W$6,0)),0)</f>
        <v>206.559153018709</v>
      </c>
      <c r="X11" s="15" t="n">
        <f aca="false">V11*W11</f>
        <v>0</v>
      </c>
      <c r="Y11" s="15" t="n">
        <f aca="false">SUMIFS(배관기본물량!$R$7:$R$126,배관기본물량!$I$7:$I$126,$A11,배관기본물량!$B$7:$B$126,"설치",배관기본물량!$G$7:$G$126,"PIPE",배관기본물량!$S$7:$S$126,"Y",배관기본물량!$Y$7:$Y$126,"○")</f>
        <v>0</v>
      </c>
      <c r="Z11" s="18" t="n">
        <f aca="false">IFERROR(ROUNDUP(Y11,0)*INDEX(제작기준!$G$5:$G$400,MATCH("PIPE|"&amp;$A11&amp;"A",제작기준!$I$5:$I$400,0)),0)</f>
        <v>0</v>
      </c>
    </row>
    <row r="12" customFormat="false" ht="15" hidden="false" customHeight="true" outlineLevel="0" collapsed="false">
      <c r="A12" s="19" t="n">
        <v>25</v>
      </c>
      <c r="B12" s="15" t="n">
        <f aca="false">SUMIFS(배관기본물량!$R$7:$R$126,배관기본물량!$I$7:$I$126,$A12,배관기본물량!$B$7:$B$126,"설치")</f>
        <v>0</v>
      </c>
      <c r="C12" s="15" t="n">
        <f aca="false">SUMIFS(배관기본물량!$P$7:$P$126,배관기본물량!$I$7:$I$126,$A12,배관기본물량!$B$7:$B$126,"설치",배관기본물량!$G$7:$G$126,"PIPE")</f>
        <v>0</v>
      </c>
      <c r="D12" s="15" t="n">
        <f aca="false">SUMIFS(배관기본물량!$P$7:$P$126,배관기본물량!$I$7:$I$126,$A12,배관기본물량!$B$7:$B$126,"설치",배관기본물량!$G$7:$G$126,"FITTING")</f>
        <v>1.2</v>
      </c>
      <c r="E12" s="15" t="n">
        <f aca="false">SUMIFS(배관기본물량!$P$7:$P$126,배관기본물량!$I$7:$I$126,$A12,배관기본물량!$B$7:$B$126,"설치",배관기본물량!$G$7:$G$126,"VALVE")</f>
        <v>0</v>
      </c>
      <c r="F12" s="15" t="n">
        <f aca="false">SUMIFS(배관소재집계!$K$7:$K$126,배관기본물량!$I$7:$I$126,$A12,배관기본물량!$G$7:$G$126,"PIPE")</f>
        <v>0</v>
      </c>
      <c r="G12" s="15" t="n">
        <f aca="false">SUMIFS(배관소재집계!$K$7:$K$126,배관기본물량!$I$7:$I$126,$A12,배관기본물량!$G$7:$G$126,"FITTING")</f>
        <v>1.2</v>
      </c>
      <c r="H12" s="15" t="n">
        <f aca="false">((F12-C12)+(G12-D12)+(SUMIFS(배관소재집계!$K$7:$K$126,배관기본물량!$I$7:$I$126,$A12,배관기본물량!$G$7:$G$126,"VALVE")-E12))*제작기준!$L$7</f>
        <v>0</v>
      </c>
      <c r="I12" s="17" t="n">
        <f aca="false">IF(S12=0,0,ROUNDUP(S12/배관기준!$AG$7,0))</f>
        <v>0</v>
      </c>
      <c r="J12" s="36" t="n">
        <f aca="false">INDEX(배관기준!$Y$5:$Y$20,MATCH(A12,배관기준!$X$5:$X$20,1))</f>
        <v>2</v>
      </c>
      <c r="K12" s="89" t="n">
        <f aca="false">IF(A12&lt;=배관기준!$AG$13,0,배관기준!$AG$10)</f>
        <v>0</v>
      </c>
      <c r="L12" s="17" t="n">
        <f aca="false">ROUNDUP(I12*J12*K12,0)</f>
        <v>0</v>
      </c>
      <c r="M12" s="89" t="n">
        <f aca="false">IF(A12&lt;=배관기준!$AG$13,배관기준!$AG$14,0)</f>
        <v>0.1</v>
      </c>
      <c r="N12" s="18" t="n">
        <f aca="false">IFERROR(INDEX(배관기준!$B$5:$B$39,MATCH(A12,배관기준!$A$5:$A$39,0))*PI()/1000*I12*M12,0)</f>
        <v>0</v>
      </c>
      <c r="O12" s="34" t="n">
        <f aca="false">IFERROR(INDEX(배관기준!$AL$5:$AL$18,COUNTIF(배관기준!$AK$5:$AK$18,"&lt;"&amp;A12)+1),"")</f>
        <v>129</v>
      </c>
      <c r="P12" s="17" t="n">
        <f aca="false">SUMIFS(배관ARGON!$O$7:$O$21,배관ARGON!$B$7:$B$21,A12)</f>
        <v>0</v>
      </c>
      <c r="Q12" s="17" t="n">
        <f aca="false">ROUNDUP(SUMIFS(배관기본물량!$R$7:$R$126,배관기본물량!$I$7:$I$126,$A12,배관기본물량!$B$7:$B$126,"설치",배관기본물량!$G$7:$G$126,"PIPE",배관기본물량!$S$7:$S$126,"Y"),0)</f>
        <v>0</v>
      </c>
      <c r="R12" s="18" t="n">
        <f aca="false">IFERROR(Q12*INDEX(제작기준!$G$5:$G$400,MATCH("PIPE|"&amp;A12&amp;"A",제작기준!$I$5:$I$400,0)),0)</f>
        <v>0</v>
      </c>
      <c r="S12" s="15" t="n">
        <f aca="false">SUMIFS(배관기본물량!$R$7:$R$126,배관기본물량!$I$7:$I$126,$A12,배관기본물량!$B$7:$B$126,"설치",배관기본물량!$G$7:$G$126,"PIPE",배관기본물량!$X$7:$X$126,"○")</f>
        <v>0</v>
      </c>
      <c r="T12" s="15" t="n">
        <f aca="false">SUMIFS(배관기본물량!$R$7:$R$126,배관기본물량!$I$7:$I$126,$A12,배관기본물량!$B$7:$B$126,"설치",배관기본물량!$G$7:$G$126,"PIPE",배관기본물량!$W$7:$W$126,"○")</f>
        <v>0</v>
      </c>
      <c r="U12" s="8" t="n">
        <f aca="false">SUMIFS(배관기본물량!$P$7:$P$126,배관기본물량!$I$7:$I$126,$A12,배관기본물량!$B$7:$B$126,"설치",배관기본물량!$Y$7:$Y$126,"○")/1000</f>
        <v>0</v>
      </c>
      <c r="V12" s="8" t="n">
        <f aca="false">SUMIFS(배관기본물량!$P$7:$P$126,배관기본물량!$I$7:$I$126,$A12,배관기본물량!$B$7:$B$126,"설치",배관기본물량!$Z$7:$Z$126,"○")/1000</f>
        <v>0</v>
      </c>
      <c r="W12" s="17" t="n">
        <f aca="false">IFERROR(PI()/4*(INDEX(배관기준!$B$5:$B$39,MATCH($A12,배관기준!$A$5:$A$39,0))^2-4*INDEX(배관단중표!$B$7:$W$41,MATCH($A12,배관단중표!$A$7:$A$41,0),MATCH("SPPS|SCH40",배관단중표!$B$6:$W$6,0))/(PI()*제작기준!$L$8/1000))/INDEX(배관단중표!$B$7:$W$41,MATCH($A12,배관단중표!$A$7:$A$41,0),MATCH("SPPS|SCH40",배관단중표!$B$6:$W$6,0)),0)</f>
        <v>225.8878372979</v>
      </c>
      <c r="X12" s="15" t="n">
        <f aca="false">V12*W12</f>
        <v>0</v>
      </c>
      <c r="Y12" s="15" t="n">
        <f aca="false">SUMIFS(배관기본물량!$R$7:$R$126,배관기본물량!$I$7:$I$126,$A12,배관기본물량!$B$7:$B$126,"설치",배관기본물량!$G$7:$G$126,"PIPE",배관기본물량!$S$7:$S$126,"Y",배관기본물량!$Y$7:$Y$126,"○")</f>
        <v>0</v>
      </c>
      <c r="Z12" s="18" t="n">
        <f aca="false">IFERROR(ROUNDUP(Y12,0)*INDEX(제작기준!$G$5:$G$400,MATCH("PIPE|"&amp;$A12&amp;"A",제작기준!$I$5:$I$400,0)),0)</f>
        <v>0</v>
      </c>
    </row>
    <row r="13" customFormat="false" ht="15" hidden="false" customHeight="true" outlineLevel="0" collapsed="false">
      <c r="A13" s="19" t="n">
        <v>32</v>
      </c>
      <c r="B13" s="15" t="n">
        <f aca="false">SUMIFS(배관기본물량!$R$7:$R$126,배관기본물량!$I$7:$I$126,$A13,배관기본물량!$B$7:$B$126,"설치")</f>
        <v>0</v>
      </c>
      <c r="C13" s="15" t="n">
        <f aca="false">SUMIFS(배관기본물량!$P$7:$P$126,배관기본물량!$I$7:$I$126,$A13,배관기본물량!$B$7:$B$126,"설치",배관기본물량!$G$7:$G$126,"PIPE")</f>
        <v>0</v>
      </c>
      <c r="D13" s="15" t="n">
        <f aca="false">SUMIFS(배관기본물량!$P$7:$P$126,배관기본물량!$I$7:$I$126,$A13,배관기본물량!$B$7:$B$126,"설치",배관기본물량!$G$7:$G$126,"FITTING")</f>
        <v>0</v>
      </c>
      <c r="E13" s="15" t="n">
        <f aca="false">SUMIFS(배관기본물량!$P$7:$P$126,배관기본물량!$I$7:$I$126,$A13,배관기본물량!$B$7:$B$126,"설치",배관기본물량!$G$7:$G$126,"VALVE")</f>
        <v>0</v>
      </c>
      <c r="F13" s="15" t="n">
        <f aca="false">SUMIFS(배관소재집계!$K$7:$K$126,배관기본물량!$I$7:$I$126,$A13,배관기본물량!$G$7:$G$126,"PIPE")</f>
        <v>0</v>
      </c>
      <c r="G13" s="15" t="n">
        <f aca="false">SUMIFS(배관소재집계!$K$7:$K$126,배관기본물량!$I$7:$I$126,$A13,배관기본물량!$G$7:$G$126,"FITTING")</f>
        <v>0</v>
      </c>
      <c r="H13" s="15" t="n">
        <f aca="false">((F13-C13)+(G13-D13)+(SUMIFS(배관소재집계!$K$7:$K$126,배관기본물량!$I$7:$I$126,$A13,배관기본물량!$G$7:$G$126,"VALVE")-E13))*제작기준!$L$7</f>
        <v>0</v>
      </c>
      <c r="I13" s="17" t="n">
        <f aca="false">IF(S13=0,0,ROUNDUP(S13/배관기준!$AG$7,0))</f>
        <v>0</v>
      </c>
      <c r="J13" s="36" t="n">
        <f aca="false">INDEX(배관기준!$Y$5:$Y$20,MATCH(A13,배관기준!$X$5:$X$20,1))</f>
        <v>2</v>
      </c>
      <c r="K13" s="89" t="n">
        <f aca="false">IF(A13&lt;=배관기준!$AG$13,0,배관기준!$AG$10)</f>
        <v>0</v>
      </c>
      <c r="L13" s="17" t="n">
        <f aca="false">ROUNDUP(I13*J13*K13,0)</f>
        <v>0</v>
      </c>
      <c r="M13" s="89" t="n">
        <f aca="false">IF(A13&lt;=배관기준!$AG$13,배관기준!$AG$14,0)</f>
        <v>0.1</v>
      </c>
      <c r="N13" s="18" t="n">
        <f aca="false">IFERROR(INDEX(배관기준!$B$5:$B$39,MATCH(A13,배관기준!$A$5:$A$39,0))*PI()/1000*I13*M13,0)</f>
        <v>0</v>
      </c>
      <c r="O13" s="34" t="n">
        <f aca="false">IFERROR(INDEX(배관기준!$AL$5:$AL$18,COUNTIF(배관기준!$AK$5:$AK$18,"&lt;"&amp;A13)+1),"")</f>
        <v>191</v>
      </c>
      <c r="P13" s="17" t="n">
        <f aca="false">SUMIFS(배관ARGON!$O$7:$O$21,배관ARGON!$B$7:$B$21,A13)</f>
        <v>0</v>
      </c>
      <c r="Q13" s="17" t="n">
        <f aca="false">ROUNDUP(SUMIFS(배관기본물량!$R$7:$R$126,배관기본물량!$I$7:$I$126,$A13,배관기본물량!$B$7:$B$126,"설치",배관기본물량!$G$7:$G$126,"PIPE",배관기본물량!$S$7:$S$126,"Y"),0)</f>
        <v>0</v>
      </c>
      <c r="R13" s="18" t="n">
        <f aca="false">IFERROR(Q13*INDEX(제작기준!$G$5:$G$400,MATCH("PIPE|"&amp;A13&amp;"A",제작기준!$I$5:$I$400,0)),0)</f>
        <v>0</v>
      </c>
      <c r="S13" s="15" t="n">
        <f aca="false">SUMIFS(배관기본물량!$R$7:$R$126,배관기본물량!$I$7:$I$126,$A13,배관기본물량!$B$7:$B$126,"설치",배관기본물량!$G$7:$G$126,"PIPE",배관기본물량!$X$7:$X$126,"○")</f>
        <v>0</v>
      </c>
      <c r="T13" s="15" t="n">
        <f aca="false">SUMIFS(배관기본물량!$R$7:$R$126,배관기본물량!$I$7:$I$126,$A13,배관기본물량!$B$7:$B$126,"설치",배관기본물량!$G$7:$G$126,"PIPE",배관기본물량!$W$7:$W$126,"○")</f>
        <v>0</v>
      </c>
      <c r="U13" s="8" t="n">
        <f aca="false">SUMIFS(배관기본물량!$P$7:$P$126,배관기본물량!$I$7:$I$126,$A13,배관기본물량!$B$7:$B$126,"설치",배관기본물량!$Y$7:$Y$126,"○")/1000</f>
        <v>0</v>
      </c>
      <c r="V13" s="8" t="n">
        <f aca="false">SUMIFS(배관기본물량!$P$7:$P$126,배관기본물량!$I$7:$I$126,$A13,배관기본물량!$B$7:$B$126,"설치",배관기본물량!$Z$7:$Z$126,"○")/1000</f>
        <v>0</v>
      </c>
      <c r="W13" s="17" t="n">
        <f aca="false">IFERROR(PI()/4*(INDEX(배관기준!$B$5:$B$39,MATCH($A13,배관기준!$A$5:$A$39,0))^2-4*INDEX(배관단중표!$B$7:$W$41,MATCH($A13,배관단중표!$A$7:$A$41,0),MATCH("SPPS|SCH40",배관단중표!$B$6:$W$6,0))/(PI()*제작기준!$L$8/1000))/INDEX(배관단중표!$B$7:$W$41,MATCH($A13,배관단중표!$A$7:$A$41,0),MATCH("SPPS|SCH40",배관단중표!$B$6:$W$6,0)),0)</f>
        <v>285.294063625482</v>
      </c>
      <c r="X13" s="15" t="n">
        <f aca="false">V13*W13</f>
        <v>0</v>
      </c>
      <c r="Y13" s="15" t="n">
        <f aca="false">SUMIFS(배관기본물량!$R$7:$R$126,배관기본물량!$I$7:$I$126,$A13,배관기본물량!$B$7:$B$126,"설치",배관기본물량!$G$7:$G$126,"PIPE",배관기본물량!$S$7:$S$126,"Y",배관기본물량!$Y$7:$Y$126,"○")</f>
        <v>0</v>
      </c>
      <c r="Z13" s="18" t="n">
        <f aca="false">IFERROR(ROUNDUP(Y13,0)*INDEX(제작기준!$G$5:$G$400,MATCH("PIPE|"&amp;$A13&amp;"A",제작기준!$I$5:$I$400,0)),0)</f>
        <v>0</v>
      </c>
    </row>
    <row r="14" customFormat="false" ht="15" hidden="false" customHeight="true" outlineLevel="0" collapsed="false">
      <c r="A14" s="19" t="n">
        <v>40</v>
      </c>
      <c r="B14" s="15" t="n">
        <f aca="false">SUMIFS(배관기본물량!$R$7:$R$126,배관기본물량!$I$7:$I$126,$A14,배관기본물량!$B$7:$B$126,"설치")</f>
        <v>0</v>
      </c>
      <c r="C14" s="15" t="n">
        <f aca="false">SUMIFS(배관기본물량!$P$7:$P$126,배관기본물량!$I$7:$I$126,$A14,배관기본물량!$B$7:$B$126,"설치",배관기본물량!$G$7:$G$126,"PIPE")</f>
        <v>0</v>
      </c>
      <c r="D14" s="15" t="n">
        <f aca="false">SUMIFS(배관기본물량!$P$7:$P$126,배관기본물량!$I$7:$I$126,$A14,배관기본물량!$B$7:$B$126,"설치",배관기본물량!$G$7:$G$126,"FITTING")</f>
        <v>0</v>
      </c>
      <c r="E14" s="15" t="n">
        <f aca="false">SUMIFS(배관기본물량!$P$7:$P$126,배관기본물량!$I$7:$I$126,$A14,배관기본물량!$B$7:$B$126,"설치",배관기본물량!$G$7:$G$126,"VALVE")</f>
        <v>0</v>
      </c>
      <c r="F14" s="15" t="n">
        <f aca="false">SUMIFS(배관소재집계!$K$7:$K$126,배관기본물량!$I$7:$I$126,$A14,배관기본물량!$G$7:$G$126,"PIPE")</f>
        <v>0</v>
      </c>
      <c r="G14" s="15" t="n">
        <f aca="false">SUMIFS(배관소재집계!$K$7:$K$126,배관기본물량!$I$7:$I$126,$A14,배관기본물량!$G$7:$G$126,"FITTING")</f>
        <v>0</v>
      </c>
      <c r="H14" s="15" t="n">
        <f aca="false">((F14-C14)+(G14-D14)+(SUMIFS(배관소재집계!$K$7:$K$126,배관기본물량!$I$7:$I$126,$A14,배관기본물량!$G$7:$G$126,"VALVE")-E14))*제작기준!$L$7</f>
        <v>0</v>
      </c>
      <c r="I14" s="17" t="n">
        <f aca="false">IF(S14=0,0,ROUNDUP(S14/배관기준!$AG$7,0))</f>
        <v>0</v>
      </c>
      <c r="J14" s="36" t="n">
        <f aca="false">INDEX(배관기준!$Y$5:$Y$20,MATCH(A14,배관기준!$X$5:$X$20,1))</f>
        <v>2</v>
      </c>
      <c r="K14" s="89" t="n">
        <f aca="false">IF(A14&lt;=배관기준!$AG$13,0,배관기준!$AG$10)</f>
        <v>0</v>
      </c>
      <c r="L14" s="17" t="n">
        <f aca="false">ROUNDUP(I14*J14*K14,0)</f>
        <v>0</v>
      </c>
      <c r="M14" s="89" t="n">
        <f aca="false">IF(A14&lt;=배관기준!$AG$13,배관기준!$AG$14,0)</f>
        <v>0.1</v>
      </c>
      <c r="N14" s="18" t="n">
        <f aca="false">IFERROR(INDEX(배관기준!$B$5:$B$39,MATCH(A14,배관기준!$A$5:$A$39,0))*PI()/1000*I14*M14,0)</f>
        <v>0</v>
      </c>
      <c r="O14" s="34" t="n">
        <f aca="false">IFERROR(INDEX(배관기준!$AL$5:$AL$18,COUNTIF(배관기준!$AK$5:$AK$18,"&lt;"&amp;A14)+1),"")</f>
        <v>191</v>
      </c>
      <c r="P14" s="17" t="n">
        <f aca="false">SUMIFS(배관ARGON!$O$7:$O$21,배관ARGON!$B$7:$B$21,A14)</f>
        <v>0</v>
      </c>
      <c r="Q14" s="17" t="n">
        <f aca="false">ROUNDUP(SUMIFS(배관기본물량!$R$7:$R$126,배관기본물량!$I$7:$I$126,$A14,배관기본물량!$B$7:$B$126,"설치",배관기본물량!$G$7:$G$126,"PIPE",배관기본물량!$S$7:$S$126,"Y"),0)</f>
        <v>0</v>
      </c>
      <c r="R14" s="18" t="n">
        <f aca="false">IFERROR(Q14*INDEX(제작기준!$G$5:$G$400,MATCH("PIPE|"&amp;A14&amp;"A",제작기준!$I$5:$I$400,0)),0)</f>
        <v>0</v>
      </c>
      <c r="S14" s="15" t="n">
        <f aca="false">SUMIFS(배관기본물량!$R$7:$R$126,배관기본물량!$I$7:$I$126,$A14,배관기본물량!$B$7:$B$126,"설치",배관기본물량!$G$7:$G$126,"PIPE",배관기본물량!$X$7:$X$126,"○")</f>
        <v>0</v>
      </c>
      <c r="T14" s="15" t="n">
        <f aca="false">SUMIFS(배관기본물량!$R$7:$R$126,배관기본물량!$I$7:$I$126,$A14,배관기본물량!$B$7:$B$126,"설치",배관기본물량!$G$7:$G$126,"PIPE",배관기본물량!$W$7:$W$126,"○")</f>
        <v>0</v>
      </c>
      <c r="U14" s="8" t="n">
        <f aca="false">SUMIFS(배관기본물량!$P$7:$P$126,배관기본물량!$I$7:$I$126,$A14,배관기본물량!$B$7:$B$126,"설치",배관기본물량!$Y$7:$Y$126,"○")/1000</f>
        <v>0</v>
      </c>
      <c r="V14" s="8" t="n">
        <f aca="false">SUMIFS(배관기본물량!$P$7:$P$126,배관기본물량!$I$7:$I$126,$A14,배관기본물량!$B$7:$B$126,"설치",배관기본물량!$Z$7:$Z$126,"○")/1000</f>
        <v>0</v>
      </c>
      <c r="W14" s="17" t="n">
        <f aca="false">IFERROR(PI()/4*(INDEX(배관기준!$B$5:$B$39,MATCH($A14,배관기준!$A$5:$A$39,0))^2-4*INDEX(배관단중표!$B$7:$W$41,MATCH($A14,배관단중표!$A$7:$A$41,0),MATCH("SPPS|SCH40",배관단중표!$B$6:$W$6,0))/(PI()*제작기준!$L$8/1000))/INDEX(배관단중표!$B$7:$W$41,MATCH($A14,배관단중표!$A$7:$A$41,0),MATCH("SPPS|SCH40",배관단중표!$B$6:$W$6,0)),0)</f>
        <v>325.06976887504</v>
      </c>
      <c r="X14" s="15" t="n">
        <f aca="false">V14*W14</f>
        <v>0</v>
      </c>
      <c r="Y14" s="15" t="n">
        <f aca="false">SUMIFS(배관기본물량!$R$7:$R$126,배관기본물량!$I$7:$I$126,$A14,배관기본물량!$B$7:$B$126,"설치",배관기본물량!$G$7:$G$126,"PIPE",배관기본물량!$S$7:$S$126,"Y",배관기본물량!$Y$7:$Y$126,"○")</f>
        <v>0</v>
      </c>
      <c r="Z14" s="18" t="n">
        <f aca="false">IFERROR(ROUNDUP(Y14,0)*INDEX(제작기준!$G$5:$G$400,MATCH("PIPE|"&amp;$A14&amp;"A",제작기준!$I$5:$I$400,0)),0)</f>
        <v>0</v>
      </c>
    </row>
    <row r="15" customFormat="false" ht="15" hidden="false" customHeight="true" outlineLevel="0" collapsed="false">
      <c r="A15" s="19" t="n">
        <v>50</v>
      </c>
      <c r="B15" s="15" t="n">
        <f aca="false">SUMIFS(배관기본물량!$R$7:$R$126,배관기본물량!$I$7:$I$126,$A15,배관기본물량!$B$7:$B$126,"설치")</f>
        <v>17.658</v>
      </c>
      <c r="C15" s="15" t="n">
        <f aca="false">SUMIFS(배관기본물량!$P$7:$P$126,배관기본물량!$I$7:$I$126,$A15,배관기본물량!$B$7:$B$126,"설치",배관기본물량!$G$7:$G$126,"PIPE")</f>
        <v>96.05952</v>
      </c>
      <c r="D15" s="15" t="n">
        <f aca="false">SUMIFS(배관기본물량!$P$7:$P$126,배관기본물량!$I$7:$I$126,$A15,배관기본물량!$B$7:$B$126,"설치",배관기본물량!$G$7:$G$126,"FITTING")</f>
        <v>19.3</v>
      </c>
      <c r="E15" s="15" t="n">
        <f aca="false">SUMIFS(배관기본물량!$P$7:$P$126,배관기본물량!$I$7:$I$126,$A15,배관기본물량!$B$7:$B$126,"설치",배관기본물량!$G$7:$G$126,"VALVE")</f>
        <v>81</v>
      </c>
      <c r="F15" s="15" t="n">
        <f aca="false">SUMIFS(배관소재집계!$K$7:$K$126,배관기본물량!$I$7:$I$126,$A15,배관기본물량!$G$7:$G$126,"PIPE")</f>
        <v>103.36</v>
      </c>
      <c r="G15" s="15" t="n">
        <f aca="false">SUMIFS(배관소재집계!$K$7:$K$126,배관기본물량!$I$7:$I$126,$A15,배관기본물량!$G$7:$G$126,"FITTING")</f>
        <v>19.3</v>
      </c>
      <c r="H15" s="15" t="n">
        <f aca="false">((F15-C15)+(G15-D15)+(SUMIFS(배관소재집계!$K$7:$K$126,배관기본물량!$I$7:$I$126,$A15,배관기본물량!$G$7:$G$126,"VALVE")-E15))*제작기준!$L$7</f>
        <v>5.110336</v>
      </c>
      <c r="I15" s="17" t="n">
        <f aca="false">IF(S15=0,0,ROUNDUP(S15/배관기준!$AG$7,0))</f>
        <v>6</v>
      </c>
      <c r="J15" s="36" t="n">
        <f aca="false">INDEX(배관기준!$Y$5:$Y$20,MATCH(A15,배관기준!$X$5:$X$20,1))</f>
        <v>2</v>
      </c>
      <c r="K15" s="89" t="n">
        <f aca="false">IF(A15&lt;=배관기준!$AG$13,0,배관기준!$AG$10)</f>
        <v>0.1</v>
      </c>
      <c r="L15" s="17" t="n">
        <f aca="false">ROUNDUP(I15*J15*K15,0)</f>
        <v>2</v>
      </c>
      <c r="M15" s="89" t="n">
        <f aca="false">IF(A15&lt;=배관기준!$AG$13,배관기준!$AG$14,0)</f>
        <v>0</v>
      </c>
      <c r="N15" s="18" t="n">
        <f aca="false">IFERROR(INDEX(배관기준!$B$5:$B$39,MATCH(A15,배관기준!$A$5:$A$39,0))*PI()/1000*I15*M15,0)</f>
        <v>0</v>
      </c>
      <c r="O15" s="34" t="n">
        <f aca="false">IFERROR(INDEX(배관기준!$AL$5:$AL$18,COUNTIF(배관기준!$AK$5:$AK$18,"&lt;"&amp;A15)+1),"")</f>
        <v>265</v>
      </c>
      <c r="P15" s="17" t="n">
        <f aca="false">SUMIFS(배관ARGON!$O$7:$O$21,배관ARGON!$B$7:$B$21,A15)</f>
        <v>1237</v>
      </c>
      <c r="Q15" s="17" t="n">
        <f aca="false">ROUNDUP(SUMIFS(배관기본물량!$R$7:$R$126,배관기본물량!$I$7:$I$126,$A15,배관기본물량!$B$7:$B$126,"설치",배관기본물량!$G$7:$G$126,"PIPE",배관기본물량!$S$7:$S$126,"Y"),0)</f>
        <v>0</v>
      </c>
      <c r="R15" s="18" t="n">
        <f aca="false">IFERROR(Q15*INDEX(제작기준!$G$5:$G$400,MATCH("PIPE|"&amp;A15&amp;"A",제작기준!$I$5:$I$400,0)),0)</f>
        <v>0</v>
      </c>
      <c r="S15" s="15" t="n">
        <f aca="false">SUMIFS(배관기본물량!$R$7:$R$126,배관기본물량!$I$7:$I$126,$A15,배관기본물량!$B$7:$B$126,"설치",배관기본물량!$G$7:$G$126,"PIPE",배관기본물량!$X$7:$X$126,"○")</f>
        <v>17.658</v>
      </c>
      <c r="T15" s="15" t="n">
        <f aca="false">SUMIFS(배관기본물량!$R$7:$R$126,배관기본물량!$I$7:$I$126,$A15,배관기본물량!$B$7:$B$126,"설치",배관기본물량!$G$7:$G$126,"PIPE",배관기본물량!$W$7:$W$126,"○")</f>
        <v>17.658</v>
      </c>
      <c r="U15" s="8" t="n">
        <f aca="false">SUMIFS(배관기본물량!$P$7:$P$126,배관기본물량!$I$7:$I$126,$A15,배관기본물량!$B$7:$B$126,"설치",배관기본물량!$Y$7:$Y$126,"○")/1000</f>
        <v>0</v>
      </c>
      <c r="V15" s="8" t="n">
        <f aca="false">SUMIFS(배관기본물량!$P$7:$P$126,배관기본물량!$I$7:$I$126,$A15,배관기본물량!$B$7:$B$126,"설치",배관기본물량!$Z$7:$Z$126,"○")/1000</f>
        <v>0.19635952</v>
      </c>
      <c r="W15" s="17" t="n">
        <f aca="false">IFERROR(PI()/4*(INDEX(배관기준!$B$5:$B$39,MATCH($A15,배관기준!$A$5:$A$39,0))^2-4*INDEX(배관단중표!$B$7:$W$41,MATCH($A15,배관단중표!$A$7:$A$41,0),MATCH("SPPS|SCH40",배관단중표!$B$6:$W$6,0))/(PI()*제작기준!$L$8/1000))/INDEX(배관단중표!$B$7:$W$41,MATCH($A15,배관단중표!$A$7:$A$41,0),MATCH("SPPS|SCH40",배관단중표!$B$6:$W$6,0)),0)</f>
        <v>401.058822978357</v>
      </c>
      <c r="X15" s="15" t="n">
        <f aca="false">V15*W15</f>
        <v>78.7517179717951</v>
      </c>
      <c r="Y15" s="15" t="n">
        <f aca="false">SUMIFS(배관기본물량!$R$7:$R$126,배관기본물량!$I$7:$I$126,$A15,배관기본물량!$B$7:$B$126,"설치",배관기본물량!$G$7:$G$126,"PIPE",배관기본물량!$S$7:$S$126,"Y",배관기본물량!$Y$7:$Y$126,"○")</f>
        <v>0</v>
      </c>
      <c r="Z15" s="18" t="n">
        <f aca="false">IFERROR(ROUNDUP(Y15,0)*INDEX(제작기준!$G$5:$G$400,MATCH("PIPE|"&amp;$A15&amp;"A",제작기준!$I$5:$I$400,0)),0)</f>
        <v>0</v>
      </c>
    </row>
    <row r="16" customFormat="false" ht="15" hidden="false" customHeight="true" outlineLevel="0" collapsed="false">
      <c r="A16" s="19" t="n">
        <v>65</v>
      </c>
      <c r="B16" s="15" t="n">
        <f aca="false">SUMIFS(배관기본물량!$R$7:$R$126,배관기본물량!$I$7:$I$126,$A16,배관기본물량!$B$7:$B$126,"설치")</f>
        <v>0</v>
      </c>
      <c r="C16" s="15" t="n">
        <f aca="false">SUMIFS(배관기본물량!$P$7:$P$126,배관기본물량!$I$7:$I$126,$A16,배관기본물량!$B$7:$B$126,"설치",배관기본물량!$G$7:$G$126,"PIPE")</f>
        <v>0</v>
      </c>
      <c r="D16" s="15" t="n">
        <f aca="false">SUMIFS(배관기본물량!$P$7:$P$126,배관기본물량!$I$7:$I$126,$A16,배관기본물량!$B$7:$B$126,"설치",배관기본물량!$G$7:$G$126,"FITTING")</f>
        <v>0</v>
      </c>
      <c r="E16" s="15" t="n">
        <f aca="false">SUMIFS(배관기본물량!$P$7:$P$126,배관기본물량!$I$7:$I$126,$A16,배관기본물량!$B$7:$B$126,"설치",배관기본물량!$G$7:$G$126,"VALVE")</f>
        <v>0</v>
      </c>
      <c r="F16" s="15" t="n">
        <f aca="false">SUMIFS(배관소재집계!$K$7:$K$126,배관기본물량!$I$7:$I$126,$A16,배관기본물량!$G$7:$G$126,"PIPE")</f>
        <v>0</v>
      </c>
      <c r="G16" s="15" t="n">
        <f aca="false">SUMIFS(배관소재집계!$K$7:$K$126,배관기본물량!$I$7:$I$126,$A16,배관기본물량!$G$7:$G$126,"FITTING")</f>
        <v>0</v>
      </c>
      <c r="H16" s="15" t="n">
        <f aca="false">((F16-C16)+(G16-D16)+(SUMIFS(배관소재집계!$K$7:$K$126,배관기본물량!$I$7:$I$126,$A16,배관기본물량!$G$7:$G$126,"VALVE")-E16))*제작기준!$L$7</f>
        <v>0</v>
      </c>
      <c r="I16" s="17" t="n">
        <f aca="false">IF(S16=0,0,ROUNDUP(S16/배관기준!$AG$7,0))</f>
        <v>0</v>
      </c>
      <c r="J16" s="36" t="n">
        <f aca="false">INDEX(배관기준!$Y$5:$Y$20,MATCH(A16,배관기준!$X$5:$X$20,1))</f>
        <v>2</v>
      </c>
      <c r="K16" s="89" t="n">
        <f aca="false">IF(A16&lt;=배관기준!$AG$13,0,배관기준!$AG$10)</f>
        <v>0.1</v>
      </c>
      <c r="L16" s="17" t="n">
        <f aca="false">ROUNDUP(I16*J16*K16,0)</f>
        <v>0</v>
      </c>
      <c r="M16" s="89" t="n">
        <f aca="false">IF(A16&lt;=배관기준!$AG$13,배관기준!$AG$14,0)</f>
        <v>0</v>
      </c>
      <c r="N16" s="18" t="n">
        <f aca="false">IFERROR(INDEX(배관기준!$B$5:$B$39,MATCH(A16,배관기준!$A$5:$A$39,0))*PI()/1000*I16*M16,0)</f>
        <v>0</v>
      </c>
      <c r="O16" s="34" t="n">
        <f aca="false">IFERROR(INDEX(배관기준!$AL$5:$AL$18,COUNTIF(배관기준!$AK$5:$AK$18,"&lt;"&amp;A16)+1),"")</f>
        <v>343</v>
      </c>
      <c r="P16" s="17" t="n">
        <f aca="false">SUMIFS(배관ARGON!$O$7:$O$21,배관ARGON!$B$7:$B$21,A16)</f>
        <v>0</v>
      </c>
      <c r="Q16" s="17" t="n">
        <f aca="false">ROUNDUP(SUMIFS(배관기본물량!$R$7:$R$126,배관기본물량!$I$7:$I$126,$A16,배관기본물량!$B$7:$B$126,"설치",배관기본물량!$G$7:$G$126,"PIPE",배관기본물량!$S$7:$S$126,"Y"),0)</f>
        <v>0</v>
      </c>
      <c r="R16" s="18" t="n">
        <f aca="false">IFERROR(Q16*INDEX(제작기준!$G$5:$G$400,MATCH("PIPE|"&amp;A16&amp;"A",제작기준!$I$5:$I$400,0)),0)</f>
        <v>0</v>
      </c>
      <c r="S16" s="15" t="n">
        <f aca="false">SUMIFS(배관기본물량!$R$7:$R$126,배관기본물량!$I$7:$I$126,$A16,배관기본물량!$B$7:$B$126,"설치",배관기본물량!$G$7:$G$126,"PIPE",배관기본물량!$X$7:$X$126,"○")</f>
        <v>0</v>
      </c>
      <c r="T16" s="15" t="n">
        <f aca="false">SUMIFS(배관기본물량!$R$7:$R$126,배관기본물량!$I$7:$I$126,$A16,배관기본물량!$B$7:$B$126,"설치",배관기본물량!$G$7:$G$126,"PIPE",배관기본물량!$W$7:$W$126,"○")</f>
        <v>0</v>
      </c>
      <c r="U16" s="8" t="n">
        <f aca="false">SUMIFS(배관기본물량!$P$7:$P$126,배관기본물량!$I$7:$I$126,$A16,배관기본물량!$B$7:$B$126,"설치",배관기본물량!$Y$7:$Y$126,"○")/1000</f>
        <v>0</v>
      </c>
      <c r="V16" s="8" t="n">
        <f aca="false">SUMIFS(배관기본물량!$P$7:$P$126,배관기본물량!$I$7:$I$126,$A16,배관기본물량!$B$7:$B$126,"설치",배관기본물량!$Z$7:$Z$126,"○")/1000</f>
        <v>0</v>
      </c>
      <c r="W16" s="17" t="n">
        <f aca="false">IFERROR(PI()/4*(INDEX(배관기준!$B$5:$B$39,MATCH($A16,배관기준!$A$5:$A$39,0))^2-4*INDEX(배관단중표!$B$7:$W$41,MATCH($A16,배관단중표!$A$7:$A$41,0),MATCH("SPPS|SCH40",배관단중표!$B$6:$W$6,0))/(PI()*제작기준!$L$8/1000))/INDEX(배관단중표!$B$7:$W$41,MATCH($A16,배관단중표!$A$7:$A$41,0),MATCH("SPPS|SCH40",배관단중표!$B$6:$W$6,0)),0)</f>
        <v>373.965043243294</v>
      </c>
      <c r="X16" s="15" t="n">
        <f aca="false">V16*W16</f>
        <v>0</v>
      </c>
      <c r="Y16" s="15" t="n">
        <f aca="false">SUMIFS(배관기본물량!$R$7:$R$126,배관기본물량!$I$7:$I$126,$A16,배관기본물량!$B$7:$B$126,"설치",배관기본물량!$G$7:$G$126,"PIPE",배관기본물량!$S$7:$S$126,"Y",배관기본물량!$Y$7:$Y$126,"○")</f>
        <v>0</v>
      </c>
      <c r="Z16" s="18" t="n">
        <f aca="false">IFERROR(ROUNDUP(Y16,0)*INDEX(제작기준!$G$5:$G$400,MATCH("PIPE|"&amp;$A16&amp;"A",제작기준!$I$5:$I$400,0)),0)</f>
        <v>0</v>
      </c>
    </row>
    <row r="17" customFormat="false" ht="15" hidden="false" customHeight="true" outlineLevel="0" collapsed="false">
      <c r="A17" s="19" t="n">
        <v>80</v>
      </c>
      <c r="B17" s="15" t="n">
        <f aca="false">SUMIFS(배관기본물량!$R$7:$R$126,배관기본물량!$I$7:$I$126,$A17,배관기본물량!$B$7:$B$126,"설치")</f>
        <v>6.18</v>
      </c>
      <c r="C17" s="15" t="n">
        <f aca="false">SUMIFS(배관기본물량!$P$7:$P$126,배관기본물량!$I$7:$I$126,$A17,배관기본물량!$B$7:$B$126,"설치",배관기본물량!$G$7:$G$126,"PIPE")</f>
        <v>69.834</v>
      </c>
      <c r="D17" s="15" t="n">
        <f aca="false">SUMIFS(배관기본물량!$P$7:$P$126,배관기본물량!$I$7:$I$126,$A17,배관기본물량!$B$7:$B$126,"설치",배관기본물량!$G$7:$G$126,"FITTING")</f>
        <v>49</v>
      </c>
      <c r="E17" s="15" t="n">
        <f aca="false">SUMIFS(배관기본물량!$P$7:$P$126,배관기본물량!$I$7:$I$126,$A17,배관기본물량!$B$7:$B$126,"설치",배관기본물량!$G$7:$G$126,"VALVE")</f>
        <v>55</v>
      </c>
      <c r="F17" s="15" t="n">
        <f aca="false">SUMIFS(배관소재집계!$K$7:$K$126,배관기본물량!$I$7:$I$126,$A17,배관기본물량!$G$7:$G$126,"PIPE")</f>
        <v>79.1</v>
      </c>
      <c r="G17" s="15" t="n">
        <f aca="false">SUMIFS(배관소재집계!$K$7:$K$126,배관기본물량!$I$7:$I$126,$A17,배관기본물량!$G$7:$G$126,"FITTING")</f>
        <v>49</v>
      </c>
      <c r="H17" s="15" t="n">
        <f aca="false">((F17-C17)+(G17-D17)+(SUMIFS(배관소재집계!$K$7:$K$126,배관기본물량!$I$7:$I$126,$A17,배관기본물량!$G$7:$G$126,"VALVE")-E17))*제작기준!$L$7</f>
        <v>6.4862</v>
      </c>
      <c r="I17" s="17" t="n">
        <f aca="false">IF(S17=0,0,ROUNDUP(S17/배관기준!$AG$7,0))</f>
        <v>3</v>
      </c>
      <c r="J17" s="36" t="n">
        <f aca="false">INDEX(배관기준!$Y$5:$Y$20,MATCH(A17,배관기준!$X$5:$X$20,1))</f>
        <v>3</v>
      </c>
      <c r="K17" s="89" t="n">
        <f aca="false">IF(A17&lt;=배관기준!$AG$13,0,배관기준!$AG$10)</f>
        <v>0.1</v>
      </c>
      <c r="L17" s="17" t="n">
        <f aca="false">ROUNDUP(I17*J17*K17,0)</f>
        <v>1</v>
      </c>
      <c r="M17" s="89" t="n">
        <f aca="false">IF(A17&lt;=배관기준!$AG$13,배관기준!$AG$14,0)</f>
        <v>0</v>
      </c>
      <c r="N17" s="18" t="n">
        <f aca="false">IFERROR(INDEX(배관기준!$B$5:$B$39,MATCH(A17,배관기준!$A$5:$A$39,0))*PI()/1000*I17*M17,0)</f>
        <v>0</v>
      </c>
      <c r="O17" s="34" t="n">
        <f aca="false">IFERROR(INDEX(배관기준!$AL$5:$AL$18,COUNTIF(배관기준!$AK$5:$AK$18,"&lt;"&amp;A17)+1),"")</f>
        <v>430</v>
      </c>
      <c r="P17" s="17" t="n">
        <f aca="false">SUMIFS(배관ARGON!$O$7:$O$21,배관ARGON!$B$7:$B$21,A17)</f>
        <v>860</v>
      </c>
      <c r="Q17" s="17" t="n">
        <f aca="false">ROUNDUP(SUMIFS(배관기본물량!$R$7:$R$126,배관기본물량!$I$7:$I$126,$A17,배관기본물량!$B$7:$B$126,"설치",배관기본물량!$G$7:$G$126,"PIPE",배관기본물량!$S$7:$S$126,"Y"),0)</f>
        <v>0</v>
      </c>
      <c r="R17" s="18" t="n">
        <f aca="false">IFERROR(Q17*INDEX(제작기준!$G$5:$G$400,MATCH("PIPE|"&amp;A17&amp;"A",제작기준!$I$5:$I$400,0)),0)</f>
        <v>0</v>
      </c>
      <c r="S17" s="15" t="n">
        <f aca="false">SUMIFS(배관기본물량!$R$7:$R$126,배관기본물량!$I$7:$I$126,$A17,배관기본물량!$B$7:$B$126,"설치",배관기본물량!$G$7:$G$126,"PIPE",배관기본물량!$X$7:$X$126,"○")</f>
        <v>6.18</v>
      </c>
      <c r="T17" s="15" t="n">
        <f aca="false">SUMIFS(배관기본물량!$R$7:$R$126,배관기본물량!$I$7:$I$126,$A17,배관기본물량!$B$7:$B$126,"설치",배관기본물량!$G$7:$G$126,"PIPE",배관기본물량!$W$7:$W$126,"○")</f>
        <v>6.18</v>
      </c>
      <c r="U17" s="8" t="n">
        <f aca="false">SUMIFS(배관기본물량!$P$7:$P$126,배관기본물량!$I$7:$I$126,$A17,배관기본물량!$B$7:$B$126,"설치",배관기본물량!$Y$7:$Y$126,"○")/1000</f>
        <v>0</v>
      </c>
      <c r="V17" s="8" t="n">
        <f aca="false">SUMIFS(배관기본물량!$P$7:$P$126,배관기본물량!$I$7:$I$126,$A17,배관기본물량!$B$7:$B$126,"설치",배관기본물량!$Z$7:$Z$126,"○")/1000</f>
        <v>0.173834</v>
      </c>
      <c r="W17" s="17" t="n">
        <f aca="false">IFERROR(PI()/4*(INDEX(배관기준!$B$5:$B$39,MATCH($A17,배관기준!$A$5:$A$39,0))^2-4*INDEX(배관단중표!$B$7:$W$41,MATCH($A17,배관단중표!$A$7:$A$41,0),MATCH("SPPS|SCH40",배관단중표!$B$6:$W$6,0))/(PI()*제작기준!$L$8/1000))/INDEX(배관단중표!$B$7:$W$41,MATCH($A17,배관단중표!$A$7:$A$41,0),MATCH("SPPS|SCH40",배관단중표!$B$6:$W$6,0)),0)</f>
        <v>424.392597141719</v>
      </c>
      <c r="X17" s="15" t="n">
        <f aca="false">V17*W17</f>
        <v>73.7738627315336</v>
      </c>
      <c r="Y17" s="15" t="n">
        <f aca="false">SUMIFS(배관기본물량!$R$7:$R$126,배관기본물량!$I$7:$I$126,$A17,배관기본물량!$B$7:$B$126,"설치",배관기본물량!$G$7:$G$126,"PIPE",배관기본물량!$S$7:$S$126,"Y",배관기본물량!$Y$7:$Y$126,"○")</f>
        <v>0</v>
      </c>
      <c r="Z17" s="18" t="n">
        <f aca="false">IFERROR(ROUNDUP(Y17,0)*INDEX(제작기준!$G$5:$G$400,MATCH("PIPE|"&amp;$A17&amp;"A",제작기준!$I$5:$I$400,0)),0)</f>
        <v>0</v>
      </c>
    </row>
    <row r="18" customFormat="false" ht="15" hidden="false" customHeight="true" outlineLevel="0" collapsed="false">
      <c r="A18" s="19" t="n">
        <v>90</v>
      </c>
      <c r="B18" s="15" t="n">
        <f aca="false">SUMIFS(배관기본물량!$R$7:$R$126,배관기본물량!$I$7:$I$126,$A18,배관기본물량!$B$7:$B$126,"설치")</f>
        <v>0</v>
      </c>
      <c r="C18" s="15" t="n">
        <f aca="false">SUMIFS(배관기본물량!$P$7:$P$126,배관기본물량!$I$7:$I$126,$A18,배관기본물량!$B$7:$B$126,"설치",배관기본물량!$G$7:$G$126,"PIPE")</f>
        <v>0</v>
      </c>
      <c r="D18" s="15" t="n">
        <f aca="false">SUMIFS(배관기본물량!$P$7:$P$126,배관기본물량!$I$7:$I$126,$A18,배관기본물량!$B$7:$B$126,"설치",배관기본물량!$G$7:$G$126,"FITTING")</f>
        <v>0</v>
      </c>
      <c r="E18" s="15" t="n">
        <f aca="false">SUMIFS(배관기본물량!$P$7:$P$126,배관기본물량!$I$7:$I$126,$A18,배관기본물량!$B$7:$B$126,"설치",배관기본물량!$G$7:$G$126,"VALVE")</f>
        <v>0</v>
      </c>
      <c r="F18" s="15" t="n">
        <f aca="false">SUMIFS(배관소재집계!$K$7:$K$126,배관기본물량!$I$7:$I$126,$A18,배관기본물량!$G$7:$G$126,"PIPE")</f>
        <v>0</v>
      </c>
      <c r="G18" s="15" t="n">
        <f aca="false">SUMIFS(배관소재집계!$K$7:$K$126,배관기본물량!$I$7:$I$126,$A18,배관기본물량!$G$7:$G$126,"FITTING")</f>
        <v>0</v>
      </c>
      <c r="H18" s="15" t="n">
        <f aca="false">((F18-C18)+(G18-D18)+(SUMIFS(배관소재집계!$K$7:$K$126,배관기본물량!$I$7:$I$126,$A18,배관기본물량!$G$7:$G$126,"VALVE")-E18))*제작기준!$L$7</f>
        <v>0</v>
      </c>
      <c r="I18" s="17" t="n">
        <f aca="false">IF(S18=0,0,ROUNDUP(S18/배관기준!$AG$7,0))</f>
        <v>0</v>
      </c>
      <c r="J18" s="36" t="n">
        <f aca="false">INDEX(배관기준!$Y$5:$Y$20,MATCH(A18,배관기준!$X$5:$X$20,1))</f>
        <v>3</v>
      </c>
      <c r="K18" s="89" t="n">
        <f aca="false">IF(A18&lt;=배관기준!$AG$13,0,배관기준!$AG$10)</f>
        <v>0.1</v>
      </c>
      <c r="L18" s="17" t="n">
        <f aca="false">ROUNDUP(I18*J18*K18,0)</f>
        <v>0</v>
      </c>
      <c r="M18" s="89" t="n">
        <f aca="false">IF(A18&lt;=배관기준!$AG$13,배관기준!$AG$14,0)</f>
        <v>0</v>
      </c>
      <c r="N18" s="18" t="n">
        <f aca="false">IFERROR(INDEX(배관기준!$B$5:$B$39,MATCH(A18,배관기준!$A$5:$A$39,0))*PI()/1000*I18*M18,0)</f>
        <v>0</v>
      </c>
      <c r="O18" s="34" t="n">
        <f aca="false">IFERROR(INDEX(배관기준!$AL$5:$AL$18,COUNTIF(배관기준!$AK$5:$AK$18,"&lt;"&amp;A18)+1),"")</f>
        <v>565</v>
      </c>
      <c r="P18" s="17" t="n">
        <f aca="false">SUMIFS(배관ARGON!$O$7:$O$21,배관ARGON!$B$7:$B$21,A18)</f>
        <v>0</v>
      </c>
      <c r="Q18" s="17" t="n">
        <f aca="false">ROUNDUP(SUMIFS(배관기본물량!$R$7:$R$126,배관기본물량!$I$7:$I$126,$A18,배관기본물량!$B$7:$B$126,"설치",배관기본물량!$G$7:$G$126,"PIPE",배관기본물량!$S$7:$S$126,"Y"),0)</f>
        <v>0</v>
      </c>
      <c r="R18" s="18" t="n">
        <f aca="false">IFERROR(Q18*INDEX(제작기준!$G$5:$G$400,MATCH("PIPE|"&amp;A18&amp;"A",제작기준!$I$5:$I$400,0)),0)</f>
        <v>0</v>
      </c>
      <c r="S18" s="15" t="n">
        <f aca="false">SUMIFS(배관기본물량!$R$7:$R$126,배관기본물량!$I$7:$I$126,$A18,배관기본물량!$B$7:$B$126,"설치",배관기본물량!$G$7:$G$126,"PIPE",배관기본물량!$X$7:$X$126,"○")</f>
        <v>0</v>
      </c>
      <c r="T18" s="15" t="n">
        <f aca="false">SUMIFS(배관기본물량!$R$7:$R$126,배관기본물량!$I$7:$I$126,$A18,배관기본물량!$B$7:$B$126,"설치",배관기본물량!$G$7:$G$126,"PIPE",배관기본물량!$W$7:$W$126,"○")</f>
        <v>0</v>
      </c>
      <c r="U18" s="8" t="n">
        <f aca="false">SUMIFS(배관기본물량!$P$7:$P$126,배관기본물량!$I$7:$I$126,$A18,배관기본물량!$B$7:$B$126,"설치",배관기본물량!$Y$7:$Y$126,"○")/1000</f>
        <v>0</v>
      </c>
      <c r="V18" s="8" t="n">
        <f aca="false">SUMIFS(배관기본물량!$P$7:$P$126,배관기본물량!$I$7:$I$126,$A18,배관기본물량!$B$7:$B$126,"설치",배관기본물량!$Z$7:$Z$126,"○")/1000</f>
        <v>0</v>
      </c>
      <c r="W18" s="17" t="n">
        <f aca="false">IFERROR(PI()/4*(INDEX(배관기준!$B$5:$B$39,MATCH($A18,배관기준!$A$5:$A$39,0))^2-4*INDEX(배관단중표!$B$7:$W$41,MATCH($A18,배관단중표!$A$7:$A$41,0),MATCH("SPPS|SCH40",배관단중표!$B$6:$W$6,0))/(PI()*제작기준!$L$8/1000))/INDEX(배관단중표!$B$7:$W$41,MATCH($A18,배관단중표!$A$7:$A$41,0),MATCH("SPPS|SCH40",배관단중표!$B$6:$W$6,0)),0)</f>
        <v>473.153662417039</v>
      </c>
      <c r="X18" s="15" t="n">
        <f aca="false">V18*W18</f>
        <v>0</v>
      </c>
      <c r="Y18" s="15" t="n">
        <f aca="false">SUMIFS(배관기본물량!$R$7:$R$126,배관기본물량!$I$7:$I$126,$A18,배관기본물량!$B$7:$B$126,"설치",배관기본물량!$G$7:$G$126,"PIPE",배관기본물량!$S$7:$S$126,"Y",배관기본물량!$Y$7:$Y$126,"○")</f>
        <v>0</v>
      </c>
      <c r="Z18" s="18" t="n">
        <f aca="false">IFERROR(ROUNDUP(Y18,0)*INDEX(제작기준!$G$5:$G$400,MATCH("PIPE|"&amp;$A18&amp;"A",제작기준!$I$5:$I$400,0)),0)</f>
        <v>0</v>
      </c>
    </row>
    <row r="19" customFormat="false" ht="15" hidden="false" customHeight="true" outlineLevel="0" collapsed="false">
      <c r="A19" s="19" t="n">
        <v>100</v>
      </c>
      <c r="B19" s="15" t="n">
        <f aca="false">SUMIFS(배관기본물량!$R$7:$R$126,배관기본물량!$I$7:$I$126,$A19,배관기본물량!$B$7:$B$126,"설치")</f>
        <v>0</v>
      </c>
      <c r="C19" s="15" t="n">
        <f aca="false">SUMIFS(배관기본물량!$P$7:$P$126,배관기본물량!$I$7:$I$126,$A19,배관기본물량!$B$7:$B$126,"설치",배관기본물량!$G$7:$G$126,"PIPE")</f>
        <v>0</v>
      </c>
      <c r="D19" s="15" t="n">
        <f aca="false">SUMIFS(배관기본물량!$P$7:$P$126,배관기본물량!$I$7:$I$126,$A19,배관기본물량!$B$7:$B$126,"설치",배관기본물량!$G$7:$G$126,"FITTING")</f>
        <v>0</v>
      </c>
      <c r="E19" s="15" t="n">
        <f aca="false">SUMIFS(배관기본물량!$P$7:$P$126,배관기본물량!$I$7:$I$126,$A19,배관기본물량!$B$7:$B$126,"설치",배관기본물량!$G$7:$G$126,"VALVE")</f>
        <v>0</v>
      </c>
      <c r="F19" s="15" t="n">
        <f aca="false">SUMIFS(배관소재집계!$K$7:$K$126,배관기본물량!$I$7:$I$126,$A19,배관기본물량!$G$7:$G$126,"PIPE")</f>
        <v>0</v>
      </c>
      <c r="G19" s="15" t="n">
        <f aca="false">SUMIFS(배관소재집계!$K$7:$K$126,배관기본물량!$I$7:$I$126,$A19,배관기본물량!$G$7:$G$126,"FITTING")</f>
        <v>0</v>
      </c>
      <c r="H19" s="15" t="n">
        <f aca="false">((F19-C19)+(G19-D19)+(SUMIFS(배관소재집계!$K$7:$K$126,배관기본물량!$I$7:$I$126,$A19,배관기본물량!$G$7:$G$126,"VALVE")-E19))*제작기준!$L$7</f>
        <v>0</v>
      </c>
      <c r="I19" s="17" t="n">
        <f aca="false">IF(S19=0,0,ROUNDUP(S19/배관기준!$AG$7,0))</f>
        <v>0</v>
      </c>
      <c r="J19" s="36" t="n">
        <f aca="false">INDEX(배관기준!$Y$5:$Y$20,MATCH(A19,배관기준!$X$5:$X$20,1))</f>
        <v>3</v>
      </c>
      <c r="K19" s="89" t="n">
        <f aca="false">IF(A19&lt;=배관기준!$AG$13,0,배관기준!$AG$10)</f>
        <v>0.1</v>
      </c>
      <c r="L19" s="17" t="n">
        <f aca="false">ROUNDUP(I19*J19*K19,0)</f>
        <v>0</v>
      </c>
      <c r="M19" s="89" t="n">
        <f aca="false">IF(A19&lt;=배관기준!$AG$13,배관기준!$AG$14,0)</f>
        <v>0</v>
      </c>
      <c r="N19" s="18" t="n">
        <f aca="false">IFERROR(INDEX(배관기준!$B$5:$B$39,MATCH(A19,배관기준!$A$5:$A$39,0))*PI()/1000*I19*M19,0)</f>
        <v>0</v>
      </c>
      <c r="O19" s="34" t="n">
        <f aca="false">IFERROR(INDEX(배관기준!$AL$5:$AL$18,COUNTIF(배관기준!$AK$5:$AK$18,"&lt;"&amp;A19)+1),"")</f>
        <v>699</v>
      </c>
      <c r="P19" s="17" t="n">
        <f aca="false">SUMIFS(배관ARGON!$O$7:$O$21,배관ARGON!$B$7:$B$21,A19)</f>
        <v>0</v>
      </c>
      <c r="Q19" s="17" t="n">
        <f aca="false">ROUNDUP(SUMIFS(배관기본물량!$R$7:$R$126,배관기본물량!$I$7:$I$126,$A19,배관기본물량!$B$7:$B$126,"설치",배관기본물량!$G$7:$G$126,"PIPE",배관기본물량!$S$7:$S$126,"Y"),0)</f>
        <v>0</v>
      </c>
      <c r="R19" s="18" t="n">
        <f aca="false">IFERROR(Q19*INDEX(제작기준!$G$5:$G$400,MATCH("PIPE|"&amp;A19&amp;"A",제작기준!$I$5:$I$400,0)),0)</f>
        <v>0</v>
      </c>
      <c r="S19" s="15" t="n">
        <f aca="false">SUMIFS(배관기본물량!$R$7:$R$126,배관기본물량!$I$7:$I$126,$A19,배관기본물량!$B$7:$B$126,"설치",배관기본물량!$G$7:$G$126,"PIPE",배관기본물량!$X$7:$X$126,"○")</f>
        <v>0</v>
      </c>
      <c r="T19" s="15" t="n">
        <f aca="false">SUMIFS(배관기본물량!$R$7:$R$126,배관기본물량!$I$7:$I$126,$A19,배관기본물량!$B$7:$B$126,"설치",배관기본물량!$G$7:$G$126,"PIPE",배관기본물량!$W$7:$W$126,"○")</f>
        <v>0</v>
      </c>
      <c r="U19" s="8" t="n">
        <f aca="false">SUMIFS(배관기본물량!$P$7:$P$126,배관기본물량!$I$7:$I$126,$A19,배관기본물량!$B$7:$B$126,"설치",배관기본물량!$Y$7:$Y$126,"○")/1000</f>
        <v>0</v>
      </c>
      <c r="V19" s="8" t="n">
        <f aca="false">SUMIFS(배관기본물량!$P$7:$P$126,배관기본물량!$I$7:$I$126,$A19,배관기본물량!$B$7:$B$126,"설치",배관기본물량!$Z$7:$Z$126,"○")/1000</f>
        <v>0</v>
      </c>
      <c r="W19" s="17" t="n">
        <f aca="false">IFERROR(PI()/4*(INDEX(배관기준!$B$5:$B$39,MATCH($A19,배관기준!$A$5:$A$39,0))^2-4*INDEX(배관단중표!$B$7:$W$41,MATCH($A19,배관단중표!$A$7:$A$41,0),MATCH("SPPS|SCH40",배관단중표!$B$6:$W$6,0))/(PI()*제작기준!$L$8/1000))/INDEX(배관단중표!$B$7:$W$41,MATCH($A19,배관단중표!$A$7:$A$41,0),MATCH("SPPS|SCH40",배관단중표!$B$6:$W$6,0)),0)</f>
        <v>513.913118200923</v>
      </c>
      <c r="X19" s="15" t="n">
        <f aca="false">V19*W19</f>
        <v>0</v>
      </c>
      <c r="Y19" s="15" t="n">
        <f aca="false">SUMIFS(배관기본물량!$R$7:$R$126,배관기본물량!$I$7:$I$126,$A19,배관기본물량!$B$7:$B$126,"설치",배관기본물량!$G$7:$G$126,"PIPE",배관기본물량!$S$7:$S$126,"Y",배관기본물량!$Y$7:$Y$126,"○")</f>
        <v>0</v>
      </c>
      <c r="Z19" s="18" t="n">
        <f aca="false">IFERROR(ROUNDUP(Y19,0)*INDEX(제작기준!$G$5:$G$400,MATCH("PIPE|"&amp;$A19&amp;"A",제작기준!$I$5:$I$400,0)),0)</f>
        <v>0</v>
      </c>
    </row>
    <row r="20" customFormat="false" ht="15" hidden="false" customHeight="true" outlineLevel="0" collapsed="false">
      <c r="A20" s="19" t="n">
        <v>125</v>
      </c>
      <c r="B20" s="15" t="n">
        <f aca="false">SUMIFS(배관기본물량!$R$7:$R$126,배관기본물량!$I$7:$I$126,$A20,배관기본물량!$B$7:$B$126,"설치")</f>
        <v>0</v>
      </c>
      <c r="C20" s="15" t="n">
        <f aca="false">SUMIFS(배관기본물량!$P$7:$P$126,배관기본물량!$I$7:$I$126,$A20,배관기본물량!$B$7:$B$126,"설치",배관기본물량!$G$7:$G$126,"PIPE")</f>
        <v>0</v>
      </c>
      <c r="D20" s="15" t="n">
        <f aca="false">SUMIFS(배관기본물량!$P$7:$P$126,배관기본물량!$I$7:$I$126,$A20,배관기본물량!$B$7:$B$126,"설치",배관기본물량!$G$7:$G$126,"FITTING")</f>
        <v>0</v>
      </c>
      <c r="E20" s="15" t="n">
        <f aca="false">SUMIFS(배관기본물량!$P$7:$P$126,배관기본물량!$I$7:$I$126,$A20,배관기본물량!$B$7:$B$126,"설치",배관기본물량!$G$7:$G$126,"VALVE")</f>
        <v>0</v>
      </c>
      <c r="F20" s="15" t="n">
        <f aca="false">SUMIFS(배관소재집계!$K$7:$K$126,배관기본물량!$I$7:$I$126,$A20,배관기본물량!$G$7:$G$126,"PIPE")</f>
        <v>0</v>
      </c>
      <c r="G20" s="15" t="n">
        <f aca="false">SUMIFS(배관소재집계!$K$7:$K$126,배관기본물량!$I$7:$I$126,$A20,배관기본물량!$G$7:$G$126,"FITTING")</f>
        <v>0</v>
      </c>
      <c r="H20" s="15" t="n">
        <f aca="false">((F20-C20)+(G20-D20)+(SUMIFS(배관소재집계!$K$7:$K$126,배관기본물량!$I$7:$I$126,$A20,배관기본물량!$G$7:$G$126,"VALVE")-E20))*제작기준!$L$7</f>
        <v>0</v>
      </c>
      <c r="I20" s="17" t="n">
        <f aca="false">IF(S20=0,0,ROUNDUP(S20/배관기준!$AG$7,0))</f>
        <v>0</v>
      </c>
      <c r="J20" s="36" t="n">
        <f aca="false">INDEX(배관기준!$Y$5:$Y$20,MATCH(A20,배관기준!$X$5:$X$20,1))</f>
        <v>3</v>
      </c>
      <c r="K20" s="89" t="n">
        <f aca="false">IF(A20&lt;=배관기준!$AG$13,0,배관기준!$AG$10)</f>
        <v>0.1</v>
      </c>
      <c r="L20" s="17" t="n">
        <f aca="false">ROUNDUP(I20*J20*K20,0)</f>
        <v>0</v>
      </c>
      <c r="M20" s="89" t="n">
        <f aca="false">IF(A20&lt;=배관기준!$AG$13,배관기준!$AG$14,0)</f>
        <v>0</v>
      </c>
      <c r="N20" s="18" t="n">
        <f aca="false">IFERROR(INDEX(배관기준!$B$5:$B$39,MATCH(A20,배관기준!$A$5:$A$39,0))*PI()/1000*I20*M20,0)</f>
        <v>0</v>
      </c>
      <c r="O20" s="34" t="n">
        <f aca="false">IFERROR(INDEX(배관기준!$AL$5:$AL$18,COUNTIF(배관기준!$AK$5:$AK$18,"&lt;"&amp;A20)+1),"")</f>
        <v>1098</v>
      </c>
      <c r="P20" s="17" t="n">
        <f aca="false">SUMIFS(배관ARGON!$O$7:$O$21,배관ARGON!$B$7:$B$21,A20)</f>
        <v>0</v>
      </c>
      <c r="Q20" s="17" t="n">
        <f aca="false">ROUNDUP(SUMIFS(배관기본물량!$R$7:$R$126,배관기본물량!$I$7:$I$126,$A20,배관기본물량!$B$7:$B$126,"설치",배관기본물량!$G$7:$G$126,"PIPE",배관기본물량!$S$7:$S$126,"Y"),0)</f>
        <v>0</v>
      </c>
      <c r="R20" s="18" t="n">
        <f aca="false">IFERROR(Q20*INDEX(제작기준!$G$5:$G$400,MATCH("PIPE|"&amp;A20&amp;"A",제작기준!$I$5:$I$400,0)),0)</f>
        <v>0</v>
      </c>
      <c r="S20" s="15" t="n">
        <f aca="false">SUMIFS(배관기본물량!$R$7:$R$126,배관기본물량!$I$7:$I$126,$A20,배관기본물량!$B$7:$B$126,"설치",배관기본물량!$G$7:$G$126,"PIPE",배관기본물량!$X$7:$X$126,"○")</f>
        <v>0</v>
      </c>
      <c r="T20" s="15" t="n">
        <f aca="false">SUMIFS(배관기본물량!$R$7:$R$126,배관기본물량!$I$7:$I$126,$A20,배관기본물량!$B$7:$B$126,"설치",배관기본물량!$G$7:$G$126,"PIPE",배관기본물량!$W$7:$W$126,"○")</f>
        <v>0</v>
      </c>
      <c r="U20" s="8" t="n">
        <f aca="false">SUMIFS(배관기본물량!$P$7:$P$126,배관기본물량!$I$7:$I$126,$A20,배관기본물량!$B$7:$B$126,"설치",배관기본물량!$Y$7:$Y$126,"○")/1000</f>
        <v>0</v>
      </c>
      <c r="V20" s="8" t="n">
        <f aca="false">SUMIFS(배관기본물량!$P$7:$P$126,배관기본물량!$I$7:$I$126,$A20,배관기본물량!$B$7:$B$126,"설치",배관기본물량!$Z$7:$Z$126,"○")/1000</f>
        <v>0</v>
      </c>
      <c r="W20" s="17" t="n">
        <f aca="false">IFERROR(PI()/4*(INDEX(배관기준!$B$5:$B$39,MATCH($A20,배관기준!$A$5:$A$39,0))^2-4*INDEX(배관단중표!$B$7:$W$41,MATCH($A20,배관단중표!$A$7:$A$41,0),MATCH("SPPS|SCH40",배관단중표!$B$6:$W$6,0))/(PI()*제작기준!$L$8/1000))/INDEX(배관단중표!$B$7:$W$41,MATCH($A20,배관단중표!$A$7:$A$41,0),MATCH("SPPS|SCH40",배관단중표!$B$6:$W$6,0)),0)</f>
        <v>579.977968256921</v>
      </c>
      <c r="X20" s="15" t="n">
        <f aca="false">V20*W20</f>
        <v>0</v>
      </c>
      <c r="Y20" s="15" t="n">
        <f aca="false">SUMIFS(배관기본물량!$R$7:$R$126,배관기본물량!$I$7:$I$126,$A20,배관기본물량!$B$7:$B$126,"설치",배관기본물량!$G$7:$G$126,"PIPE",배관기본물량!$S$7:$S$126,"Y",배관기본물량!$Y$7:$Y$126,"○")</f>
        <v>0</v>
      </c>
      <c r="Z20" s="18" t="n">
        <f aca="false">IFERROR(ROUNDUP(Y20,0)*INDEX(제작기준!$G$5:$G$400,MATCH("PIPE|"&amp;$A20&amp;"A",제작기준!$I$5:$I$400,0)),0)</f>
        <v>0</v>
      </c>
    </row>
    <row r="21" customFormat="false" ht="15" hidden="false" customHeight="true" outlineLevel="0" collapsed="false">
      <c r="A21" s="19" t="n">
        <v>150</v>
      </c>
      <c r="B21" s="15" t="n">
        <f aca="false">SUMIFS(배관기본물량!$R$7:$R$126,배관기본물량!$I$7:$I$126,$A21,배관기본물량!$B$7:$B$126,"설치")</f>
        <v>20.701</v>
      </c>
      <c r="C21" s="15" t="n">
        <f aca="false">SUMIFS(배관기본물량!$P$7:$P$126,배관기본물량!$I$7:$I$126,$A21,배관기본물량!$B$7:$B$126,"설치",배관기본물량!$G$7:$G$126,"PIPE")</f>
        <v>573.4177</v>
      </c>
      <c r="D21" s="15" t="n">
        <f aca="false">SUMIFS(배관기본물량!$P$7:$P$126,배관기본물량!$I$7:$I$126,$A21,배관기본물량!$B$7:$B$126,"설치",배관기본물량!$G$7:$G$126,"FITTING")</f>
        <v>150</v>
      </c>
      <c r="E21" s="15" t="n">
        <f aca="false">SUMIFS(배관기본물량!$P$7:$P$126,배관기본물량!$I$7:$I$126,$A21,배관기본물량!$B$7:$B$126,"설치",배관기본물량!$G$7:$G$126,"VALVE")</f>
        <v>260</v>
      </c>
      <c r="F21" s="15" t="n">
        <f aca="false">SUMIFS(배관소재집계!$K$7:$K$126,배관기본물량!$I$7:$I$126,$A21,배관기본물량!$G$7:$G$126,"PIPE")</f>
        <v>609.4</v>
      </c>
      <c r="G21" s="15" t="n">
        <f aca="false">SUMIFS(배관소재집계!$K$7:$K$126,배관기본물량!$I$7:$I$126,$A21,배관기본물량!$G$7:$G$126,"FITTING")</f>
        <v>150</v>
      </c>
      <c r="H21" s="15" t="n">
        <f aca="false">((F21-C21)+(G21-D21)+(SUMIFS(배관소재집계!$K$7:$K$126,배관기본물량!$I$7:$I$126,$A21,배관기본물량!$G$7:$G$126,"VALVE")-E21))*제작기준!$L$7</f>
        <v>25.18761</v>
      </c>
      <c r="I21" s="17" t="n">
        <f aca="false">IF(S21=0,0,ROUNDUP(S21/배관기준!$AG$7,0))</f>
        <v>7</v>
      </c>
      <c r="J21" s="36" t="n">
        <f aca="false">INDEX(배관기준!$Y$5:$Y$20,MATCH(A21,배관기준!$X$5:$X$20,1))</f>
        <v>3</v>
      </c>
      <c r="K21" s="89" t="n">
        <f aca="false">IF(A21&lt;=배관기준!$AG$13,0,배관기준!$AG$10)</f>
        <v>0.1</v>
      </c>
      <c r="L21" s="17" t="n">
        <f aca="false">ROUNDUP(I21*J21*K21,0)</f>
        <v>3</v>
      </c>
      <c r="M21" s="89" t="n">
        <f aca="false">IF(A21&lt;=배관기준!$AG$13,배관기준!$AG$14,0)</f>
        <v>0</v>
      </c>
      <c r="N21" s="18" t="n">
        <f aca="false">IFERROR(INDEX(배관기준!$B$5:$B$39,MATCH(A21,배관기준!$A$5:$A$39,0))*PI()/1000*I21*M21,0)</f>
        <v>0</v>
      </c>
      <c r="O21" s="34" t="n">
        <f aca="false">IFERROR(INDEX(배관기준!$AL$5:$AL$18,COUNTIF(배관기준!$AK$5:$AK$18,"&lt;"&amp;A21)+1),"")</f>
        <v>1285</v>
      </c>
      <c r="P21" s="17" t="n">
        <f aca="false">SUMIFS(배관ARGON!$O$7:$O$21,배관ARGON!$B$7:$B$21,A21)</f>
        <v>2142</v>
      </c>
      <c r="Q21" s="17" t="n">
        <f aca="false">ROUNDUP(SUMIFS(배관기본물량!$R$7:$R$126,배관기본물량!$I$7:$I$126,$A21,배관기본물량!$B$7:$B$126,"설치",배관기본물량!$G$7:$G$126,"PIPE",배관기본물량!$S$7:$S$126,"Y"),0)</f>
        <v>0</v>
      </c>
      <c r="R21" s="18" t="n">
        <f aca="false">IFERROR(Q21*INDEX(제작기준!$G$5:$G$400,MATCH("PIPE|"&amp;A21&amp;"A",제작기준!$I$5:$I$400,0)),0)</f>
        <v>0</v>
      </c>
      <c r="S21" s="15" t="n">
        <f aca="false">SUMIFS(배관기본물량!$R$7:$R$126,배관기본물량!$I$7:$I$126,$A21,배관기본물량!$B$7:$B$126,"설치",배관기본물량!$G$7:$G$126,"PIPE",배관기본물량!$X$7:$X$126,"○")</f>
        <v>20.701</v>
      </c>
      <c r="T21" s="15" t="n">
        <f aca="false">SUMIFS(배관기본물량!$R$7:$R$126,배관기본물량!$I$7:$I$126,$A21,배관기본물량!$B$7:$B$126,"설치",배관기본물량!$G$7:$G$126,"PIPE",배관기본물량!$W$7:$W$126,"○")</f>
        <v>20.701</v>
      </c>
      <c r="U21" s="8" t="n">
        <f aca="false">SUMIFS(배관기본물량!$P$7:$P$126,배관기본물량!$I$7:$I$126,$A21,배관기본물량!$B$7:$B$126,"설치",배관기본물량!$Y$7:$Y$126,"○")/1000</f>
        <v>0</v>
      </c>
      <c r="V21" s="8" t="n">
        <f aca="false">SUMIFS(배관기본물량!$P$7:$P$126,배관기본물량!$I$7:$I$126,$A21,배관기본물량!$B$7:$B$126,"설치",배관기본물량!$Z$7:$Z$126,"○")/1000</f>
        <v>0.9834177</v>
      </c>
      <c r="W21" s="17" t="n">
        <f aca="false">IFERROR(PI()/4*(INDEX(배관기준!$B$5:$B$39,MATCH($A21,배관기준!$A$5:$A$39,0))^2-4*INDEX(배관단중표!$B$7:$W$41,MATCH($A21,배관단중표!$A$7:$A$41,0),MATCH("SPPS|SCH40",배관단중표!$B$6:$W$6,0))/(PI()*제작기준!$L$8/1000))/INDEX(배관단중표!$B$7:$W$41,MATCH($A21,배관단중표!$A$7:$A$41,0),MATCH("SPPS|SCH40",배관단중표!$B$6:$W$6,0)),0)</f>
        <v>646.414089271629</v>
      </c>
      <c r="X21" s="15" t="n">
        <f aca="false">V21*W21</f>
        <v>635.6950569191</v>
      </c>
      <c r="Y21" s="15" t="n">
        <f aca="false">SUMIFS(배관기본물량!$R$7:$R$126,배관기본물량!$I$7:$I$126,$A21,배관기본물량!$B$7:$B$126,"설치",배관기본물량!$G$7:$G$126,"PIPE",배관기본물량!$S$7:$S$126,"Y",배관기본물량!$Y$7:$Y$126,"○")</f>
        <v>0</v>
      </c>
      <c r="Z21" s="18" t="n">
        <f aca="false">IFERROR(ROUNDUP(Y21,0)*INDEX(제작기준!$G$5:$G$400,MATCH("PIPE|"&amp;$A21&amp;"A",제작기준!$I$5:$I$400,0)),0)</f>
        <v>0</v>
      </c>
    </row>
    <row r="22" customFormat="false" ht="15" hidden="false" customHeight="true" outlineLevel="0" collapsed="false">
      <c r="A22" s="19" t="n">
        <v>200</v>
      </c>
      <c r="B22" s="15" t="n">
        <f aca="false">SUMIFS(배관기본물량!$R$7:$R$126,배관기본물량!$I$7:$I$126,$A22,배관기본물량!$B$7:$B$126,"설치")</f>
        <v>9.1142</v>
      </c>
      <c r="C22" s="15" t="n">
        <f aca="false">SUMIFS(배관기본물량!$P$7:$P$126,배관기본물량!$I$7:$I$126,$A22,배관기본물량!$B$7:$B$126,"설치",배관기본물량!$G$7:$G$126,"PIPE")</f>
        <v>383.70782</v>
      </c>
      <c r="D22" s="15" t="n">
        <f aca="false">SUMIFS(배관기본물량!$P$7:$P$126,배관기본물량!$I$7:$I$126,$A22,배관기본물량!$B$7:$B$126,"설치",배관기본물량!$G$7:$G$126,"FITTING")</f>
        <v>246.4</v>
      </c>
      <c r="E22" s="15" t="n">
        <f aca="false">SUMIFS(배관기본물량!$P$7:$P$126,배관기본물량!$I$7:$I$126,$A22,배관기본물량!$B$7:$B$126,"설치",배관기본물량!$G$7:$G$126,"VALVE")</f>
        <v>553</v>
      </c>
      <c r="F22" s="15" t="n">
        <f aca="false">SUMIFS(배관소재집계!$K$7:$K$126,배관기본물량!$I$7:$I$126,$A22,배관기본물량!$G$7:$G$126,"PIPE")</f>
        <v>421</v>
      </c>
      <c r="G22" s="15" t="n">
        <f aca="false">SUMIFS(배관소재집계!$K$7:$K$126,배관기본물량!$I$7:$I$126,$A22,배관기본물량!$G$7:$G$126,"FITTING")</f>
        <v>246.4</v>
      </c>
      <c r="H22" s="15" t="n">
        <f aca="false">((F22-C22)+(G22-D22)+(SUMIFS(배관소재집계!$K$7:$K$126,배관기본물량!$I$7:$I$126,$A22,배관기본물량!$G$7:$G$126,"VALVE")-E22))*제작기준!$L$7</f>
        <v>26.104526</v>
      </c>
      <c r="I22" s="17" t="n">
        <f aca="false">IF(S22=0,0,ROUNDUP(S22/배관기준!$AG$7,0))</f>
        <v>4</v>
      </c>
      <c r="J22" s="36" t="n">
        <f aca="false">INDEX(배관기준!$Y$5:$Y$20,MATCH(A22,배관기준!$X$5:$X$20,1))</f>
        <v>3</v>
      </c>
      <c r="K22" s="89" t="n">
        <f aca="false">IF(A22&lt;=배관기준!$AG$13,0,배관기준!$AG$10)</f>
        <v>0.1</v>
      </c>
      <c r="L22" s="17" t="n">
        <f aca="false">ROUNDUP(I22*J22*K22,0)</f>
        <v>2</v>
      </c>
      <c r="M22" s="89" t="n">
        <f aca="false">IF(A22&lt;=배관기준!$AG$13,배관기준!$AG$14,0)</f>
        <v>0</v>
      </c>
      <c r="N22" s="18" t="n">
        <f aca="false">IFERROR(INDEX(배관기준!$B$5:$B$39,MATCH(A22,배관기준!$A$5:$A$39,0))*PI()/1000*I22*M22,0)</f>
        <v>0</v>
      </c>
      <c r="O22" s="34" t="n">
        <f aca="false">IFERROR(INDEX(배관기준!$AL$5:$AL$18,COUNTIF(배관기준!$AK$5:$AK$18,"&lt;"&amp;A22)+1),"")</f>
        <v>2170</v>
      </c>
      <c r="P22" s="17" t="n">
        <f aca="false">SUMIFS(배관ARGON!$O$7:$O$21,배관ARGON!$B$7:$B$21,A22)</f>
        <v>3617</v>
      </c>
      <c r="Q22" s="17" t="n">
        <f aca="false">ROUNDUP(SUMIFS(배관기본물량!$R$7:$R$126,배관기본물량!$I$7:$I$126,$A22,배관기본물량!$B$7:$B$126,"설치",배관기본물량!$G$7:$G$126,"PIPE",배관기본물량!$S$7:$S$126,"Y"),0)</f>
        <v>0</v>
      </c>
      <c r="R22" s="18" t="n">
        <f aca="false">IFERROR(Q22*INDEX(제작기준!$G$5:$G$400,MATCH("PIPE|"&amp;A22&amp;"A",제작기준!$I$5:$I$400,0)),0)</f>
        <v>0</v>
      </c>
      <c r="S22" s="15" t="n">
        <f aca="false">SUMIFS(배관기본물량!$R$7:$R$126,배관기본물량!$I$7:$I$126,$A22,배관기본물량!$B$7:$B$126,"설치",배관기본물량!$G$7:$G$126,"PIPE",배관기본물량!$X$7:$X$126,"○")</f>
        <v>9.1142</v>
      </c>
      <c r="T22" s="15" t="n">
        <f aca="false">SUMIFS(배관기본물량!$R$7:$R$126,배관기본물량!$I$7:$I$126,$A22,배관기본물량!$B$7:$B$126,"설치",배관기본물량!$G$7:$G$126,"PIPE",배관기본물량!$W$7:$W$126,"○")</f>
        <v>9.1142</v>
      </c>
      <c r="U22" s="8" t="n">
        <f aca="false">SUMIFS(배관기본물량!$P$7:$P$126,배관기본물량!$I$7:$I$126,$A22,배관기본물량!$B$7:$B$126,"설치",배관기본물량!$Y$7:$Y$126,"○")/1000</f>
        <v>0</v>
      </c>
      <c r="V22" s="8" t="n">
        <f aca="false">SUMIFS(배관기본물량!$P$7:$P$126,배관기본물량!$I$7:$I$126,$A22,배관기본물량!$B$7:$B$126,"설치",배관기본물량!$Z$7:$Z$126,"○")/1000</f>
        <v>1.18310782</v>
      </c>
      <c r="W22" s="17" t="n">
        <f aca="false">IFERROR(PI()/4*(INDEX(배관기준!$B$5:$B$39,MATCH($A22,배관기준!$A$5:$A$39,0))^2-4*INDEX(배관단중표!$B$7:$W$41,MATCH($A22,배관단중표!$A$7:$A$41,0),MATCH("SPPS|SCH40",배관단중표!$B$6:$W$6,0))/(PI()*제작기준!$L$8/1000))/INDEX(배관단중표!$B$7:$W$41,MATCH($A22,배관단중표!$A$7:$A$41,0),MATCH("SPPS|SCH40",배관단중표!$B$6:$W$6,0)),0)</f>
        <v>745.423697730204</v>
      </c>
      <c r="X22" s="15" t="n">
        <f aca="false">V22*W22</f>
        <v>881.916605997921</v>
      </c>
      <c r="Y22" s="15" t="n">
        <f aca="false">SUMIFS(배관기본물량!$R$7:$R$126,배관기본물량!$I$7:$I$126,$A22,배관기본물량!$B$7:$B$126,"설치",배관기본물량!$G$7:$G$126,"PIPE",배관기본물량!$S$7:$S$126,"Y",배관기본물량!$Y$7:$Y$126,"○")</f>
        <v>0</v>
      </c>
      <c r="Z22" s="18" t="n">
        <f aca="false">IFERROR(ROUNDUP(Y22,0)*INDEX(제작기준!$G$5:$G$400,MATCH("PIPE|"&amp;$A22&amp;"A",제작기준!$I$5:$I$400,0)),0)</f>
        <v>0</v>
      </c>
    </row>
    <row r="23" customFormat="false" ht="15" hidden="false" customHeight="true" outlineLevel="0" collapsed="false">
      <c r="A23" s="19" t="n">
        <v>250</v>
      </c>
      <c r="B23" s="15" t="n">
        <f aca="false">SUMIFS(배관기본물량!$R$7:$R$126,배관기본물량!$I$7:$I$126,$A23,배관기본물량!$B$7:$B$126,"설치")</f>
        <v>8.666</v>
      </c>
      <c r="C23" s="15" t="n">
        <f aca="false">SUMIFS(배관기본물량!$P$7:$P$126,배관기본물량!$I$7:$I$126,$A23,배관기본물량!$B$7:$B$126,"설치",배관기본물량!$G$7:$G$126,"PIPE")</f>
        <v>513.0272</v>
      </c>
      <c r="D23" s="15" t="n">
        <f aca="false">SUMIFS(배관기본물량!$P$7:$P$126,배관기본물량!$I$7:$I$126,$A23,배관기본물량!$B$7:$B$126,"설치",배관기본물량!$G$7:$G$126,"FITTING")</f>
        <v>264.7</v>
      </c>
      <c r="E23" s="15" t="n">
        <f aca="false">SUMIFS(배관기본물량!$P$7:$P$126,배관기본물량!$I$7:$I$126,$A23,배관기본물량!$B$7:$B$126,"설치",배관기본물량!$G$7:$G$126,"VALVE")</f>
        <v>0</v>
      </c>
      <c r="F23" s="15" t="n">
        <f aca="false">SUMIFS(배관소재집계!$K$7:$K$126,배관기본물량!$I$7:$I$126,$A23,배관기본물량!$G$7:$G$126,"PIPE")</f>
        <v>532.8</v>
      </c>
      <c r="G23" s="15" t="n">
        <f aca="false">SUMIFS(배관소재집계!$K$7:$K$126,배관기본물량!$I$7:$I$126,$A23,배관기본물량!$G$7:$G$126,"FITTING")</f>
        <v>264.7</v>
      </c>
      <c r="H23" s="15" t="n">
        <f aca="false">((F23-C23)+(G23-D23)+(SUMIFS(배관소재집계!$K$7:$K$126,배관기본물량!$I$7:$I$126,$A23,배관기본물량!$G$7:$G$126,"VALVE")-E23))*제작기준!$L$7</f>
        <v>13.84096</v>
      </c>
      <c r="I23" s="17" t="n">
        <f aca="false">IF(S23=0,0,ROUNDUP(S23/배관기준!$AG$7,0))</f>
        <v>3</v>
      </c>
      <c r="J23" s="36" t="n">
        <f aca="false">INDEX(배관기준!$Y$5:$Y$20,MATCH(A23,배관기준!$X$5:$X$20,1))</f>
        <v>4</v>
      </c>
      <c r="K23" s="89" t="n">
        <f aca="false">IF(A23&lt;=배관기준!$AG$13,0,배관기준!$AG$10)</f>
        <v>0.1</v>
      </c>
      <c r="L23" s="17" t="n">
        <f aca="false">ROUNDUP(I23*J23*K23,0)</f>
        <v>2</v>
      </c>
      <c r="M23" s="89" t="n">
        <f aca="false">IF(A23&lt;=배관기준!$AG$13,배관기준!$AG$14,0)</f>
        <v>0</v>
      </c>
      <c r="N23" s="18" t="n">
        <f aca="false">IFERROR(INDEX(배관기준!$B$5:$B$39,MATCH(A23,배관기준!$A$5:$A$39,0))*PI()/1000*I23*M23,0)</f>
        <v>0</v>
      </c>
      <c r="O23" s="34" t="n">
        <f aca="false">IFERROR(INDEX(배관기준!$AL$5:$AL$18,COUNTIF(배관기준!$AK$5:$AK$18,"&lt;"&amp;A23)+1),"")</f>
        <v>3060</v>
      </c>
      <c r="P23" s="17" t="n">
        <f aca="false">SUMIFS(배관ARGON!$O$7:$O$21,배관ARGON!$B$7:$B$21,A23)</f>
        <v>3060</v>
      </c>
      <c r="Q23" s="17" t="n">
        <f aca="false">ROUNDUP(SUMIFS(배관기본물량!$R$7:$R$126,배관기본물량!$I$7:$I$126,$A23,배관기본물량!$B$7:$B$126,"설치",배관기본물량!$G$7:$G$126,"PIPE",배관기본물량!$S$7:$S$126,"Y"),0)</f>
        <v>0</v>
      </c>
      <c r="R23" s="18" t="n">
        <f aca="false">IFERROR(Q23*INDEX(제작기준!$G$5:$G$400,MATCH("PIPE|"&amp;A23&amp;"A",제작기준!$I$5:$I$400,0)),0)</f>
        <v>0</v>
      </c>
      <c r="S23" s="15" t="n">
        <f aca="false">SUMIFS(배관기본물량!$R$7:$R$126,배관기본물량!$I$7:$I$126,$A23,배관기본물량!$B$7:$B$126,"설치",배관기본물량!$G$7:$G$126,"PIPE",배관기본물량!$X$7:$X$126,"○")</f>
        <v>8.666</v>
      </c>
      <c r="T23" s="15" t="n">
        <f aca="false">SUMIFS(배관기본물량!$R$7:$R$126,배관기본물량!$I$7:$I$126,$A23,배관기본물량!$B$7:$B$126,"설치",배관기본물량!$G$7:$G$126,"PIPE",배관기본물량!$W$7:$W$126,"○")</f>
        <v>8.666</v>
      </c>
      <c r="U23" s="8" t="n">
        <f aca="false">SUMIFS(배관기본물량!$P$7:$P$126,배관기본물량!$I$7:$I$126,$A23,배관기본물량!$B$7:$B$126,"설치",배관기본물량!$Y$7:$Y$126,"○")/1000</f>
        <v>0</v>
      </c>
      <c r="V23" s="8" t="n">
        <f aca="false">SUMIFS(배관기본물량!$P$7:$P$126,배관기본물량!$I$7:$I$126,$A23,배관기본물량!$B$7:$B$126,"설치",배관기본물량!$Z$7:$Z$126,"○")/1000</f>
        <v>0.7777272</v>
      </c>
      <c r="W23" s="17" t="n">
        <f aca="false">IFERROR(PI()/4*(INDEX(배관기준!$B$5:$B$39,MATCH($A23,배관기준!$A$5:$A$39,0))^2-4*INDEX(배관단중표!$B$7:$W$41,MATCH($A23,배관단중표!$A$7:$A$41,0),MATCH("SPPS|SCH40",배관단중표!$B$6:$W$6,0))/(PI()*제작기준!$L$8/1000))/INDEX(배관단중표!$B$7:$W$41,MATCH($A23,배관단중표!$A$7:$A$41,0),MATCH("SPPS|SCH40",배관단중표!$B$6:$W$6,0)),0)</f>
        <v>821.228633580459</v>
      </c>
      <c r="X23" s="15" t="n">
        <f aca="false">V23*W23</f>
        <v>638.691845754357</v>
      </c>
      <c r="Y23" s="15" t="n">
        <f aca="false">SUMIFS(배관기본물량!$R$7:$R$126,배관기본물량!$I$7:$I$126,$A23,배관기본물량!$B$7:$B$126,"설치",배관기본물량!$G$7:$G$126,"PIPE",배관기본물량!$S$7:$S$126,"Y",배관기본물량!$Y$7:$Y$126,"○")</f>
        <v>0</v>
      </c>
      <c r="Z23" s="18" t="n">
        <f aca="false">IFERROR(ROUNDUP(Y23,0)*INDEX(제작기준!$G$5:$G$400,MATCH("PIPE|"&amp;$A23&amp;"A",제작기준!$I$5:$I$400,0)),0)</f>
        <v>0</v>
      </c>
    </row>
    <row r="24" customFormat="false" ht="15" hidden="false" customHeight="true" outlineLevel="0" collapsed="false">
      <c r="A24" s="19" t="n">
        <v>300</v>
      </c>
      <c r="B24" s="15" t="n">
        <f aca="false">SUMIFS(배관기본물량!$R$7:$R$126,배관기본물량!$I$7:$I$126,$A24,배관기본물량!$B$7:$B$126,"설치")</f>
        <v>4.615</v>
      </c>
      <c r="C24" s="15" t="n">
        <f aca="false">SUMIFS(배관기본물량!$P$7:$P$126,배관기본물량!$I$7:$I$126,$A24,배관기본물량!$B$7:$B$126,"설치",배관기본물량!$G$7:$G$126,"PIPE")</f>
        <v>361.3545</v>
      </c>
      <c r="D24" s="15" t="n">
        <f aca="false">SUMIFS(배관기본물량!$P$7:$P$126,배관기본물량!$I$7:$I$126,$A24,배관기본물량!$B$7:$B$126,"설치",배관기본물량!$G$7:$G$126,"FITTING")</f>
        <v>250.1</v>
      </c>
      <c r="E24" s="15" t="n">
        <f aca="false">SUMIFS(배관기본물량!$P$7:$P$126,배관기본물량!$I$7:$I$126,$A24,배관기본물량!$B$7:$B$126,"설치",배관기본물량!$G$7:$G$126,"VALVE")</f>
        <v>1193</v>
      </c>
      <c r="F24" s="15" t="n">
        <f aca="false">SUMIFS(배관소재집계!$K$7:$K$126,배관기본물량!$I$7:$I$126,$A24,배관기본물량!$G$7:$G$126,"PIPE")</f>
        <v>391.5</v>
      </c>
      <c r="G24" s="15" t="n">
        <f aca="false">SUMIFS(배관소재집계!$K$7:$K$126,배관기본물량!$I$7:$I$126,$A24,배관기본물량!$G$7:$G$126,"FITTING")</f>
        <v>250.1</v>
      </c>
      <c r="H24" s="15" t="n">
        <f aca="false">((F24-C24)+(G24-D24)+(SUMIFS(배관소재집계!$K$7:$K$126,배관기본물량!$I$7:$I$126,$A24,배관기본물량!$G$7:$G$126,"VALVE")-E24))*제작기준!$L$7</f>
        <v>21.10185</v>
      </c>
      <c r="I24" s="17" t="n">
        <f aca="false">IF(S24=0,0,ROUNDUP(S24/배관기준!$AG$7,0))</f>
        <v>2</v>
      </c>
      <c r="J24" s="36" t="n">
        <f aca="false">INDEX(배관기준!$Y$5:$Y$20,MATCH(A24,배관기준!$X$5:$X$20,1))</f>
        <v>4</v>
      </c>
      <c r="K24" s="89" t="n">
        <f aca="false">IF(A24&lt;=배관기준!$AG$13,0,배관기준!$AG$10)</f>
        <v>0.1</v>
      </c>
      <c r="L24" s="17" t="n">
        <f aca="false">ROUNDUP(I24*J24*K24,0)</f>
        <v>1</v>
      </c>
      <c r="M24" s="89" t="n">
        <f aca="false">IF(A24&lt;=배관기준!$AG$13,배관기준!$AG$14,0)</f>
        <v>0</v>
      </c>
      <c r="N24" s="18" t="n">
        <f aca="false">IFERROR(INDEX(배관기준!$B$5:$B$39,MATCH(A24,배관기준!$A$5:$A$39,0))*PI()/1000*I24*M24,0)</f>
        <v>0</v>
      </c>
      <c r="O24" s="34" t="n">
        <f aca="false">IFERROR(INDEX(배관기준!$AL$5:$AL$18,COUNTIF(배관기준!$AK$5:$AK$18,"&lt;"&amp;A24)+1),"")</f>
        <v>3945</v>
      </c>
      <c r="P24" s="17" t="n">
        <f aca="false">SUMIFS(배관ARGON!$O$7:$O$21,배관ARGON!$B$7:$B$21,A24)</f>
        <v>31560</v>
      </c>
      <c r="Q24" s="17" t="n">
        <f aca="false">ROUNDUP(SUMIFS(배관기본물량!$R$7:$R$126,배관기본물량!$I$7:$I$126,$A24,배관기본물량!$B$7:$B$126,"설치",배관기본물량!$G$7:$G$126,"PIPE",배관기본물량!$S$7:$S$126,"Y"),0)</f>
        <v>5</v>
      </c>
      <c r="R24" s="18" t="n">
        <f aca="false">IFERROR(Q24*INDEX(제작기준!$G$5:$G$400,MATCH("PIPE|"&amp;A24&amp;"A",제작기준!$I$5:$I$400,0)),0)</f>
        <v>5.003</v>
      </c>
      <c r="S24" s="15" t="n">
        <f aca="false">SUMIFS(배관기본물량!$R$7:$R$126,배관기본물량!$I$7:$I$126,$A24,배관기본물량!$B$7:$B$126,"설치",배관기본물량!$G$7:$G$126,"PIPE",배관기본물량!$X$7:$X$126,"○")</f>
        <v>4.615</v>
      </c>
      <c r="T24" s="15" t="n">
        <f aca="false">SUMIFS(배관기본물량!$R$7:$R$126,배관기본물량!$I$7:$I$126,$A24,배관기본물량!$B$7:$B$126,"설치",배관기본물량!$G$7:$G$126,"PIPE",배관기본물량!$W$7:$W$126,"○")</f>
        <v>0</v>
      </c>
      <c r="U24" s="8" t="n">
        <f aca="false">SUMIFS(배관기본물량!$P$7:$P$126,배관기본물량!$I$7:$I$126,$A24,배관기본물량!$B$7:$B$126,"설치",배관기본물량!$Y$7:$Y$126,"○")/1000</f>
        <v>0</v>
      </c>
      <c r="V24" s="8" t="n">
        <f aca="false">SUMIFS(배관기본물량!$P$7:$P$126,배관기본물량!$I$7:$I$126,$A24,배관기본물량!$B$7:$B$126,"설치",배관기본물량!$Z$7:$Z$126,"○")/1000</f>
        <v>1.8044545</v>
      </c>
      <c r="W24" s="17" t="n">
        <f aca="false">IFERROR(PI()/4*(INDEX(배관기준!$B$5:$B$39,MATCH($A24,배관기준!$A$5:$A$39,0))^2-4*INDEX(배관단중표!$B$7:$W$41,MATCH($A24,배관단중표!$A$7:$A$41,0),MATCH("SPPS|SCH40",배관단중표!$B$6:$W$6,0))/(PI()*제작기준!$L$8/1000))/INDEX(배관단중표!$B$7:$W$41,MATCH($A24,배관단중표!$A$7:$A$41,0),MATCH("SPPS|SCH40",배관단중표!$B$6:$W$6,0)),0)</f>
        <v>890.140926537818</v>
      </c>
      <c r="X24" s="15" t="n">
        <f aca="false">V24*W24</f>
        <v>1606.21880052534</v>
      </c>
      <c r="Y24" s="15" t="n">
        <f aca="false">SUMIFS(배관기본물량!$R$7:$R$126,배관기본물량!$I$7:$I$126,$A24,배관기본물량!$B$7:$B$126,"설치",배관기본물량!$G$7:$G$126,"PIPE",배관기본물량!$S$7:$S$126,"Y",배관기본물량!$Y$7:$Y$126,"○")</f>
        <v>0</v>
      </c>
      <c r="Z24" s="18" t="n">
        <f aca="false">IFERROR(ROUNDUP(Y24,0)*INDEX(제작기준!$G$5:$G$400,MATCH("PIPE|"&amp;$A24&amp;"A",제작기준!$I$5:$I$400,0)),0)</f>
        <v>0</v>
      </c>
    </row>
    <row r="25" customFormat="false" ht="15" hidden="false" customHeight="true" outlineLevel="0" collapsed="false">
      <c r="A25" s="19" t="n">
        <v>350</v>
      </c>
      <c r="B25" s="15" t="n">
        <f aca="false">SUMIFS(배관기본물량!$R$7:$R$126,배관기본물량!$I$7:$I$126,$A25,배관기본물량!$B$7:$B$126,"설치")</f>
        <v>0</v>
      </c>
      <c r="C25" s="15" t="n">
        <f aca="false">SUMIFS(배관기본물량!$P$7:$P$126,배관기본물량!$I$7:$I$126,$A25,배관기본물량!$B$7:$B$126,"설치",배관기본물량!$G$7:$G$126,"PIPE")</f>
        <v>0</v>
      </c>
      <c r="D25" s="15" t="n">
        <f aca="false">SUMIFS(배관기본물량!$P$7:$P$126,배관기본물량!$I$7:$I$126,$A25,배관기본물량!$B$7:$B$126,"설치",배관기본물량!$G$7:$G$126,"FITTING")</f>
        <v>0</v>
      </c>
      <c r="E25" s="15" t="n">
        <f aca="false">SUMIFS(배관기본물량!$P$7:$P$126,배관기본물량!$I$7:$I$126,$A25,배관기본물량!$B$7:$B$126,"설치",배관기본물량!$G$7:$G$126,"VALVE")</f>
        <v>0</v>
      </c>
      <c r="F25" s="15" t="n">
        <f aca="false">SUMIFS(배관소재집계!$K$7:$K$126,배관기본물량!$I$7:$I$126,$A25,배관기본물량!$G$7:$G$126,"PIPE")</f>
        <v>0</v>
      </c>
      <c r="G25" s="15" t="n">
        <f aca="false">SUMIFS(배관소재집계!$K$7:$K$126,배관기본물량!$I$7:$I$126,$A25,배관기본물량!$G$7:$G$126,"FITTING")</f>
        <v>0</v>
      </c>
      <c r="H25" s="15" t="n">
        <f aca="false">((F25-C25)+(G25-D25)+(SUMIFS(배관소재집계!$K$7:$K$126,배관기본물량!$I$7:$I$126,$A25,배관기본물량!$G$7:$G$126,"VALVE")-E25))*제작기준!$L$7</f>
        <v>0</v>
      </c>
      <c r="I25" s="17" t="n">
        <f aca="false">IF(S25=0,0,ROUNDUP(S25/배관기준!$AG$7,0))</f>
        <v>0</v>
      </c>
      <c r="J25" s="36" t="n">
        <f aca="false">INDEX(배관기준!$Y$5:$Y$20,MATCH(A25,배관기준!$X$5:$X$20,1))</f>
        <v>5</v>
      </c>
      <c r="K25" s="89" t="n">
        <f aca="false">IF(A25&lt;=배관기준!$AG$13,0,배관기준!$AG$10)</f>
        <v>0.1</v>
      </c>
      <c r="L25" s="17" t="n">
        <f aca="false">ROUNDUP(I25*J25*K25,0)</f>
        <v>0</v>
      </c>
      <c r="M25" s="89" t="n">
        <f aca="false">IF(A25&lt;=배관기준!$AG$13,배관기준!$AG$14,0)</f>
        <v>0</v>
      </c>
      <c r="N25" s="18" t="n">
        <f aca="false">IFERROR(INDEX(배관기준!$B$5:$B$39,MATCH(A25,배관기준!$A$5:$A$39,0))*PI()/1000*I25*M25,0)</f>
        <v>0</v>
      </c>
      <c r="O25" s="34" t="str">
        <f aca="false">IFERROR(INDEX(배관기준!$AL$5:$AL$18,COUNTIF(배관기준!$AK$5:$AK$18,"&lt;"&amp;A25)+1),"")</f>
        <v/>
      </c>
      <c r="P25" s="17" t="n">
        <f aca="false">SUMIFS(배관ARGON!$O$7:$O$21,배관ARGON!$B$7:$B$21,A25)</f>
        <v>0</v>
      </c>
      <c r="Q25" s="17" t="n">
        <f aca="false">ROUNDUP(SUMIFS(배관기본물량!$R$7:$R$126,배관기본물량!$I$7:$I$126,$A25,배관기본물량!$B$7:$B$126,"설치",배관기본물량!$G$7:$G$126,"PIPE",배관기본물량!$S$7:$S$126,"Y"),0)</f>
        <v>0</v>
      </c>
      <c r="R25" s="18" t="n">
        <f aca="false">IFERROR(Q25*INDEX(제작기준!$G$5:$G$400,MATCH("PIPE|"&amp;A25&amp;"A",제작기준!$I$5:$I$400,0)),0)</f>
        <v>0</v>
      </c>
      <c r="S25" s="15" t="n">
        <f aca="false">SUMIFS(배관기본물량!$R$7:$R$126,배관기본물량!$I$7:$I$126,$A25,배관기본물량!$B$7:$B$126,"설치",배관기본물량!$G$7:$G$126,"PIPE",배관기본물량!$X$7:$X$126,"○")</f>
        <v>0</v>
      </c>
      <c r="T25" s="15" t="n">
        <f aca="false">SUMIFS(배관기본물량!$R$7:$R$126,배관기본물량!$I$7:$I$126,$A25,배관기본물량!$B$7:$B$126,"설치",배관기본물량!$G$7:$G$126,"PIPE",배관기본물량!$W$7:$W$126,"○")</f>
        <v>0</v>
      </c>
      <c r="U25" s="8" t="n">
        <f aca="false">SUMIFS(배관기본물량!$P$7:$P$126,배관기본물량!$I$7:$I$126,$A25,배관기본물량!$B$7:$B$126,"설치",배관기본물량!$Y$7:$Y$126,"○")/1000</f>
        <v>0</v>
      </c>
      <c r="V25" s="8" t="n">
        <f aca="false">SUMIFS(배관기본물량!$P$7:$P$126,배관기본물량!$I$7:$I$126,$A25,배관기본물량!$B$7:$B$126,"설치",배관기본물량!$Z$7:$Z$126,"○")/1000</f>
        <v>0</v>
      </c>
      <c r="W25" s="17" t="n">
        <f aca="false">IFERROR(PI()/4*(INDEX(배관기준!$B$5:$B$39,MATCH($A25,배관기준!$A$5:$A$39,0))^2-4*INDEX(배관단중표!$B$7:$W$41,MATCH($A25,배관단중표!$A$7:$A$41,0),MATCH("SPPS|SCH40",배관단중표!$B$6:$W$6,0))/(PI()*제작기준!$L$8/1000))/INDEX(배관단중표!$B$7:$W$41,MATCH($A25,배관단중표!$A$7:$A$41,0),MATCH("SPPS|SCH40",배관단중표!$B$6:$W$6,0)),0)</f>
        <v>925.789258214278</v>
      </c>
      <c r="X25" s="15" t="n">
        <f aca="false">V25*W25</f>
        <v>0</v>
      </c>
      <c r="Y25" s="15" t="n">
        <f aca="false">SUMIFS(배관기본물량!$R$7:$R$126,배관기본물량!$I$7:$I$126,$A25,배관기본물량!$B$7:$B$126,"설치",배관기본물량!$G$7:$G$126,"PIPE",배관기본물량!$S$7:$S$126,"Y",배관기본물량!$Y$7:$Y$126,"○")</f>
        <v>0</v>
      </c>
      <c r="Z25" s="18" t="n">
        <f aca="false">IFERROR(ROUNDUP(Y25,0)*INDEX(제작기준!$G$5:$G$400,MATCH("PIPE|"&amp;$A25&amp;"A",제작기준!$I$5:$I$400,0)),0)</f>
        <v>0</v>
      </c>
    </row>
    <row r="26" customFormat="false" ht="15" hidden="false" customHeight="true" outlineLevel="0" collapsed="false">
      <c r="A26" s="19" t="n">
        <v>400</v>
      </c>
      <c r="B26" s="15" t="n">
        <f aca="false">SUMIFS(배관기본물량!$R$7:$R$126,배관기본물량!$I$7:$I$126,$A26,배관기본물량!$B$7:$B$126,"설치")</f>
        <v>0</v>
      </c>
      <c r="C26" s="15" t="n">
        <f aca="false">SUMIFS(배관기본물량!$P$7:$P$126,배관기본물량!$I$7:$I$126,$A26,배관기본물량!$B$7:$B$126,"설치",배관기본물량!$G$7:$G$126,"PIPE")</f>
        <v>0</v>
      </c>
      <c r="D26" s="15" t="n">
        <f aca="false">SUMIFS(배관기본물량!$P$7:$P$126,배관기본물량!$I$7:$I$126,$A26,배관기본물량!$B$7:$B$126,"설치",배관기본물량!$G$7:$G$126,"FITTING")</f>
        <v>0</v>
      </c>
      <c r="E26" s="15" t="n">
        <f aca="false">SUMIFS(배관기본물량!$P$7:$P$126,배관기본물량!$I$7:$I$126,$A26,배관기본물량!$B$7:$B$126,"설치",배관기본물량!$G$7:$G$126,"VALVE")</f>
        <v>0</v>
      </c>
      <c r="F26" s="15" t="n">
        <f aca="false">SUMIFS(배관소재집계!$K$7:$K$126,배관기본물량!$I$7:$I$126,$A26,배관기본물량!$G$7:$G$126,"PIPE")</f>
        <v>0</v>
      </c>
      <c r="G26" s="15" t="n">
        <f aca="false">SUMIFS(배관소재집계!$K$7:$K$126,배관기본물량!$I$7:$I$126,$A26,배관기본물량!$G$7:$G$126,"FITTING")</f>
        <v>0</v>
      </c>
      <c r="H26" s="15" t="n">
        <f aca="false">((F26-C26)+(G26-D26)+(SUMIFS(배관소재집계!$K$7:$K$126,배관기본물량!$I$7:$I$126,$A26,배관기본물량!$G$7:$G$126,"VALVE")-E26))*제작기준!$L$7</f>
        <v>0</v>
      </c>
      <c r="I26" s="17" t="n">
        <f aca="false">IF(S26=0,0,ROUNDUP(S26/배관기준!$AG$7,0))</f>
        <v>0</v>
      </c>
      <c r="J26" s="36" t="n">
        <f aca="false">INDEX(배관기준!$Y$5:$Y$20,MATCH(A26,배관기준!$X$5:$X$20,1))</f>
        <v>6</v>
      </c>
      <c r="K26" s="89" t="n">
        <f aca="false">IF(A26&lt;=배관기준!$AG$13,0,배관기준!$AG$10)</f>
        <v>0.1</v>
      </c>
      <c r="L26" s="17" t="n">
        <f aca="false">ROUNDUP(I26*J26*K26,0)</f>
        <v>0</v>
      </c>
      <c r="M26" s="89" t="n">
        <f aca="false">IF(A26&lt;=배관기준!$AG$13,배관기준!$AG$14,0)</f>
        <v>0</v>
      </c>
      <c r="N26" s="18" t="n">
        <f aca="false">IFERROR(INDEX(배관기준!$B$5:$B$39,MATCH(A26,배관기준!$A$5:$A$39,0))*PI()/1000*I26*M26,0)</f>
        <v>0</v>
      </c>
      <c r="O26" s="34" t="str">
        <f aca="false">IFERROR(INDEX(배관기준!$AL$5:$AL$18,COUNTIF(배관기준!$AK$5:$AK$18,"&lt;"&amp;A26)+1),"")</f>
        <v/>
      </c>
      <c r="P26" s="17" t="n">
        <f aca="false">SUMIFS(배관ARGON!$O$7:$O$21,배관ARGON!$B$7:$B$21,A26)</f>
        <v>0</v>
      </c>
      <c r="Q26" s="17" t="n">
        <f aca="false">ROUNDUP(SUMIFS(배관기본물량!$R$7:$R$126,배관기본물량!$I$7:$I$126,$A26,배관기본물량!$B$7:$B$126,"설치",배관기본물량!$G$7:$G$126,"PIPE",배관기본물량!$S$7:$S$126,"Y"),0)</f>
        <v>0</v>
      </c>
      <c r="R26" s="18" t="n">
        <f aca="false">IFERROR(Q26*INDEX(제작기준!$G$5:$G$400,MATCH("PIPE|"&amp;A26&amp;"A",제작기준!$I$5:$I$400,0)),0)</f>
        <v>0</v>
      </c>
      <c r="S26" s="15" t="n">
        <f aca="false">SUMIFS(배관기본물량!$R$7:$R$126,배관기본물량!$I$7:$I$126,$A26,배관기본물량!$B$7:$B$126,"설치",배관기본물량!$G$7:$G$126,"PIPE",배관기본물량!$X$7:$X$126,"○")</f>
        <v>0</v>
      </c>
      <c r="T26" s="15" t="n">
        <f aca="false">SUMIFS(배관기본물량!$R$7:$R$126,배관기본물량!$I$7:$I$126,$A26,배관기본물량!$B$7:$B$126,"설치",배관기본물량!$G$7:$G$126,"PIPE",배관기본물량!$W$7:$W$126,"○")</f>
        <v>0</v>
      </c>
      <c r="U26" s="8" t="n">
        <f aca="false">SUMIFS(배관기본물량!$P$7:$P$126,배관기본물량!$I$7:$I$126,$A26,배관기본물량!$B$7:$B$126,"설치",배관기본물량!$Y$7:$Y$126,"○")/1000</f>
        <v>0</v>
      </c>
      <c r="V26" s="8" t="n">
        <f aca="false">SUMIFS(배관기본물량!$P$7:$P$126,배관기본물량!$I$7:$I$126,$A26,배관기본물량!$B$7:$B$126,"설치",배관기본물량!$Z$7:$Z$126,"○")/1000</f>
        <v>0</v>
      </c>
      <c r="W26" s="17" t="n">
        <f aca="false">IFERROR(PI()/4*(INDEX(배관기준!$B$5:$B$39,MATCH($A26,배관기준!$A$5:$A$39,0))^2-4*INDEX(배관단중표!$B$7:$W$41,MATCH($A26,배관단중표!$A$7:$A$41,0),MATCH("SPPS|SCH40",배관단중표!$B$6:$W$6,0))/(PI()*제작기준!$L$8/1000))/INDEX(배관단중표!$B$7:$W$41,MATCH($A26,배관단중표!$A$7:$A$41,0),MATCH("SPPS|SCH40",배관단중표!$B$6:$W$6,0)),0)</f>
        <v>927.222153171075</v>
      </c>
      <c r="X26" s="15" t="n">
        <f aca="false">V26*W26</f>
        <v>0</v>
      </c>
      <c r="Y26" s="15" t="n">
        <f aca="false">SUMIFS(배관기본물량!$R$7:$R$126,배관기본물량!$I$7:$I$126,$A26,배관기본물량!$B$7:$B$126,"설치",배관기본물량!$G$7:$G$126,"PIPE",배관기본물량!$S$7:$S$126,"Y",배관기본물량!$Y$7:$Y$126,"○")</f>
        <v>0</v>
      </c>
      <c r="Z26" s="18" t="n">
        <f aca="false">IFERROR(ROUNDUP(Y26,0)*INDEX(제작기준!$G$5:$G$400,MATCH("PIPE|"&amp;$A26&amp;"A",제작기준!$I$5:$I$400,0)),0)</f>
        <v>0</v>
      </c>
    </row>
    <row r="27" customFormat="false" ht="15" hidden="false" customHeight="true" outlineLevel="0" collapsed="false">
      <c r="A27" s="19" t="n">
        <v>450</v>
      </c>
      <c r="B27" s="15" t="n">
        <f aca="false">SUMIFS(배관기본물량!$R$7:$R$126,배관기본물량!$I$7:$I$126,$A27,배관기본물량!$B$7:$B$126,"설치")</f>
        <v>0</v>
      </c>
      <c r="C27" s="15" t="n">
        <f aca="false">SUMIFS(배관기본물량!$P$7:$P$126,배관기본물량!$I$7:$I$126,$A27,배관기본물량!$B$7:$B$126,"설치",배관기본물량!$G$7:$G$126,"PIPE")</f>
        <v>0</v>
      </c>
      <c r="D27" s="15" t="n">
        <f aca="false">SUMIFS(배관기본물량!$P$7:$P$126,배관기본물량!$I$7:$I$126,$A27,배관기본물량!$B$7:$B$126,"설치",배관기본물량!$G$7:$G$126,"FITTING")</f>
        <v>0</v>
      </c>
      <c r="E27" s="15" t="n">
        <f aca="false">SUMIFS(배관기본물량!$P$7:$P$126,배관기본물량!$I$7:$I$126,$A27,배관기본물량!$B$7:$B$126,"설치",배관기본물량!$G$7:$G$126,"VALVE")</f>
        <v>0</v>
      </c>
      <c r="F27" s="15" t="n">
        <f aca="false">SUMIFS(배관소재집계!$K$7:$K$126,배관기본물량!$I$7:$I$126,$A27,배관기본물량!$G$7:$G$126,"PIPE")</f>
        <v>0</v>
      </c>
      <c r="G27" s="15" t="n">
        <f aca="false">SUMIFS(배관소재집계!$K$7:$K$126,배관기본물량!$I$7:$I$126,$A27,배관기본물량!$G$7:$G$126,"FITTING")</f>
        <v>0</v>
      </c>
      <c r="H27" s="15" t="n">
        <f aca="false">((F27-C27)+(G27-D27)+(SUMIFS(배관소재집계!$K$7:$K$126,배관기본물량!$I$7:$I$126,$A27,배관기본물량!$G$7:$G$126,"VALVE")-E27))*제작기준!$L$7</f>
        <v>0</v>
      </c>
      <c r="I27" s="17" t="n">
        <f aca="false">IF(S27=0,0,ROUNDUP(S27/배관기준!$AG$7,0))</f>
        <v>0</v>
      </c>
      <c r="J27" s="36" t="n">
        <f aca="false">INDEX(배관기준!$Y$5:$Y$20,MATCH(A27,배관기준!$X$5:$X$20,1))</f>
        <v>6</v>
      </c>
      <c r="K27" s="89" t="n">
        <f aca="false">IF(A27&lt;=배관기준!$AG$13,0,배관기준!$AG$10)</f>
        <v>0.1</v>
      </c>
      <c r="L27" s="17" t="n">
        <f aca="false">ROUNDUP(I27*J27*K27,0)</f>
        <v>0</v>
      </c>
      <c r="M27" s="89" t="n">
        <f aca="false">IF(A27&lt;=배관기준!$AG$13,배관기준!$AG$14,0)</f>
        <v>0</v>
      </c>
      <c r="N27" s="18" t="n">
        <f aca="false">IFERROR(INDEX(배관기준!$B$5:$B$39,MATCH(A27,배관기준!$A$5:$A$39,0))*PI()/1000*I27*M27,0)</f>
        <v>0</v>
      </c>
      <c r="O27" s="34" t="str">
        <f aca="false">IFERROR(INDEX(배관기준!$AL$5:$AL$18,COUNTIF(배관기준!$AK$5:$AK$18,"&lt;"&amp;A27)+1),"")</f>
        <v/>
      </c>
      <c r="P27" s="17" t="n">
        <f aca="false">SUMIFS(배관ARGON!$O$7:$O$21,배관ARGON!$B$7:$B$21,A27)</f>
        <v>0</v>
      </c>
      <c r="Q27" s="17" t="n">
        <f aca="false">ROUNDUP(SUMIFS(배관기본물량!$R$7:$R$126,배관기본물량!$I$7:$I$126,$A27,배관기본물량!$B$7:$B$126,"설치",배관기본물량!$G$7:$G$126,"PIPE",배관기본물량!$S$7:$S$126,"Y"),0)</f>
        <v>0</v>
      </c>
      <c r="R27" s="18" t="n">
        <f aca="false">IFERROR(Q27*INDEX(제작기준!$G$5:$G$400,MATCH("PIPE|"&amp;A27&amp;"A",제작기준!$I$5:$I$400,0)),0)</f>
        <v>0</v>
      </c>
      <c r="S27" s="15" t="n">
        <f aca="false">SUMIFS(배관기본물량!$R$7:$R$126,배관기본물량!$I$7:$I$126,$A27,배관기본물량!$B$7:$B$126,"설치",배관기본물량!$G$7:$G$126,"PIPE",배관기본물량!$X$7:$X$126,"○")</f>
        <v>0</v>
      </c>
      <c r="T27" s="15" t="n">
        <f aca="false">SUMIFS(배관기본물량!$R$7:$R$126,배관기본물량!$I$7:$I$126,$A27,배관기본물량!$B$7:$B$126,"설치",배관기본물량!$G$7:$G$126,"PIPE",배관기본물량!$W$7:$W$126,"○")</f>
        <v>0</v>
      </c>
      <c r="U27" s="8" t="n">
        <f aca="false">SUMIFS(배관기본물량!$P$7:$P$126,배관기본물량!$I$7:$I$126,$A27,배관기본물량!$B$7:$B$126,"설치",배관기본물량!$Y$7:$Y$126,"○")/1000</f>
        <v>0</v>
      </c>
      <c r="V27" s="8" t="n">
        <f aca="false">SUMIFS(배관기본물량!$P$7:$P$126,배관기본물량!$I$7:$I$126,$A27,배관기본물량!$B$7:$B$126,"설치",배관기본물량!$Z$7:$Z$126,"○")/1000</f>
        <v>0</v>
      </c>
      <c r="W27" s="17" t="n">
        <f aca="false">IFERROR(PI()/4*(INDEX(배관기준!$B$5:$B$39,MATCH($A27,배관기준!$A$5:$A$39,0))^2-4*INDEX(배관단중표!$B$7:$W$41,MATCH($A27,배관단중표!$A$7:$A$41,0),MATCH("SPPS|SCH40",배관단중표!$B$6:$W$6,0))/(PI()*제작기준!$L$8/1000))/INDEX(배관단중표!$B$7:$W$41,MATCH($A27,배관단중표!$A$7:$A$41,0),MATCH("SPPS|SCH40",배관단중표!$B$6:$W$6,0)),0)</f>
        <v>925.003921555264</v>
      </c>
      <c r="X27" s="15" t="n">
        <f aca="false">V27*W27</f>
        <v>0</v>
      </c>
      <c r="Y27" s="15" t="n">
        <f aca="false">SUMIFS(배관기본물량!$R$7:$R$126,배관기본물량!$I$7:$I$126,$A27,배관기본물량!$B$7:$B$126,"설치",배관기본물량!$G$7:$G$126,"PIPE",배관기본물량!$S$7:$S$126,"Y",배관기본물량!$Y$7:$Y$126,"○")</f>
        <v>0</v>
      </c>
      <c r="Z27" s="18" t="n">
        <f aca="false">IFERROR(ROUNDUP(Y27,0)*INDEX(제작기준!$G$5:$G$400,MATCH("PIPE|"&amp;$A27&amp;"A",제작기준!$I$5:$I$400,0)),0)</f>
        <v>0</v>
      </c>
    </row>
    <row r="28" customFormat="false" ht="15" hidden="false" customHeight="true" outlineLevel="0" collapsed="false">
      <c r="A28" s="19" t="n">
        <v>500</v>
      </c>
      <c r="B28" s="15" t="n">
        <f aca="false">SUMIFS(배관기본물량!$R$7:$R$126,배관기본물량!$I$7:$I$126,$A28,배관기본물량!$B$7:$B$126,"설치")</f>
        <v>0</v>
      </c>
      <c r="C28" s="15" t="n">
        <f aca="false">SUMIFS(배관기본물량!$P$7:$P$126,배관기본물량!$I$7:$I$126,$A28,배관기본물량!$B$7:$B$126,"설치",배관기본물량!$G$7:$G$126,"PIPE")</f>
        <v>0</v>
      </c>
      <c r="D28" s="15" t="n">
        <f aca="false">SUMIFS(배관기본물량!$P$7:$P$126,배관기본물량!$I$7:$I$126,$A28,배관기본물량!$B$7:$B$126,"설치",배관기본물량!$G$7:$G$126,"FITTING")</f>
        <v>0</v>
      </c>
      <c r="E28" s="15" t="n">
        <f aca="false">SUMIFS(배관기본물량!$P$7:$P$126,배관기본물량!$I$7:$I$126,$A28,배관기본물량!$B$7:$B$126,"설치",배관기본물량!$G$7:$G$126,"VALVE")</f>
        <v>0</v>
      </c>
      <c r="F28" s="15" t="n">
        <f aca="false">SUMIFS(배관소재집계!$K$7:$K$126,배관기본물량!$I$7:$I$126,$A28,배관기본물량!$G$7:$G$126,"PIPE")</f>
        <v>0</v>
      </c>
      <c r="G28" s="15" t="n">
        <f aca="false">SUMIFS(배관소재집계!$K$7:$K$126,배관기본물량!$I$7:$I$126,$A28,배관기본물량!$G$7:$G$126,"FITTING")</f>
        <v>0</v>
      </c>
      <c r="H28" s="15" t="n">
        <f aca="false">((F28-C28)+(G28-D28)+(SUMIFS(배관소재집계!$K$7:$K$126,배관기본물량!$I$7:$I$126,$A28,배관기본물량!$G$7:$G$126,"VALVE")-E28))*제작기준!$L$7</f>
        <v>0</v>
      </c>
      <c r="I28" s="17" t="n">
        <f aca="false">IF(S28=0,0,ROUNDUP(S28/배관기준!$AG$7,0))</f>
        <v>0</v>
      </c>
      <c r="J28" s="36" t="n">
        <f aca="false">INDEX(배관기준!$Y$5:$Y$20,MATCH(A28,배관기준!$X$5:$X$20,1))</f>
        <v>7</v>
      </c>
      <c r="K28" s="89" t="n">
        <f aca="false">IF(A28&lt;=배관기준!$AG$13,0,배관기준!$AG$10)</f>
        <v>0.1</v>
      </c>
      <c r="L28" s="17" t="n">
        <f aca="false">ROUNDUP(I28*J28*K28,0)</f>
        <v>0</v>
      </c>
      <c r="M28" s="89" t="n">
        <f aca="false">IF(A28&lt;=배관기준!$AG$13,배관기준!$AG$14,0)</f>
        <v>0</v>
      </c>
      <c r="N28" s="18" t="n">
        <f aca="false">IFERROR(INDEX(배관기준!$B$5:$B$39,MATCH(A28,배관기준!$A$5:$A$39,0))*PI()/1000*I28*M28,0)</f>
        <v>0</v>
      </c>
      <c r="O28" s="34" t="str">
        <f aca="false">IFERROR(INDEX(배관기준!$AL$5:$AL$18,COUNTIF(배관기준!$AK$5:$AK$18,"&lt;"&amp;A28)+1),"")</f>
        <v/>
      </c>
      <c r="P28" s="17" t="n">
        <f aca="false">SUMIFS(배관ARGON!$O$7:$O$21,배관ARGON!$B$7:$B$21,A28)</f>
        <v>0</v>
      </c>
      <c r="Q28" s="17" t="n">
        <f aca="false">ROUNDUP(SUMIFS(배관기본물량!$R$7:$R$126,배관기본물량!$I$7:$I$126,$A28,배관기본물량!$B$7:$B$126,"설치",배관기본물량!$G$7:$G$126,"PIPE",배관기본물량!$S$7:$S$126,"Y"),0)</f>
        <v>0</v>
      </c>
      <c r="R28" s="18" t="n">
        <f aca="false">IFERROR(Q28*INDEX(제작기준!$G$5:$G$400,MATCH("PIPE|"&amp;A28&amp;"A",제작기준!$I$5:$I$400,0)),0)</f>
        <v>0</v>
      </c>
      <c r="S28" s="15" t="n">
        <f aca="false">SUMIFS(배관기본물량!$R$7:$R$126,배관기본물량!$I$7:$I$126,$A28,배관기본물량!$B$7:$B$126,"설치",배관기본물량!$G$7:$G$126,"PIPE",배관기본물량!$X$7:$X$126,"○")</f>
        <v>0</v>
      </c>
      <c r="T28" s="15" t="n">
        <f aca="false">SUMIFS(배관기본물량!$R$7:$R$126,배관기본물량!$I$7:$I$126,$A28,배관기본물량!$B$7:$B$126,"설치",배관기본물량!$G$7:$G$126,"PIPE",배관기본물량!$W$7:$W$126,"○")</f>
        <v>0</v>
      </c>
      <c r="U28" s="8" t="n">
        <f aca="false">SUMIFS(배관기본물량!$P$7:$P$126,배관기본물량!$I$7:$I$126,$A28,배관기본물량!$B$7:$B$126,"설치",배관기본물량!$Y$7:$Y$126,"○")/1000</f>
        <v>0</v>
      </c>
      <c r="V28" s="8" t="n">
        <f aca="false">SUMIFS(배관기본물량!$P$7:$P$126,배관기본물량!$I$7:$I$126,$A28,배관기본물량!$B$7:$B$126,"설치",배관기본물량!$Z$7:$Z$126,"○")/1000</f>
        <v>0</v>
      </c>
      <c r="W28" s="17" t="n">
        <f aca="false">IFERROR(PI()/4*(INDEX(배관기준!$B$5:$B$39,MATCH($A28,배관기준!$A$5:$A$39,0))^2-4*INDEX(배관단중표!$B$7:$W$41,MATCH($A28,배관단중표!$A$7:$A$41,0),MATCH("SPPS|SCH40",배관단중표!$B$6:$W$6,0))/(PI()*제작기준!$L$8/1000))/INDEX(배관단중표!$B$7:$W$41,MATCH($A28,배관단중표!$A$7:$A$41,0),MATCH("SPPS|SCH40",배관단중표!$B$6:$W$6,0)),0)</f>
        <v>974.149463006191</v>
      </c>
      <c r="X28" s="15" t="n">
        <f aca="false">V28*W28</f>
        <v>0</v>
      </c>
      <c r="Y28" s="15" t="n">
        <f aca="false">SUMIFS(배관기본물량!$R$7:$R$126,배관기본물량!$I$7:$I$126,$A28,배관기본물량!$B$7:$B$126,"설치",배관기본물량!$G$7:$G$126,"PIPE",배관기본물량!$S$7:$S$126,"Y",배관기본물량!$Y$7:$Y$126,"○")</f>
        <v>0</v>
      </c>
      <c r="Z28" s="18" t="n">
        <f aca="false">IFERROR(ROUNDUP(Y28,0)*INDEX(제작기준!$G$5:$G$400,MATCH("PIPE|"&amp;$A28&amp;"A",제작기준!$I$5:$I$400,0)),0)</f>
        <v>0</v>
      </c>
    </row>
    <row r="29" customFormat="false" ht="15" hidden="false" customHeight="true" outlineLevel="0" collapsed="false">
      <c r="A29" s="19" t="n">
        <v>550</v>
      </c>
      <c r="B29" s="15" t="n">
        <f aca="false">SUMIFS(배관기본물량!$R$7:$R$126,배관기본물량!$I$7:$I$126,$A29,배관기본물량!$B$7:$B$126,"설치")</f>
        <v>0</v>
      </c>
      <c r="C29" s="15" t="n">
        <f aca="false">SUMIFS(배관기본물량!$P$7:$P$126,배관기본물량!$I$7:$I$126,$A29,배관기본물량!$B$7:$B$126,"설치",배관기본물량!$G$7:$G$126,"PIPE")</f>
        <v>0</v>
      </c>
      <c r="D29" s="15" t="n">
        <f aca="false">SUMIFS(배관기본물량!$P$7:$P$126,배관기본물량!$I$7:$I$126,$A29,배관기본물량!$B$7:$B$126,"설치",배관기본물량!$G$7:$G$126,"FITTING")</f>
        <v>0</v>
      </c>
      <c r="E29" s="15" t="n">
        <f aca="false">SUMIFS(배관기본물량!$P$7:$P$126,배관기본물량!$I$7:$I$126,$A29,배관기본물량!$B$7:$B$126,"설치",배관기본물량!$G$7:$G$126,"VALVE")</f>
        <v>0</v>
      </c>
      <c r="F29" s="15" t="n">
        <f aca="false">SUMIFS(배관소재집계!$K$7:$K$126,배관기본물량!$I$7:$I$126,$A29,배관기본물량!$G$7:$G$126,"PIPE")</f>
        <v>0</v>
      </c>
      <c r="G29" s="15" t="n">
        <f aca="false">SUMIFS(배관소재집계!$K$7:$K$126,배관기본물량!$I$7:$I$126,$A29,배관기본물량!$G$7:$G$126,"FITTING")</f>
        <v>0</v>
      </c>
      <c r="H29" s="15" t="n">
        <f aca="false">((F29-C29)+(G29-D29)+(SUMIFS(배관소재집계!$K$7:$K$126,배관기본물량!$I$7:$I$126,$A29,배관기본물량!$G$7:$G$126,"VALVE")-E29))*제작기준!$L$7</f>
        <v>0</v>
      </c>
      <c r="I29" s="17" t="n">
        <f aca="false">IF(S29=0,0,ROUNDUP(S29/배관기준!$AG$7,0))</f>
        <v>0</v>
      </c>
      <c r="J29" s="36" t="n">
        <f aca="false">INDEX(배관기준!$Y$5:$Y$20,MATCH(A29,배관기준!$X$5:$X$20,1))</f>
        <v>7</v>
      </c>
      <c r="K29" s="89" t="n">
        <f aca="false">IF(A29&lt;=배관기준!$AG$13,0,배관기준!$AG$10)</f>
        <v>0.1</v>
      </c>
      <c r="L29" s="17" t="n">
        <f aca="false">ROUNDUP(I29*J29*K29,0)</f>
        <v>0</v>
      </c>
      <c r="M29" s="89" t="n">
        <f aca="false">IF(A29&lt;=배관기준!$AG$13,배관기준!$AG$14,0)</f>
        <v>0</v>
      </c>
      <c r="N29" s="18" t="n">
        <f aca="false">IFERROR(INDEX(배관기준!$B$5:$B$39,MATCH(A29,배관기준!$A$5:$A$39,0))*PI()/1000*I29*M29,0)</f>
        <v>0</v>
      </c>
      <c r="O29" s="34" t="str">
        <f aca="false">IFERROR(INDEX(배관기준!$AL$5:$AL$18,COUNTIF(배관기준!$AK$5:$AK$18,"&lt;"&amp;A29)+1),"")</f>
        <v/>
      </c>
      <c r="P29" s="17" t="n">
        <f aca="false">SUMIFS(배관ARGON!$O$7:$O$21,배관ARGON!$B$7:$B$21,A29)</f>
        <v>0</v>
      </c>
      <c r="Q29" s="17" t="n">
        <f aca="false">ROUNDUP(SUMIFS(배관기본물량!$R$7:$R$126,배관기본물량!$I$7:$I$126,$A29,배관기본물량!$B$7:$B$126,"설치",배관기본물량!$G$7:$G$126,"PIPE",배관기본물량!$S$7:$S$126,"Y"),0)</f>
        <v>0</v>
      </c>
      <c r="R29" s="18" t="n">
        <f aca="false">IFERROR(Q29*INDEX(제작기준!$G$5:$G$400,MATCH("PIPE|"&amp;A29&amp;"A",제작기준!$I$5:$I$400,0)),0)</f>
        <v>0</v>
      </c>
      <c r="S29" s="15" t="n">
        <f aca="false">SUMIFS(배관기본물량!$R$7:$R$126,배관기본물량!$I$7:$I$126,$A29,배관기본물량!$B$7:$B$126,"설치",배관기본물량!$G$7:$G$126,"PIPE",배관기본물량!$X$7:$X$126,"○")</f>
        <v>0</v>
      </c>
      <c r="T29" s="15" t="n">
        <f aca="false">SUMIFS(배관기본물량!$R$7:$R$126,배관기본물량!$I$7:$I$126,$A29,배관기본물량!$B$7:$B$126,"설치",배관기본물량!$G$7:$G$126,"PIPE",배관기본물량!$W$7:$W$126,"○")</f>
        <v>0</v>
      </c>
      <c r="U29" s="8" t="n">
        <f aca="false">SUMIFS(배관기본물량!$P$7:$P$126,배관기본물량!$I$7:$I$126,$A29,배관기본물량!$B$7:$B$126,"설치",배관기본물량!$Y$7:$Y$126,"○")/1000</f>
        <v>0</v>
      </c>
      <c r="V29" s="8" t="n">
        <f aca="false">SUMIFS(배관기본물량!$P$7:$P$126,배관기본물량!$I$7:$I$126,$A29,배관기본물량!$B$7:$B$126,"설치",배관기본물량!$Z$7:$Z$126,"○")/1000</f>
        <v>0</v>
      </c>
      <c r="W29" s="17" t="n">
        <f aca="false">IFERROR(PI()/4*(INDEX(배관기준!$B$5:$B$39,MATCH($A29,배관기준!$A$5:$A$39,0))^2-4*INDEX(배관단중표!$B$7:$W$41,MATCH($A29,배관단중표!$A$7:$A$41,0),MATCH("SPPS|SCH40",배관단중표!$B$6:$W$6,0))/(PI()*제작기준!$L$8/1000))/INDEX(배관단중표!$B$7:$W$41,MATCH($A29,배관단중표!$A$7:$A$41,0),MATCH("SPPS|SCH40",배관단중표!$B$6:$W$6,0)),0)</f>
        <v>1024.00310761223</v>
      </c>
      <c r="X29" s="15" t="n">
        <f aca="false">V29*W29</f>
        <v>0</v>
      </c>
      <c r="Y29" s="15" t="n">
        <f aca="false">SUMIFS(배관기본물량!$R$7:$R$126,배관기본물량!$I$7:$I$126,$A29,배관기본물량!$B$7:$B$126,"설치",배관기본물량!$G$7:$G$126,"PIPE",배관기본물량!$S$7:$S$126,"Y",배관기본물량!$Y$7:$Y$126,"○")</f>
        <v>0</v>
      </c>
      <c r="Z29" s="18" t="n">
        <f aca="false">IFERROR(ROUNDUP(Y29,0)*INDEX(제작기준!$G$5:$G$400,MATCH("PIPE|"&amp;$A29&amp;"A",제작기준!$I$5:$I$400,0)),0)</f>
        <v>0</v>
      </c>
    </row>
    <row r="30" customFormat="false" ht="15" hidden="false" customHeight="true" outlineLevel="0" collapsed="false">
      <c r="A30" s="19" t="n">
        <v>600</v>
      </c>
      <c r="B30" s="15" t="n">
        <f aca="false">SUMIFS(배관기본물량!$R$7:$R$126,배관기본물량!$I$7:$I$126,$A30,배관기본물량!$B$7:$B$126,"설치")</f>
        <v>0</v>
      </c>
      <c r="C30" s="15" t="n">
        <f aca="false">SUMIFS(배관기본물량!$P$7:$P$126,배관기본물량!$I$7:$I$126,$A30,배관기본물량!$B$7:$B$126,"설치",배관기본물량!$G$7:$G$126,"PIPE")</f>
        <v>0</v>
      </c>
      <c r="D30" s="15" t="n">
        <f aca="false">SUMIFS(배관기본물량!$P$7:$P$126,배관기본물량!$I$7:$I$126,$A30,배관기본물량!$B$7:$B$126,"설치",배관기본물량!$G$7:$G$126,"FITTING")</f>
        <v>0</v>
      </c>
      <c r="E30" s="15" t="n">
        <f aca="false">SUMIFS(배관기본물량!$P$7:$P$126,배관기본물량!$I$7:$I$126,$A30,배관기본물량!$B$7:$B$126,"설치",배관기본물량!$G$7:$G$126,"VALVE")</f>
        <v>0</v>
      </c>
      <c r="F30" s="15" t="n">
        <f aca="false">SUMIFS(배관소재집계!$K$7:$K$126,배관기본물량!$I$7:$I$126,$A30,배관기본물량!$G$7:$G$126,"PIPE")</f>
        <v>0</v>
      </c>
      <c r="G30" s="15" t="n">
        <f aca="false">SUMIFS(배관소재집계!$K$7:$K$126,배관기본물량!$I$7:$I$126,$A30,배관기본물량!$G$7:$G$126,"FITTING")</f>
        <v>0</v>
      </c>
      <c r="H30" s="15" t="n">
        <f aca="false">((F30-C30)+(G30-D30)+(SUMIFS(배관소재집계!$K$7:$K$126,배관기본물량!$I$7:$I$126,$A30,배관기본물량!$G$7:$G$126,"VALVE")-E30))*제작기준!$L$7</f>
        <v>0</v>
      </c>
      <c r="I30" s="17" t="n">
        <f aca="false">IF(S30=0,0,ROUNDUP(S30/배관기준!$AG$7,0))</f>
        <v>0</v>
      </c>
      <c r="J30" s="36" t="n">
        <f aca="false">INDEX(배관기준!$Y$5:$Y$20,MATCH(A30,배관기준!$X$5:$X$20,1))</f>
        <v>8</v>
      </c>
      <c r="K30" s="89" t="n">
        <f aca="false">IF(A30&lt;=배관기준!$AG$13,0,배관기준!$AG$10)</f>
        <v>0.1</v>
      </c>
      <c r="L30" s="17" t="n">
        <f aca="false">ROUNDUP(I30*J30*K30,0)</f>
        <v>0</v>
      </c>
      <c r="M30" s="89" t="n">
        <f aca="false">IF(A30&lt;=배관기준!$AG$13,배관기준!$AG$14,0)</f>
        <v>0</v>
      </c>
      <c r="N30" s="18" t="n">
        <f aca="false">IFERROR(INDEX(배관기준!$B$5:$B$39,MATCH(A30,배관기준!$A$5:$A$39,0))*PI()/1000*I30*M30,0)</f>
        <v>0</v>
      </c>
      <c r="O30" s="34" t="str">
        <f aca="false">IFERROR(INDEX(배관기준!$AL$5:$AL$18,COUNTIF(배관기준!$AK$5:$AK$18,"&lt;"&amp;A30)+1),"")</f>
        <v/>
      </c>
      <c r="P30" s="17" t="n">
        <f aca="false">SUMIFS(배관ARGON!$O$7:$O$21,배관ARGON!$B$7:$B$21,A30)</f>
        <v>0</v>
      </c>
      <c r="Q30" s="17" t="n">
        <f aca="false">ROUNDUP(SUMIFS(배관기본물량!$R$7:$R$126,배관기본물량!$I$7:$I$126,$A30,배관기본물량!$B$7:$B$126,"설치",배관기본물량!$G$7:$G$126,"PIPE",배관기본물량!$S$7:$S$126,"Y"),0)</f>
        <v>0</v>
      </c>
      <c r="R30" s="18" t="n">
        <f aca="false">IFERROR(Q30*INDEX(제작기준!$G$5:$G$400,MATCH("PIPE|"&amp;A30&amp;"A",제작기준!$I$5:$I$400,0)),0)</f>
        <v>0</v>
      </c>
      <c r="S30" s="15" t="n">
        <f aca="false">SUMIFS(배관기본물량!$R$7:$R$126,배관기본물량!$I$7:$I$126,$A30,배관기본물량!$B$7:$B$126,"설치",배관기본물량!$G$7:$G$126,"PIPE",배관기본물량!$X$7:$X$126,"○")</f>
        <v>0</v>
      </c>
      <c r="T30" s="15" t="n">
        <f aca="false">SUMIFS(배관기본물량!$R$7:$R$126,배관기본물량!$I$7:$I$126,$A30,배관기본물량!$B$7:$B$126,"설치",배관기본물량!$G$7:$G$126,"PIPE",배관기본물량!$W$7:$W$126,"○")</f>
        <v>0</v>
      </c>
      <c r="U30" s="8" t="n">
        <f aca="false">SUMIFS(배관기본물량!$P$7:$P$126,배관기본물량!$I$7:$I$126,$A30,배관기본물량!$B$7:$B$126,"설치",배관기본물량!$Y$7:$Y$126,"○")/1000</f>
        <v>0</v>
      </c>
      <c r="V30" s="8" t="n">
        <f aca="false">SUMIFS(배관기본물량!$P$7:$P$126,배관기본물량!$I$7:$I$126,$A30,배관기본물량!$B$7:$B$126,"설치",배관기본물량!$Z$7:$Z$126,"○")/1000</f>
        <v>0</v>
      </c>
      <c r="W30" s="17" t="n">
        <f aca="false">IFERROR(PI()/4*(INDEX(배관기준!$B$5:$B$39,MATCH($A30,배관기준!$A$5:$A$39,0))^2-4*INDEX(배관단중표!$B$7:$W$41,MATCH($A30,배관단중표!$A$7:$A$41,0),MATCH("SPPS|SCH40",배관단중표!$B$6:$W$6,0))/(PI()*제작기준!$L$8/1000))/INDEX(배관단중표!$B$7:$W$41,MATCH($A30,배관단중표!$A$7:$A$41,0),MATCH("SPPS|SCH40",배관단중표!$B$6:$W$6,0)),0)</f>
        <v>1012.70329293752</v>
      </c>
      <c r="X30" s="15" t="n">
        <f aca="false">V30*W30</f>
        <v>0</v>
      </c>
      <c r="Y30" s="15" t="n">
        <f aca="false">SUMIFS(배관기본물량!$R$7:$R$126,배관기본물량!$I$7:$I$126,$A30,배관기본물량!$B$7:$B$126,"설치",배관기본물량!$G$7:$G$126,"PIPE",배관기본물량!$S$7:$S$126,"Y",배관기본물량!$Y$7:$Y$126,"○")</f>
        <v>0</v>
      </c>
      <c r="Z30" s="18" t="n">
        <f aca="false">IFERROR(ROUNDUP(Y30,0)*INDEX(제작기준!$G$5:$G$400,MATCH("PIPE|"&amp;$A30&amp;"A",제작기준!$I$5:$I$400,0)),0)</f>
        <v>0</v>
      </c>
    </row>
    <row r="31" customFormat="false" ht="15" hidden="false" customHeight="true" outlineLevel="0" collapsed="false">
      <c r="A31" s="19" t="n">
        <v>650</v>
      </c>
      <c r="B31" s="15" t="n">
        <f aca="false">SUMIFS(배관기본물량!$R$7:$R$126,배관기본물량!$I$7:$I$126,$A31,배관기본물량!$B$7:$B$126,"설치")</f>
        <v>0</v>
      </c>
      <c r="C31" s="15" t="n">
        <f aca="false">SUMIFS(배관기본물량!$P$7:$P$126,배관기본물량!$I$7:$I$126,$A31,배관기본물량!$B$7:$B$126,"설치",배관기본물량!$G$7:$G$126,"PIPE")</f>
        <v>0</v>
      </c>
      <c r="D31" s="15" t="n">
        <f aca="false">SUMIFS(배관기본물량!$P$7:$P$126,배관기본물량!$I$7:$I$126,$A31,배관기본물량!$B$7:$B$126,"설치",배관기본물량!$G$7:$G$126,"FITTING")</f>
        <v>0</v>
      </c>
      <c r="E31" s="15" t="n">
        <f aca="false">SUMIFS(배관기본물량!$P$7:$P$126,배관기본물량!$I$7:$I$126,$A31,배관기본물량!$B$7:$B$126,"설치",배관기본물량!$G$7:$G$126,"VALVE")</f>
        <v>0</v>
      </c>
      <c r="F31" s="15" t="n">
        <f aca="false">SUMIFS(배관소재집계!$K$7:$K$126,배관기본물량!$I$7:$I$126,$A31,배관기본물량!$G$7:$G$126,"PIPE")</f>
        <v>0</v>
      </c>
      <c r="G31" s="15" t="n">
        <f aca="false">SUMIFS(배관소재집계!$K$7:$K$126,배관기본물량!$I$7:$I$126,$A31,배관기본물량!$G$7:$G$126,"FITTING")</f>
        <v>0</v>
      </c>
      <c r="H31" s="15" t="n">
        <f aca="false">((F31-C31)+(G31-D31)+(SUMIFS(배관소재집계!$K$7:$K$126,배관기본물량!$I$7:$I$126,$A31,배관기본물량!$G$7:$G$126,"VALVE")-E31))*제작기준!$L$7</f>
        <v>0</v>
      </c>
      <c r="I31" s="17" t="n">
        <f aca="false">IF(S31=0,0,ROUNDUP(S31/배관기준!$AG$7,0))</f>
        <v>0</v>
      </c>
      <c r="J31" s="36" t="n">
        <f aca="false">INDEX(배관기준!$Y$5:$Y$20,MATCH(A31,배관기준!$X$5:$X$20,1))</f>
        <v>9</v>
      </c>
      <c r="K31" s="89" t="n">
        <f aca="false">IF(A31&lt;=배관기준!$AG$13,0,배관기준!$AG$10)</f>
        <v>0.1</v>
      </c>
      <c r="L31" s="17" t="n">
        <f aca="false">ROUNDUP(I31*J31*K31,0)</f>
        <v>0</v>
      </c>
      <c r="M31" s="89" t="n">
        <f aca="false">IF(A31&lt;=배관기준!$AG$13,배관기준!$AG$14,0)</f>
        <v>0</v>
      </c>
      <c r="N31" s="18" t="n">
        <f aca="false">IFERROR(INDEX(배관기준!$B$5:$B$39,MATCH(A31,배관기준!$A$5:$A$39,0))*PI()/1000*I31*M31,0)</f>
        <v>0</v>
      </c>
      <c r="O31" s="34" t="str">
        <f aca="false">IFERROR(INDEX(배관기준!$AL$5:$AL$18,COUNTIF(배관기준!$AK$5:$AK$18,"&lt;"&amp;A31)+1),"")</f>
        <v/>
      </c>
      <c r="P31" s="17" t="n">
        <f aca="false">SUMIFS(배관ARGON!$O$7:$O$21,배관ARGON!$B$7:$B$21,A31)</f>
        <v>0</v>
      </c>
      <c r="Q31" s="17" t="n">
        <f aca="false">ROUNDUP(SUMIFS(배관기본물량!$R$7:$R$126,배관기본물량!$I$7:$I$126,$A31,배관기본물량!$B$7:$B$126,"설치",배관기본물량!$G$7:$G$126,"PIPE",배관기본물량!$S$7:$S$126,"Y"),0)</f>
        <v>0</v>
      </c>
      <c r="R31" s="18" t="n">
        <f aca="false">IFERROR(Q31*INDEX(제작기준!$G$5:$G$400,MATCH("PIPE|"&amp;A31&amp;"A",제작기준!$I$5:$I$400,0)),0)</f>
        <v>0</v>
      </c>
      <c r="S31" s="15" t="n">
        <f aca="false">SUMIFS(배관기본물량!$R$7:$R$126,배관기본물량!$I$7:$I$126,$A31,배관기본물량!$B$7:$B$126,"설치",배관기본물량!$G$7:$G$126,"PIPE",배관기본물량!$X$7:$X$126,"○")</f>
        <v>0</v>
      </c>
      <c r="T31" s="15" t="n">
        <f aca="false">SUMIFS(배관기본물량!$R$7:$R$126,배관기본물량!$I$7:$I$126,$A31,배관기본물량!$B$7:$B$126,"설치",배관기본물량!$G$7:$G$126,"PIPE",배관기본물량!$W$7:$W$126,"○")</f>
        <v>0</v>
      </c>
      <c r="U31" s="8" t="n">
        <f aca="false">SUMIFS(배관기본물량!$P$7:$P$126,배관기본물량!$I$7:$I$126,$A31,배관기본물량!$B$7:$B$126,"설치",배관기본물량!$Y$7:$Y$126,"○")/1000</f>
        <v>0</v>
      </c>
      <c r="V31" s="8" t="n">
        <f aca="false">SUMIFS(배관기본물량!$P$7:$P$126,배관기본물량!$I$7:$I$126,$A31,배관기본물량!$B$7:$B$126,"설치",배관기본물량!$Z$7:$Z$126,"○")/1000</f>
        <v>0</v>
      </c>
      <c r="W31" s="17" t="n">
        <f aca="false">IFERROR(PI()/4*(INDEX(배관기준!$B$5:$B$39,MATCH($A31,배관기준!$A$5:$A$39,0))^2-4*INDEX(배관단중표!$B$7:$W$41,MATCH($A31,배관단중표!$A$7:$A$41,0),MATCH("SPPS|SCH40",배관단중표!$B$6:$W$6,0))/(PI()*제작기준!$L$8/1000))/INDEX(배관단중표!$B$7:$W$41,MATCH($A31,배관단중표!$A$7:$A$41,0),MATCH("SPPS|SCH40",배관단중표!$B$6:$W$6,0)),0)</f>
        <v>1018.21098292771</v>
      </c>
      <c r="X31" s="15" t="n">
        <f aca="false">V31*W31</f>
        <v>0</v>
      </c>
      <c r="Y31" s="15" t="n">
        <f aca="false">SUMIFS(배관기본물량!$R$7:$R$126,배관기본물량!$I$7:$I$126,$A31,배관기본물량!$B$7:$B$126,"설치",배관기본물량!$G$7:$G$126,"PIPE",배관기본물량!$S$7:$S$126,"Y",배관기본물량!$Y$7:$Y$126,"○")</f>
        <v>0</v>
      </c>
      <c r="Z31" s="18" t="n">
        <f aca="false">IFERROR(ROUNDUP(Y31,0)*INDEX(제작기준!$G$5:$G$400,MATCH("PIPE|"&amp;$A31&amp;"A",제작기준!$I$5:$I$400,0)),0)</f>
        <v>0</v>
      </c>
    </row>
    <row r="32" customFormat="false" ht="15" hidden="false" customHeight="true" outlineLevel="0" collapsed="false">
      <c r="A32" s="19" t="n">
        <v>700</v>
      </c>
      <c r="B32" s="15" t="n">
        <f aca="false">SUMIFS(배관기본물량!$R$7:$R$126,배관기본물량!$I$7:$I$126,$A32,배관기본물량!$B$7:$B$126,"설치")</f>
        <v>0</v>
      </c>
      <c r="C32" s="15" t="n">
        <f aca="false">SUMIFS(배관기본물량!$P$7:$P$126,배관기본물량!$I$7:$I$126,$A32,배관기본물량!$B$7:$B$126,"설치",배관기본물량!$G$7:$G$126,"PIPE")</f>
        <v>0</v>
      </c>
      <c r="D32" s="15" t="n">
        <f aca="false">SUMIFS(배관기본물량!$P$7:$P$126,배관기본물량!$I$7:$I$126,$A32,배관기본물량!$B$7:$B$126,"설치",배관기본물량!$G$7:$G$126,"FITTING")</f>
        <v>0</v>
      </c>
      <c r="E32" s="15" t="n">
        <f aca="false">SUMIFS(배관기본물량!$P$7:$P$126,배관기본물량!$I$7:$I$126,$A32,배관기본물량!$B$7:$B$126,"설치",배관기본물량!$G$7:$G$126,"VALVE")</f>
        <v>0</v>
      </c>
      <c r="F32" s="15" t="n">
        <f aca="false">SUMIFS(배관소재집계!$K$7:$K$126,배관기본물량!$I$7:$I$126,$A32,배관기본물량!$G$7:$G$126,"PIPE")</f>
        <v>0</v>
      </c>
      <c r="G32" s="15" t="n">
        <f aca="false">SUMIFS(배관소재집계!$K$7:$K$126,배관기본물량!$I$7:$I$126,$A32,배관기본물량!$G$7:$G$126,"FITTING")</f>
        <v>0</v>
      </c>
      <c r="H32" s="15" t="n">
        <f aca="false">((F32-C32)+(G32-D32)+(SUMIFS(배관소재집계!$K$7:$K$126,배관기본물량!$I$7:$I$126,$A32,배관기본물량!$G$7:$G$126,"VALVE")-E32))*제작기준!$L$7</f>
        <v>0</v>
      </c>
      <c r="I32" s="17" t="n">
        <f aca="false">IF(S32=0,0,ROUNDUP(S32/배관기준!$AG$7,0))</f>
        <v>0</v>
      </c>
      <c r="J32" s="36" t="n">
        <f aca="false">INDEX(배관기준!$Y$5:$Y$20,MATCH(A32,배관기준!$X$5:$X$20,1))</f>
        <v>9</v>
      </c>
      <c r="K32" s="89" t="n">
        <f aca="false">IF(A32&lt;=배관기준!$AG$13,0,배관기준!$AG$10)</f>
        <v>0.1</v>
      </c>
      <c r="L32" s="17" t="n">
        <f aca="false">ROUNDUP(I32*J32*K32,0)</f>
        <v>0</v>
      </c>
      <c r="M32" s="89" t="n">
        <f aca="false">IF(A32&lt;=배관기준!$AG$13,배관기준!$AG$14,0)</f>
        <v>0</v>
      </c>
      <c r="N32" s="18" t="n">
        <f aca="false">IFERROR(INDEX(배관기준!$B$5:$B$39,MATCH(A32,배관기준!$A$5:$A$39,0))*PI()/1000*I32*M32,0)</f>
        <v>0</v>
      </c>
      <c r="O32" s="34" t="str">
        <f aca="false">IFERROR(INDEX(배관기준!$AL$5:$AL$18,COUNTIF(배관기준!$AK$5:$AK$18,"&lt;"&amp;A32)+1),"")</f>
        <v/>
      </c>
      <c r="P32" s="17" t="n">
        <f aca="false">SUMIFS(배관ARGON!$O$7:$O$21,배관ARGON!$B$7:$B$21,A32)</f>
        <v>0</v>
      </c>
      <c r="Q32" s="17" t="n">
        <f aca="false">ROUNDUP(SUMIFS(배관기본물량!$R$7:$R$126,배관기본물량!$I$7:$I$126,$A32,배관기본물량!$B$7:$B$126,"설치",배관기본물량!$G$7:$G$126,"PIPE",배관기본물량!$S$7:$S$126,"Y"),0)</f>
        <v>0</v>
      </c>
      <c r="R32" s="18" t="n">
        <f aca="false">IFERROR(Q32*INDEX(제작기준!$G$5:$G$400,MATCH("PIPE|"&amp;A32&amp;"A",제작기준!$I$5:$I$400,0)),0)</f>
        <v>0</v>
      </c>
      <c r="S32" s="15" t="n">
        <f aca="false">SUMIFS(배관기본물량!$R$7:$R$126,배관기본물량!$I$7:$I$126,$A32,배관기본물량!$B$7:$B$126,"설치",배관기본물량!$G$7:$G$126,"PIPE",배관기본물량!$X$7:$X$126,"○")</f>
        <v>0</v>
      </c>
      <c r="T32" s="15" t="n">
        <f aca="false">SUMIFS(배관기본물량!$R$7:$R$126,배관기본물량!$I$7:$I$126,$A32,배관기본물량!$B$7:$B$126,"설치",배관기본물량!$G$7:$G$126,"PIPE",배관기본물량!$W$7:$W$126,"○")</f>
        <v>0</v>
      </c>
      <c r="U32" s="8" t="n">
        <f aca="false">SUMIFS(배관기본물량!$P$7:$P$126,배관기본물량!$I$7:$I$126,$A32,배관기본물량!$B$7:$B$126,"설치",배관기본물량!$Y$7:$Y$126,"○")/1000</f>
        <v>0</v>
      </c>
      <c r="V32" s="8" t="n">
        <f aca="false">SUMIFS(배관기본물량!$P$7:$P$126,배관기본물량!$I$7:$I$126,$A32,배관기본물량!$B$7:$B$126,"설치",배관기본물량!$Z$7:$Z$126,"○")/1000</f>
        <v>0</v>
      </c>
      <c r="W32" s="17" t="n">
        <f aca="false">IFERROR(PI()/4*(INDEX(배관기준!$B$5:$B$39,MATCH($A32,배관기준!$A$5:$A$39,0))^2-4*INDEX(배관단중표!$B$7:$W$41,MATCH($A32,배관단중표!$A$7:$A$41,0),MATCH("SPPS|SCH40",배관단중표!$B$6:$W$6,0))/(PI()*제작기준!$L$8/1000))/INDEX(배관단중표!$B$7:$W$41,MATCH($A32,배관단중표!$A$7:$A$41,0),MATCH("SPPS|SCH40",배관단중표!$B$6:$W$6,0)),0)</f>
        <v>0</v>
      </c>
      <c r="X32" s="15" t="n">
        <f aca="false">V32*W32</f>
        <v>0</v>
      </c>
      <c r="Y32" s="15" t="n">
        <f aca="false">SUMIFS(배관기본물량!$R$7:$R$126,배관기본물량!$I$7:$I$126,$A32,배관기본물량!$B$7:$B$126,"설치",배관기본물량!$G$7:$G$126,"PIPE",배관기본물량!$S$7:$S$126,"Y",배관기본물량!$Y$7:$Y$126,"○")</f>
        <v>0</v>
      </c>
      <c r="Z32" s="18" t="n">
        <f aca="false">IFERROR(ROUNDUP(Y32,0)*INDEX(제작기준!$G$5:$G$400,MATCH("PIPE|"&amp;$A32&amp;"A",제작기준!$I$5:$I$400,0)),0)</f>
        <v>0</v>
      </c>
    </row>
    <row r="33" customFormat="false" ht="15" hidden="false" customHeight="true" outlineLevel="0" collapsed="false">
      <c r="A33" s="19" t="n">
        <v>750</v>
      </c>
      <c r="B33" s="15" t="n">
        <f aca="false">SUMIFS(배관기본물량!$R$7:$R$126,배관기본물량!$I$7:$I$126,$A33,배관기본물량!$B$7:$B$126,"설치")</f>
        <v>0</v>
      </c>
      <c r="C33" s="15" t="n">
        <f aca="false">SUMIFS(배관기본물량!$P$7:$P$126,배관기본물량!$I$7:$I$126,$A33,배관기본물량!$B$7:$B$126,"설치",배관기본물량!$G$7:$G$126,"PIPE")</f>
        <v>0</v>
      </c>
      <c r="D33" s="15" t="n">
        <f aca="false">SUMIFS(배관기본물량!$P$7:$P$126,배관기본물량!$I$7:$I$126,$A33,배관기본물량!$B$7:$B$126,"설치",배관기본물량!$G$7:$G$126,"FITTING")</f>
        <v>0</v>
      </c>
      <c r="E33" s="15" t="n">
        <f aca="false">SUMIFS(배관기본물량!$P$7:$P$126,배관기본물량!$I$7:$I$126,$A33,배관기본물량!$B$7:$B$126,"설치",배관기본물량!$G$7:$G$126,"VALVE")</f>
        <v>0</v>
      </c>
      <c r="F33" s="15" t="n">
        <f aca="false">SUMIFS(배관소재집계!$K$7:$K$126,배관기본물량!$I$7:$I$126,$A33,배관기본물량!$G$7:$G$126,"PIPE")</f>
        <v>0</v>
      </c>
      <c r="G33" s="15" t="n">
        <f aca="false">SUMIFS(배관소재집계!$K$7:$K$126,배관기본물량!$I$7:$I$126,$A33,배관기본물량!$G$7:$G$126,"FITTING")</f>
        <v>0</v>
      </c>
      <c r="H33" s="15" t="n">
        <f aca="false">((F33-C33)+(G33-D33)+(SUMIFS(배관소재집계!$K$7:$K$126,배관기본물량!$I$7:$I$126,$A33,배관기본물량!$G$7:$G$126,"VALVE")-E33))*제작기준!$L$7</f>
        <v>0</v>
      </c>
      <c r="I33" s="17" t="n">
        <f aca="false">IF(S33=0,0,ROUNDUP(S33/배관기준!$AG$7,0))</f>
        <v>0</v>
      </c>
      <c r="J33" s="36" t="n">
        <f aca="false">INDEX(배관기준!$Y$5:$Y$20,MATCH(A33,배관기준!$X$5:$X$20,1))</f>
        <v>10</v>
      </c>
      <c r="K33" s="89" t="n">
        <f aca="false">IF(A33&lt;=배관기준!$AG$13,0,배관기준!$AG$10)</f>
        <v>0.1</v>
      </c>
      <c r="L33" s="17" t="n">
        <f aca="false">ROUNDUP(I33*J33*K33,0)</f>
        <v>0</v>
      </c>
      <c r="M33" s="89" t="n">
        <f aca="false">IF(A33&lt;=배관기준!$AG$13,배관기준!$AG$14,0)</f>
        <v>0</v>
      </c>
      <c r="N33" s="18" t="n">
        <f aca="false">IFERROR(INDEX(배관기준!$B$5:$B$39,MATCH(A33,배관기준!$A$5:$A$39,0))*PI()/1000*I33*M33,0)</f>
        <v>0</v>
      </c>
      <c r="O33" s="34" t="str">
        <f aca="false">IFERROR(INDEX(배관기준!$AL$5:$AL$18,COUNTIF(배관기준!$AK$5:$AK$18,"&lt;"&amp;A33)+1),"")</f>
        <v/>
      </c>
      <c r="P33" s="17" t="n">
        <f aca="false">SUMIFS(배관ARGON!$O$7:$O$21,배관ARGON!$B$7:$B$21,A33)</f>
        <v>0</v>
      </c>
      <c r="Q33" s="17" t="n">
        <f aca="false">ROUNDUP(SUMIFS(배관기본물량!$R$7:$R$126,배관기본물량!$I$7:$I$126,$A33,배관기본물량!$B$7:$B$126,"설치",배관기본물량!$G$7:$G$126,"PIPE",배관기본물량!$S$7:$S$126,"Y"),0)</f>
        <v>0</v>
      </c>
      <c r="R33" s="18" t="n">
        <f aca="false">IFERROR(Q33*INDEX(제작기준!$G$5:$G$400,MATCH("PIPE|"&amp;A33&amp;"A",제작기준!$I$5:$I$400,0)),0)</f>
        <v>0</v>
      </c>
      <c r="S33" s="15" t="n">
        <f aca="false">SUMIFS(배관기본물량!$R$7:$R$126,배관기본물량!$I$7:$I$126,$A33,배관기본물량!$B$7:$B$126,"설치",배관기본물량!$G$7:$G$126,"PIPE",배관기본물량!$X$7:$X$126,"○")</f>
        <v>0</v>
      </c>
      <c r="T33" s="15" t="n">
        <f aca="false">SUMIFS(배관기본물량!$R$7:$R$126,배관기본물량!$I$7:$I$126,$A33,배관기본물량!$B$7:$B$126,"설치",배관기본물량!$G$7:$G$126,"PIPE",배관기본물량!$W$7:$W$126,"○")</f>
        <v>0</v>
      </c>
      <c r="U33" s="8" t="n">
        <f aca="false">SUMIFS(배관기본물량!$P$7:$P$126,배관기본물량!$I$7:$I$126,$A33,배관기본물량!$B$7:$B$126,"설치",배관기본물량!$Y$7:$Y$126,"○")/1000</f>
        <v>0</v>
      </c>
      <c r="V33" s="8" t="n">
        <f aca="false">SUMIFS(배관기본물량!$P$7:$P$126,배관기본물량!$I$7:$I$126,$A33,배관기본물량!$B$7:$B$126,"설치",배관기본물량!$Z$7:$Z$126,"○")/1000</f>
        <v>0</v>
      </c>
      <c r="W33" s="17" t="n">
        <f aca="false">IFERROR(PI()/4*(INDEX(배관기준!$B$5:$B$39,MATCH($A33,배관기준!$A$5:$A$39,0))^2-4*INDEX(배관단중표!$B$7:$W$41,MATCH($A33,배관단중표!$A$7:$A$41,0),MATCH("SPPS|SCH40",배관단중표!$B$6:$W$6,0))/(PI()*제작기준!$L$8/1000))/INDEX(배관단중표!$B$7:$W$41,MATCH($A33,배관단중표!$A$7:$A$41,0),MATCH("SPPS|SCH40",배관단중표!$B$6:$W$6,0)),0)</f>
        <v>0</v>
      </c>
      <c r="X33" s="15" t="n">
        <f aca="false">V33*W33</f>
        <v>0</v>
      </c>
      <c r="Y33" s="15" t="n">
        <f aca="false">SUMIFS(배관기본물량!$R$7:$R$126,배관기본물량!$I$7:$I$126,$A33,배관기본물량!$B$7:$B$126,"설치",배관기본물량!$G$7:$G$126,"PIPE",배관기본물량!$S$7:$S$126,"Y",배관기본물량!$Y$7:$Y$126,"○")</f>
        <v>0</v>
      </c>
      <c r="Z33" s="18" t="n">
        <f aca="false">IFERROR(ROUNDUP(Y33,0)*INDEX(제작기준!$G$5:$G$400,MATCH("PIPE|"&amp;$A33&amp;"A",제작기준!$I$5:$I$400,0)),0)</f>
        <v>0</v>
      </c>
    </row>
    <row r="34" customFormat="false" ht="15" hidden="false" customHeight="true" outlineLevel="0" collapsed="false">
      <c r="A34" s="19" t="n">
        <v>800</v>
      </c>
      <c r="B34" s="15" t="n">
        <f aca="false">SUMIFS(배관기본물량!$R$7:$R$126,배관기본물량!$I$7:$I$126,$A34,배관기본물량!$B$7:$B$126,"설치")</f>
        <v>0</v>
      </c>
      <c r="C34" s="15" t="n">
        <f aca="false">SUMIFS(배관기본물량!$P$7:$P$126,배관기본물량!$I$7:$I$126,$A34,배관기본물량!$B$7:$B$126,"설치",배관기본물량!$G$7:$G$126,"PIPE")</f>
        <v>0</v>
      </c>
      <c r="D34" s="15" t="n">
        <f aca="false">SUMIFS(배관기본물량!$P$7:$P$126,배관기본물량!$I$7:$I$126,$A34,배관기본물량!$B$7:$B$126,"설치",배관기본물량!$G$7:$G$126,"FITTING")</f>
        <v>0</v>
      </c>
      <c r="E34" s="15" t="n">
        <f aca="false">SUMIFS(배관기본물량!$P$7:$P$126,배관기본물량!$I$7:$I$126,$A34,배관기본물량!$B$7:$B$126,"설치",배관기본물량!$G$7:$G$126,"VALVE")</f>
        <v>0</v>
      </c>
      <c r="F34" s="15" t="n">
        <f aca="false">SUMIFS(배관소재집계!$K$7:$K$126,배관기본물량!$I$7:$I$126,$A34,배관기본물량!$G$7:$G$126,"PIPE")</f>
        <v>0</v>
      </c>
      <c r="G34" s="15" t="n">
        <f aca="false">SUMIFS(배관소재집계!$K$7:$K$126,배관기본물량!$I$7:$I$126,$A34,배관기본물량!$G$7:$G$126,"FITTING")</f>
        <v>0</v>
      </c>
      <c r="H34" s="15" t="n">
        <f aca="false">((F34-C34)+(G34-D34)+(SUMIFS(배관소재집계!$K$7:$K$126,배관기본물량!$I$7:$I$126,$A34,배관기본물량!$G$7:$G$126,"VALVE")-E34))*제작기준!$L$7</f>
        <v>0</v>
      </c>
      <c r="I34" s="17" t="n">
        <f aca="false">IF(S34=0,0,ROUNDUP(S34/배관기준!$AG$7,0))</f>
        <v>0</v>
      </c>
      <c r="J34" s="36" t="n">
        <f aca="false">INDEX(배관기준!$Y$5:$Y$20,MATCH(A34,배관기준!$X$5:$X$20,1))</f>
        <v>11</v>
      </c>
      <c r="K34" s="89" t="n">
        <f aca="false">IF(A34&lt;=배관기준!$AG$13,0,배관기준!$AG$10)</f>
        <v>0.1</v>
      </c>
      <c r="L34" s="17" t="n">
        <f aca="false">ROUNDUP(I34*J34*K34,0)</f>
        <v>0</v>
      </c>
      <c r="M34" s="89" t="n">
        <f aca="false">IF(A34&lt;=배관기준!$AG$13,배관기준!$AG$14,0)</f>
        <v>0</v>
      </c>
      <c r="N34" s="18" t="n">
        <f aca="false">IFERROR(INDEX(배관기준!$B$5:$B$39,MATCH(A34,배관기준!$A$5:$A$39,0))*PI()/1000*I34*M34,0)</f>
        <v>0</v>
      </c>
      <c r="O34" s="34" t="str">
        <f aca="false">IFERROR(INDEX(배관기준!$AL$5:$AL$18,COUNTIF(배관기준!$AK$5:$AK$18,"&lt;"&amp;A34)+1),"")</f>
        <v/>
      </c>
      <c r="P34" s="17" t="n">
        <f aca="false">SUMIFS(배관ARGON!$O$7:$O$21,배관ARGON!$B$7:$B$21,A34)</f>
        <v>0</v>
      </c>
      <c r="Q34" s="17" t="n">
        <f aca="false">ROUNDUP(SUMIFS(배관기본물량!$R$7:$R$126,배관기본물량!$I$7:$I$126,$A34,배관기본물량!$B$7:$B$126,"설치",배관기본물량!$G$7:$G$126,"PIPE",배관기본물량!$S$7:$S$126,"Y"),0)</f>
        <v>0</v>
      </c>
      <c r="R34" s="18" t="n">
        <f aca="false">IFERROR(Q34*INDEX(제작기준!$G$5:$G$400,MATCH("PIPE|"&amp;A34&amp;"A",제작기준!$I$5:$I$400,0)),0)</f>
        <v>0</v>
      </c>
      <c r="S34" s="15" t="n">
        <f aca="false">SUMIFS(배관기본물량!$R$7:$R$126,배관기본물량!$I$7:$I$126,$A34,배관기본물량!$B$7:$B$126,"설치",배관기본물량!$G$7:$G$126,"PIPE",배관기본물량!$X$7:$X$126,"○")</f>
        <v>0</v>
      </c>
      <c r="T34" s="15" t="n">
        <f aca="false">SUMIFS(배관기본물량!$R$7:$R$126,배관기본물량!$I$7:$I$126,$A34,배관기본물량!$B$7:$B$126,"설치",배관기본물량!$G$7:$G$126,"PIPE",배관기본물량!$W$7:$W$126,"○")</f>
        <v>0</v>
      </c>
      <c r="U34" s="8" t="n">
        <f aca="false">SUMIFS(배관기본물량!$P$7:$P$126,배관기본물량!$I$7:$I$126,$A34,배관기본물량!$B$7:$B$126,"설치",배관기본물량!$Y$7:$Y$126,"○")/1000</f>
        <v>0</v>
      </c>
      <c r="V34" s="8" t="n">
        <f aca="false">SUMIFS(배관기본물량!$P$7:$P$126,배관기본물량!$I$7:$I$126,$A34,배관기본물량!$B$7:$B$126,"설치",배관기본물량!$Z$7:$Z$126,"○")/1000</f>
        <v>0</v>
      </c>
      <c r="W34" s="17" t="n">
        <f aca="false">IFERROR(PI()/4*(INDEX(배관기준!$B$5:$B$39,MATCH($A34,배관기준!$A$5:$A$39,0))^2-4*INDEX(배관단중표!$B$7:$W$41,MATCH($A34,배관단중표!$A$7:$A$41,0),MATCH("SPPS|SCH40",배관단중표!$B$6:$W$6,0))/(PI()*제작기준!$L$8/1000))/INDEX(배관단중표!$B$7:$W$41,MATCH($A34,배관단중표!$A$7:$A$41,0),MATCH("SPPS|SCH40",배관단중표!$B$6:$W$6,0)),0)</f>
        <v>0</v>
      </c>
      <c r="X34" s="15" t="n">
        <f aca="false">V34*W34</f>
        <v>0</v>
      </c>
      <c r="Y34" s="15" t="n">
        <f aca="false">SUMIFS(배관기본물량!$R$7:$R$126,배관기본물량!$I$7:$I$126,$A34,배관기본물량!$B$7:$B$126,"설치",배관기본물량!$G$7:$G$126,"PIPE",배관기본물량!$S$7:$S$126,"Y",배관기본물량!$Y$7:$Y$126,"○")</f>
        <v>0</v>
      </c>
      <c r="Z34" s="18" t="n">
        <f aca="false">IFERROR(ROUNDUP(Y34,0)*INDEX(제작기준!$G$5:$G$400,MATCH("PIPE|"&amp;$A34&amp;"A",제작기준!$I$5:$I$400,0)),0)</f>
        <v>0</v>
      </c>
    </row>
    <row r="35" customFormat="false" ht="15" hidden="false" customHeight="true" outlineLevel="0" collapsed="false">
      <c r="A35" s="19" t="n">
        <v>850</v>
      </c>
      <c r="B35" s="15" t="n">
        <f aca="false">SUMIFS(배관기본물량!$R$7:$R$126,배관기본물량!$I$7:$I$126,$A35,배관기본물량!$B$7:$B$126,"설치")</f>
        <v>0</v>
      </c>
      <c r="C35" s="15" t="n">
        <f aca="false">SUMIFS(배관기본물량!$P$7:$P$126,배관기본물량!$I$7:$I$126,$A35,배관기본물량!$B$7:$B$126,"설치",배관기본물량!$G$7:$G$126,"PIPE")</f>
        <v>0</v>
      </c>
      <c r="D35" s="15" t="n">
        <f aca="false">SUMIFS(배관기본물량!$P$7:$P$126,배관기본물량!$I$7:$I$126,$A35,배관기본물량!$B$7:$B$126,"설치",배관기본물량!$G$7:$G$126,"FITTING")</f>
        <v>0</v>
      </c>
      <c r="E35" s="15" t="n">
        <f aca="false">SUMIFS(배관기본물량!$P$7:$P$126,배관기본물량!$I$7:$I$126,$A35,배관기본물량!$B$7:$B$126,"설치",배관기본물량!$G$7:$G$126,"VALVE")</f>
        <v>0</v>
      </c>
      <c r="F35" s="15" t="n">
        <f aca="false">SUMIFS(배관소재집계!$K$7:$K$126,배관기본물량!$I$7:$I$126,$A35,배관기본물량!$G$7:$G$126,"PIPE")</f>
        <v>0</v>
      </c>
      <c r="G35" s="15" t="n">
        <f aca="false">SUMIFS(배관소재집계!$K$7:$K$126,배관기본물량!$I$7:$I$126,$A35,배관기본물량!$G$7:$G$126,"FITTING")</f>
        <v>0</v>
      </c>
      <c r="H35" s="15" t="n">
        <f aca="false">((F35-C35)+(G35-D35)+(SUMIFS(배관소재집계!$K$7:$K$126,배관기본물량!$I$7:$I$126,$A35,배관기본물량!$G$7:$G$126,"VALVE")-E35))*제작기준!$L$7</f>
        <v>0</v>
      </c>
      <c r="I35" s="17" t="n">
        <f aca="false">IF(S35=0,0,ROUNDUP(S35/배관기준!$AG$7,0))</f>
        <v>0</v>
      </c>
      <c r="J35" s="36" t="n">
        <f aca="false">INDEX(배관기준!$Y$5:$Y$20,MATCH(A35,배관기준!$X$5:$X$20,1))</f>
        <v>11</v>
      </c>
      <c r="K35" s="89" t="n">
        <f aca="false">IF(A35&lt;=배관기준!$AG$13,0,배관기준!$AG$10)</f>
        <v>0.1</v>
      </c>
      <c r="L35" s="17" t="n">
        <f aca="false">ROUNDUP(I35*J35*K35,0)</f>
        <v>0</v>
      </c>
      <c r="M35" s="89" t="n">
        <f aca="false">IF(A35&lt;=배관기준!$AG$13,배관기준!$AG$14,0)</f>
        <v>0</v>
      </c>
      <c r="N35" s="18" t="n">
        <f aca="false">IFERROR(INDEX(배관기준!$B$5:$B$39,MATCH(A35,배관기준!$A$5:$A$39,0))*PI()/1000*I35*M35,0)</f>
        <v>0</v>
      </c>
      <c r="O35" s="34" t="str">
        <f aca="false">IFERROR(INDEX(배관기준!$AL$5:$AL$18,COUNTIF(배관기준!$AK$5:$AK$18,"&lt;"&amp;A35)+1),"")</f>
        <v/>
      </c>
      <c r="P35" s="17" t="n">
        <f aca="false">SUMIFS(배관ARGON!$O$7:$O$21,배관ARGON!$B$7:$B$21,A35)</f>
        <v>0</v>
      </c>
      <c r="Q35" s="17" t="n">
        <f aca="false">ROUNDUP(SUMIFS(배관기본물량!$R$7:$R$126,배관기본물량!$I$7:$I$126,$A35,배관기본물량!$B$7:$B$126,"설치",배관기본물량!$G$7:$G$126,"PIPE",배관기본물량!$S$7:$S$126,"Y"),0)</f>
        <v>0</v>
      </c>
      <c r="R35" s="18" t="n">
        <f aca="false">IFERROR(Q35*INDEX(제작기준!$G$5:$G$400,MATCH("PIPE|"&amp;A35&amp;"A",제작기준!$I$5:$I$400,0)),0)</f>
        <v>0</v>
      </c>
      <c r="S35" s="15" t="n">
        <f aca="false">SUMIFS(배관기본물량!$R$7:$R$126,배관기본물량!$I$7:$I$126,$A35,배관기본물량!$B$7:$B$126,"설치",배관기본물량!$G$7:$G$126,"PIPE",배관기본물량!$X$7:$X$126,"○")</f>
        <v>0</v>
      </c>
      <c r="T35" s="15" t="n">
        <f aca="false">SUMIFS(배관기본물량!$R$7:$R$126,배관기본물량!$I$7:$I$126,$A35,배관기본물량!$B$7:$B$126,"설치",배관기본물량!$G$7:$G$126,"PIPE",배관기본물량!$W$7:$W$126,"○")</f>
        <v>0</v>
      </c>
      <c r="U35" s="8" t="n">
        <f aca="false">SUMIFS(배관기본물량!$P$7:$P$126,배관기본물량!$I$7:$I$126,$A35,배관기본물량!$B$7:$B$126,"설치",배관기본물량!$Y$7:$Y$126,"○")/1000</f>
        <v>0</v>
      </c>
      <c r="V35" s="8" t="n">
        <f aca="false">SUMIFS(배관기본물량!$P$7:$P$126,배관기본물량!$I$7:$I$126,$A35,배관기본물량!$B$7:$B$126,"설치",배관기본물량!$Z$7:$Z$126,"○")/1000</f>
        <v>0</v>
      </c>
      <c r="W35" s="17" t="n">
        <f aca="false">IFERROR(PI()/4*(INDEX(배관기준!$B$5:$B$39,MATCH($A35,배관기준!$A$5:$A$39,0))^2-4*INDEX(배관단중표!$B$7:$W$41,MATCH($A35,배관단중표!$A$7:$A$41,0),MATCH("SPPS|SCH40",배관단중표!$B$6:$W$6,0))/(PI()*제작기준!$L$8/1000))/INDEX(배관단중표!$B$7:$W$41,MATCH($A35,배관단중표!$A$7:$A$41,0),MATCH("SPPS|SCH40",배관단중표!$B$6:$W$6,0)),0)</f>
        <v>0</v>
      </c>
      <c r="X35" s="15" t="n">
        <f aca="false">V35*W35</f>
        <v>0</v>
      </c>
      <c r="Y35" s="15" t="n">
        <f aca="false">SUMIFS(배관기본물량!$R$7:$R$126,배관기본물량!$I$7:$I$126,$A35,배관기본물량!$B$7:$B$126,"설치",배관기본물량!$G$7:$G$126,"PIPE",배관기본물량!$S$7:$S$126,"Y",배관기본물량!$Y$7:$Y$126,"○")</f>
        <v>0</v>
      </c>
      <c r="Z35" s="18" t="n">
        <f aca="false">IFERROR(ROUNDUP(Y35,0)*INDEX(제작기준!$G$5:$G$400,MATCH("PIPE|"&amp;$A35&amp;"A",제작기준!$I$5:$I$400,0)),0)</f>
        <v>0</v>
      </c>
    </row>
    <row r="36" customFormat="false" ht="15" hidden="false" customHeight="true" outlineLevel="0" collapsed="false">
      <c r="A36" s="19" t="n">
        <v>900</v>
      </c>
      <c r="B36" s="15" t="n">
        <f aca="false">SUMIFS(배관기본물량!$R$7:$R$126,배관기본물량!$I$7:$I$126,$A36,배관기본물량!$B$7:$B$126,"설치")</f>
        <v>0</v>
      </c>
      <c r="C36" s="15" t="n">
        <f aca="false">SUMIFS(배관기본물량!$P$7:$P$126,배관기본물량!$I$7:$I$126,$A36,배관기본물량!$B$7:$B$126,"설치",배관기본물량!$G$7:$G$126,"PIPE")</f>
        <v>0</v>
      </c>
      <c r="D36" s="15" t="n">
        <f aca="false">SUMIFS(배관기본물량!$P$7:$P$126,배관기본물량!$I$7:$I$126,$A36,배관기본물량!$B$7:$B$126,"설치",배관기본물량!$G$7:$G$126,"FITTING")</f>
        <v>0</v>
      </c>
      <c r="E36" s="15" t="n">
        <f aca="false">SUMIFS(배관기본물량!$P$7:$P$126,배관기본물량!$I$7:$I$126,$A36,배관기본물량!$B$7:$B$126,"설치",배관기본물량!$G$7:$G$126,"VALVE")</f>
        <v>0</v>
      </c>
      <c r="F36" s="15" t="n">
        <f aca="false">SUMIFS(배관소재집계!$K$7:$K$126,배관기본물량!$I$7:$I$126,$A36,배관기본물량!$G$7:$G$126,"PIPE")</f>
        <v>0</v>
      </c>
      <c r="G36" s="15" t="n">
        <f aca="false">SUMIFS(배관소재집계!$K$7:$K$126,배관기본물량!$I$7:$I$126,$A36,배관기본물량!$G$7:$G$126,"FITTING")</f>
        <v>0</v>
      </c>
      <c r="H36" s="15" t="n">
        <f aca="false">((F36-C36)+(G36-D36)+(SUMIFS(배관소재집계!$K$7:$K$126,배관기본물량!$I$7:$I$126,$A36,배관기본물량!$G$7:$G$126,"VALVE")-E36))*제작기준!$L$7</f>
        <v>0</v>
      </c>
      <c r="I36" s="17" t="n">
        <f aca="false">IF(S36=0,0,ROUNDUP(S36/배관기준!$AG$7,0))</f>
        <v>0</v>
      </c>
      <c r="J36" s="36" t="n">
        <f aca="false">INDEX(배관기준!$Y$5:$Y$20,MATCH(A36,배관기준!$X$5:$X$20,1))</f>
        <v>12</v>
      </c>
      <c r="K36" s="89" t="n">
        <f aca="false">IF(A36&lt;=배관기준!$AG$13,0,배관기준!$AG$10)</f>
        <v>0.1</v>
      </c>
      <c r="L36" s="17" t="n">
        <f aca="false">ROUNDUP(I36*J36*K36,0)</f>
        <v>0</v>
      </c>
      <c r="M36" s="89" t="n">
        <f aca="false">IF(A36&lt;=배관기준!$AG$13,배관기준!$AG$14,0)</f>
        <v>0</v>
      </c>
      <c r="N36" s="18" t="n">
        <f aca="false">IFERROR(INDEX(배관기준!$B$5:$B$39,MATCH(A36,배관기준!$A$5:$A$39,0))*PI()/1000*I36*M36,0)</f>
        <v>0</v>
      </c>
      <c r="O36" s="34" t="str">
        <f aca="false">IFERROR(INDEX(배관기준!$AL$5:$AL$18,COUNTIF(배관기준!$AK$5:$AK$18,"&lt;"&amp;A36)+1),"")</f>
        <v/>
      </c>
      <c r="P36" s="17" t="n">
        <f aca="false">SUMIFS(배관ARGON!$O$7:$O$21,배관ARGON!$B$7:$B$21,A36)</f>
        <v>0</v>
      </c>
      <c r="Q36" s="17" t="n">
        <f aca="false">ROUNDUP(SUMIFS(배관기본물량!$R$7:$R$126,배관기본물량!$I$7:$I$126,$A36,배관기본물량!$B$7:$B$126,"설치",배관기본물량!$G$7:$G$126,"PIPE",배관기본물량!$S$7:$S$126,"Y"),0)</f>
        <v>0</v>
      </c>
      <c r="R36" s="18" t="n">
        <f aca="false">IFERROR(Q36*INDEX(제작기준!$G$5:$G$400,MATCH("PIPE|"&amp;A36&amp;"A",제작기준!$I$5:$I$400,0)),0)</f>
        <v>0</v>
      </c>
      <c r="S36" s="15" t="n">
        <f aca="false">SUMIFS(배관기본물량!$R$7:$R$126,배관기본물량!$I$7:$I$126,$A36,배관기본물량!$B$7:$B$126,"설치",배관기본물량!$G$7:$G$126,"PIPE",배관기본물량!$X$7:$X$126,"○")</f>
        <v>0</v>
      </c>
      <c r="T36" s="15" t="n">
        <f aca="false">SUMIFS(배관기본물량!$R$7:$R$126,배관기본물량!$I$7:$I$126,$A36,배관기본물량!$B$7:$B$126,"설치",배관기본물량!$G$7:$G$126,"PIPE",배관기본물량!$W$7:$W$126,"○")</f>
        <v>0</v>
      </c>
      <c r="U36" s="8" t="n">
        <f aca="false">SUMIFS(배관기본물량!$P$7:$P$126,배관기본물량!$I$7:$I$126,$A36,배관기본물량!$B$7:$B$126,"설치",배관기본물량!$Y$7:$Y$126,"○")/1000</f>
        <v>0</v>
      </c>
      <c r="V36" s="8" t="n">
        <f aca="false">SUMIFS(배관기본물량!$P$7:$P$126,배관기본물량!$I$7:$I$126,$A36,배관기본물량!$B$7:$B$126,"설치",배관기본물량!$Z$7:$Z$126,"○")/1000</f>
        <v>0</v>
      </c>
      <c r="W36" s="17" t="n">
        <f aca="false">IFERROR(PI()/4*(INDEX(배관기준!$B$5:$B$39,MATCH($A36,배관기준!$A$5:$A$39,0))^2-4*INDEX(배관단중표!$B$7:$W$41,MATCH($A36,배관단중표!$A$7:$A$41,0),MATCH("SPPS|SCH40",배관단중표!$B$6:$W$6,0))/(PI()*제작기준!$L$8/1000))/INDEX(배관단중표!$B$7:$W$41,MATCH($A36,배관단중표!$A$7:$A$41,0),MATCH("SPPS|SCH40",배관단중표!$B$6:$W$6,0)),0)</f>
        <v>0</v>
      </c>
      <c r="X36" s="15" t="n">
        <f aca="false">V36*W36</f>
        <v>0</v>
      </c>
      <c r="Y36" s="15" t="n">
        <f aca="false">SUMIFS(배관기본물량!$R$7:$R$126,배관기본물량!$I$7:$I$126,$A36,배관기본물량!$B$7:$B$126,"설치",배관기본물량!$G$7:$G$126,"PIPE",배관기본물량!$S$7:$S$126,"Y",배관기본물량!$Y$7:$Y$126,"○")</f>
        <v>0</v>
      </c>
      <c r="Z36" s="18" t="n">
        <f aca="false">IFERROR(ROUNDUP(Y36,0)*INDEX(제작기준!$G$5:$G$400,MATCH("PIPE|"&amp;$A36&amp;"A",제작기준!$I$5:$I$400,0)),0)</f>
        <v>0</v>
      </c>
    </row>
    <row r="37" customFormat="false" ht="15" hidden="false" customHeight="true" outlineLevel="0" collapsed="false">
      <c r="A37" s="19" t="n">
        <v>1000</v>
      </c>
      <c r="B37" s="15" t="n">
        <f aca="false">SUMIFS(배관기본물량!$R$7:$R$126,배관기본물량!$I$7:$I$126,$A37,배관기본물량!$B$7:$B$126,"설치")</f>
        <v>0</v>
      </c>
      <c r="C37" s="15" t="n">
        <f aca="false">SUMIFS(배관기본물량!$P$7:$P$126,배관기본물량!$I$7:$I$126,$A37,배관기본물량!$B$7:$B$126,"설치",배관기본물량!$G$7:$G$126,"PIPE")</f>
        <v>0</v>
      </c>
      <c r="D37" s="15" t="n">
        <f aca="false">SUMIFS(배관기본물량!$P$7:$P$126,배관기본물량!$I$7:$I$126,$A37,배관기본물량!$B$7:$B$126,"설치",배관기본물량!$G$7:$G$126,"FITTING")</f>
        <v>0</v>
      </c>
      <c r="E37" s="15" t="n">
        <f aca="false">SUMIFS(배관기본물량!$P$7:$P$126,배관기본물량!$I$7:$I$126,$A37,배관기본물량!$B$7:$B$126,"설치",배관기본물량!$G$7:$G$126,"VALVE")</f>
        <v>0</v>
      </c>
      <c r="F37" s="15" t="n">
        <f aca="false">SUMIFS(배관소재집계!$K$7:$K$126,배관기본물량!$I$7:$I$126,$A37,배관기본물량!$G$7:$G$126,"PIPE")</f>
        <v>0</v>
      </c>
      <c r="G37" s="15" t="n">
        <f aca="false">SUMIFS(배관소재집계!$K$7:$K$126,배관기본물량!$I$7:$I$126,$A37,배관기본물량!$G$7:$G$126,"FITTING")</f>
        <v>0</v>
      </c>
      <c r="H37" s="15" t="n">
        <f aca="false">((F37-C37)+(G37-D37)+(SUMIFS(배관소재집계!$K$7:$K$126,배관기본물량!$I$7:$I$126,$A37,배관기본물량!$G$7:$G$126,"VALVE")-E37))*제작기준!$L$7</f>
        <v>0</v>
      </c>
      <c r="I37" s="17" t="n">
        <f aca="false">IF(S37=0,0,ROUNDUP(S37/배관기준!$AG$7,0))</f>
        <v>0</v>
      </c>
      <c r="J37" s="36" t="n">
        <f aca="false">INDEX(배관기준!$Y$5:$Y$20,MATCH(A37,배관기준!$X$5:$X$20,1))</f>
        <v>13</v>
      </c>
      <c r="K37" s="89" t="n">
        <f aca="false">IF(A37&lt;=배관기준!$AG$13,0,배관기준!$AG$10)</f>
        <v>0.1</v>
      </c>
      <c r="L37" s="17" t="n">
        <f aca="false">ROUNDUP(I37*J37*K37,0)</f>
        <v>0</v>
      </c>
      <c r="M37" s="89" t="n">
        <f aca="false">IF(A37&lt;=배관기준!$AG$13,배관기준!$AG$14,0)</f>
        <v>0</v>
      </c>
      <c r="N37" s="18" t="n">
        <f aca="false">IFERROR(INDEX(배관기준!$B$5:$B$39,MATCH(A37,배관기준!$A$5:$A$39,0))*PI()/1000*I37*M37,0)</f>
        <v>0</v>
      </c>
      <c r="O37" s="34" t="str">
        <f aca="false">IFERROR(INDEX(배관기준!$AL$5:$AL$18,COUNTIF(배관기준!$AK$5:$AK$18,"&lt;"&amp;A37)+1),"")</f>
        <v/>
      </c>
      <c r="P37" s="17" t="n">
        <f aca="false">SUMIFS(배관ARGON!$O$7:$O$21,배관ARGON!$B$7:$B$21,A37)</f>
        <v>0</v>
      </c>
      <c r="Q37" s="17" t="n">
        <f aca="false">ROUNDUP(SUMIFS(배관기본물량!$R$7:$R$126,배관기본물량!$I$7:$I$126,$A37,배관기본물량!$B$7:$B$126,"설치",배관기본물량!$G$7:$G$126,"PIPE",배관기본물량!$S$7:$S$126,"Y"),0)</f>
        <v>0</v>
      </c>
      <c r="R37" s="18" t="n">
        <f aca="false">IFERROR(Q37*INDEX(제작기준!$G$5:$G$400,MATCH("PIPE|"&amp;A37&amp;"A",제작기준!$I$5:$I$400,0)),0)</f>
        <v>0</v>
      </c>
      <c r="S37" s="15" t="n">
        <f aca="false">SUMIFS(배관기본물량!$R$7:$R$126,배관기본물량!$I$7:$I$126,$A37,배관기본물량!$B$7:$B$126,"설치",배관기본물량!$G$7:$G$126,"PIPE",배관기본물량!$X$7:$X$126,"○")</f>
        <v>0</v>
      </c>
      <c r="T37" s="15" t="n">
        <f aca="false">SUMIFS(배관기본물량!$R$7:$R$126,배관기본물량!$I$7:$I$126,$A37,배관기본물량!$B$7:$B$126,"설치",배관기본물량!$G$7:$G$126,"PIPE",배관기본물량!$W$7:$W$126,"○")</f>
        <v>0</v>
      </c>
      <c r="U37" s="8" t="n">
        <f aca="false">SUMIFS(배관기본물량!$P$7:$P$126,배관기본물량!$I$7:$I$126,$A37,배관기본물량!$B$7:$B$126,"설치",배관기본물량!$Y$7:$Y$126,"○")/1000</f>
        <v>0</v>
      </c>
      <c r="V37" s="8" t="n">
        <f aca="false">SUMIFS(배관기본물량!$P$7:$P$126,배관기본물량!$I$7:$I$126,$A37,배관기본물량!$B$7:$B$126,"설치",배관기본물량!$Z$7:$Z$126,"○")/1000</f>
        <v>0</v>
      </c>
      <c r="W37" s="17" t="n">
        <f aca="false">IFERROR(PI()/4*(INDEX(배관기준!$B$5:$B$39,MATCH($A37,배관기준!$A$5:$A$39,0))^2-4*INDEX(배관단중표!$B$7:$W$41,MATCH($A37,배관단중표!$A$7:$A$41,0),MATCH("SPPS|SCH40",배관단중표!$B$6:$W$6,0))/(PI()*제작기준!$L$8/1000))/INDEX(배관단중표!$B$7:$W$41,MATCH($A37,배관단중표!$A$7:$A$41,0),MATCH("SPPS|SCH40",배관단중표!$B$6:$W$6,0)),0)</f>
        <v>0</v>
      </c>
      <c r="X37" s="15" t="n">
        <f aca="false">V37*W37</f>
        <v>0</v>
      </c>
      <c r="Y37" s="15" t="n">
        <f aca="false">SUMIFS(배관기본물량!$R$7:$R$126,배관기본물량!$I$7:$I$126,$A37,배관기본물량!$B$7:$B$126,"설치",배관기본물량!$G$7:$G$126,"PIPE",배관기본물량!$S$7:$S$126,"Y",배관기본물량!$Y$7:$Y$126,"○")</f>
        <v>0</v>
      </c>
      <c r="Z37" s="18" t="n">
        <f aca="false">IFERROR(ROUNDUP(Y37,0)*INDEX(제작기준!$G$5:$G$400,MATCH("PIPE|"&amp;$A37&amp;"A",제작기준!$I$5:$I$400,0)),0)</f>
        <v>0</v>
      </c>
    </row>
    <row r="38" customFormat="false" ht="15" hidden="false" customHeight="true" outlineLevel="0" collapsed="false">
      <c r="A38" s="19" t="n">
        <v>1100</v>
      </c>
      <c r="B38" s="15" t="n">
        <f aca="false">SUMIFS(배관기본물량!$R$7:$R$126,배관기본물량!$I$7:$I$126,$A38,배관기본물량!$B$7:$B$126,"설치")</f>
        <v>0</v>
      </c>
      <c r="C38" s="15" t="n">
        <f aca="false">SUMIFS(배관기본물량!$P$7:$P$126,배관기본물량!$I$7:$I$126,$A38,배관기본물량!$B$7:$B$126,"설치",배관기본물량!$G$7:$G$126,"PIPE")</f>
        <v>0</v>
      </c>
      <c r="D38" s="15" t="n">
        <f aca="false">SUMIFS(배관기본물량!$P$7:$P$126,배관기본물량!$I$7:$I$126,$A38,배관기본물량!$B$7:$B$126,"설치",배관기본물량!$G$7:$G$126,"FITTING")</f>
        <v>0</v>
      </c>
      <c r="E38" s="15" t="n">
        <f aca="false">SUMIFS(배관기본물량!$P$7:$P$126,배관기본물량!$I$7:$I$126,$A38,배관기본물량!$B$7:$B$126,"설치",배관기본물량!$G$7:$G$126,"VALVE")</f>
        <v>0</v>
      </c>
      <c r="F38" s="15" t="n">
        <f aca="false">SUMIFS(배관소재집계!$K$7:$K$126,배관기본물량!$I$7:$I$126,$A38,배관기본물량!$G$7:$G$126,"PIPE")</f>
        <v>0</v>
      </c>
      <c r="G38" s="15" t="n">
        <f aca="false">SUMIFS(배관소재집계!$K$7:$K$126,배관기본물량!$I$7:$I$126,$A38,배관기본물량!$G$7:$G$126,"FITTING")</f>
        <v>0</v>
      </c>
      <c r="H38" s="15" t="n">
        <f aca="false">((F38-C38)+(G38-D38)+(SUMIFS(배관소재집계!$K$7:$K$126,배관기본물량!$I$7:$I$126,$A38,배관기본물량!$G$7:$G$126,"VALVE")-E38))*제작기준!$L$7</f>
        <v>0</v>
      </c>
      <c r="I38" s="17" t="n">
        <f aca="false">IF(S38=0,0,ROUNDUP(S38/배관기준!$AG$7,0))</f>
        <v>0</v>
      </c>
      <c r="J38" s="36" t="n">
        <f aca="false">INDEX(배관기준!$Y$5:$Y$20,MATCH(A38,배관기준!$X$5:$X$20,1))</f>
        <v>14</v>
      </c>
      <c r="K38" s="89" t="n">
        <f aca="false">IF(A38&lt;=배관기준!$AG$13,0,배관기준!$AG$10)</f>
        <v>0.1</v>
      </c>
      <c r="L38" s="17" t="n">
        <f aca="false">ROUNDUP(I38*J38*K38,0)</f>
        <v>0</v>
      </c>
      <c r="M38" s="89" t="n">
        <f aca="false">IF(A38&lt;=배관기준!$AG$13,배관기준!$AG$14,0)</f>
        <v>0</v>
      </c>
      <c r="N38" s="18" t="n">
        <f aca="false">IFERROR(INDEX(배관기준!$B$5:$B$39,MATCH(A38,배관기준!$A$5:$A$39,0))*PI()/1000*I38*M38,0)</f>
        <v>0</v>
      </c>
      <c r="O38" s="34" t="str">
        <f aca="false">IFERROR(INDEX(배관기준!$AL$5:$AL$18,COUNTIF(배관기준!$AK$5:$AK$18,"&lt;"&amp;A38)+1),"")</f>
        <v/>
      </c>
      <c r="P38" s="17" t="n">
        <f aca="false">SUMIFS(배관ARGON!$O$7:$O$21,배관ARGON!$B$7:$B$21,A38)</f>
        <v>0</v>
      </c>
      <c r="Q38" s="17" t="n">
        <f aca="false">ROUNDUP(SUMIFS(배관기본물량!$R$7:$R$126,배관기본물량!$I$7:$I$126,$A38,배관기본물량!$B$7:$B$126,"설치",배관기본물량!$G$7:$G$126,"PIPE",배관기본물량!$S$7:$S$126,"Y"),0)</f>
        <v>0</v>
      </c>
      <c r="R38" s="18" t="n">
        <f aca="false">IFERROR(Q38*INDEX(제작기준!$G$5:$G$400,MATCH("PIPE|"&amp;A38&amp;"A",제작기준!$I$5:$I$400,0)),0)</f>
        <v>0</v>
      </c>
      <c r="S38" s="15" t="n">
        <f aca="false">SUMIFS(배관기본물량!$R$7:$R$126,배관기본물량!$I$7:$I$126,$A38,배관기본물량!$B$7:$B$126,"설치",배관기본물량!$G$7:$G$126,"PIPE",배관기본물량!$X$7:$X$126,"○")</f>
        <v>0</v>
      </c>
      <c r="T38" s="15" t="n">
        <f aca="false">SUMIFS(배관기본물량!$R$7:$R$126,배관기본물량!$I$7:$I$126,$A38,배관기본물량!$B$7:$B$126,"설치",배관기본물량!$G$7:$G$126,"PIPE",배관기본물량!$W$7:$W$126,"○")</f>
        <v>0</v>
      </c>
      <c r="U38" s="8" t="n">
        <f aca="false">SUMIFS(배관기본물량!$P$7:$P$126,배관기본물량!$I$7:$I$126,$A38,배관기본물량!$B$7:$B$126,"설치",배관기본물량!$Y$7:$Y$126,"○")/1000</f>
        <v>0</v>
      </c>
      <c r="V38" s="8" t="n">
        <f aca="false">SUMIFS(배관기본물량!$P$7:$P$126,배관기본물량!$I$7:$I$126,$A38,배관기본물량!$B$7:$B$126,"설치",배관기본물량!$Z$7:$Z$126,"○")/1000</f>
        <v>0</v>
      </c>
      <c r="W38" s="17" t="n">
        <f aca="false">IFERROR(PI()/4*(INDEX(배관기준!$B$5:$B$39,MATCH($A38,배관기준!$A$5:$A$39,0))^2-4*INDEX(배관단중표!$B$7:$W$41,MATCH($A38,배관단중표!$A$7:$A$41,0),MATCH("SPPS|SCH40",배관단중표!$B$6:$W$6,0))/(PI()*제작기준!$L$8/1000))/INDEX(배관단중표!$B$7:$W$41,MATCH($A38,배관단중표!$A$7:$A$41,0),MATCH("SPPS|SCH40",배관단중표!$B$6:$W$6,0)),0)</f>
        <v>0</v>
      </c>
      <c r="X38" s="15" t="n">
        <f aca="false">V38*W38</f>
        <v>0</v>
      </c>
      <c r="Y38" s="15" t="n">
        <f aca="false">SUMIFS(배관기본물량!$R$7:$R$126,배관기본물량!$I$7:$I$126,$A38,배관기본물량!$B$7:$B$126,"설치",배관기본물량!$G$7:$G$126,"PIPE",배관기본물량!$S$7:$S$126,"Y",배관기본물량!$Y$7:$Y$126,"○")</f>
        <v>0</v>
      </c>
      <c r="Z38" s="18" t="n">
        <f aca="false">IFERROR(ROUNDUP(Y38,0)*INDEX(제작기준!$G$5:$G$400,MATCH("PIPE|"&amp;$A38&amp;"A",제작기준!$I$5:$I$400,0)),0)</f>
        <v>0</v>
      </c>
    </row>
    <row r="39" customFormat="false" ht="15" hidden="false" customHeight="true" outlineLevel="0" collapsed="false">
      <c r="A39" s="19" t="n">
        <v>1200</v>
      </c>
      <c r="B39" s="15" t="n">
        <f aca="false">SUMIFS(배관기본물량!$R$7:$R$126,배관기본물량!$I$7:$I$126,$A39,배관기본물량!$B$7:$B$126,"설치")</f>
        <v>0</v>
      </c>
      <c r="C39" s="15" t="n">
        <f aca="false">SUMIFS(배관기본물량!$P$7:$P$126,배관기본물량!$I$7:$I$126,$A39,배관기본물량!$B$7:$B$126,"설치",배관기본물량!$G$7:$G$126,"PIPE")</f>
        <v>0</v>
      </c>
      <c r="D39" s="15" t="n">
        <f aca="false">SUMIFS(배관기본물량!$P$7:$P$126,배관기본물량!$I$7:$I$126,$A39,배관기본물량!$B$7:$B$126,"설치",배관기본물량!$G$7:$G$126,"FITTING")</f>
        <v>0</v>
      </c>
      <c r="E39" s="15" t="n">
        <f aca="false">SUMIFS(배관기본물량!$P$7:$P$126,배관기본물량!$I$7:$I$126,$A39,배관기본물량!$B$7:$B$126,"설치",배관기본물량!$G$7:$G$126,"VALVE")</f>
        <v>0</v>
      </c>
      <c r="F39" s="15" t="n">
        <f aca="false">SUMIFS(배관소재집계!$K$7:$K$126,배관기본물량!$I$7:$I$126,$A39,배관기본물량!$G$7:$G$126,"PIPE")</f>
        <v>0</v>
      </c>
      <c r="G39" s="15" t="n">
        <f aca="false">SUMIFS(배관소재집계!$K$7:$K$126,배관기본물량!$I$7:$I$126,$A39,배관기본물량!$G$7:$G$126,"FITTING")</f>
        <v>0</v>
      </c>
      <c r="H39" s="15" t="n">
        <f aca="false">((F39-C39)+(G39-D39)+(SUMIFS(배관소재집계!$K$7:$K$126,배관기본물량!$I$7:$I$126,$A39,배관기본물량!$G$7:$G$126,"VALVE")-E39))*제작기준!$L$7</f>
        <v>0</v>
      </c>
      <c r="I39" s="17" t="n">
        <f aca="false">IF(S39=0,0,ROUNDUP(S39/배관기준!$AG$7,0))</f>
        <v>0</v>
      </c>
      <c r="J39" s="36" t="n">
        <f aca="false">INDEX(배관기준!$Y$5:$Y$20,MATCH(A39,배관기준!$X$5:$X$20,1))</f>
        <v>16</v>
      </c>
      <c r="K39" s="89" t="n">
        <f aca="false">IF(A39&lt;=배관기준!$AG$13,0,배관기준!$AG$10)</f>
        <v>0.1</v>
      </c>
      <c r="L39" s="17" t="n">
        <f aca="false">ROUNDUP(I39*J39*K39,0)</f>
        <v>0</v>
      </c>
      <c r="M39" s="89" t="n">
        <f aca="false">IF(A39&lt;=배관기준!$AG$13,배관기준!$AG$14,0)</f>
        <v>0</v>
      </c>
      <c r="N39" s="18" t="n">
        <f aca="false">IFERROR(INDEX(배관기준!$B$5:$B$39,MATCH(A39,배관기준!$A$5:$A$39,0))*PI()/1000*I39*M39,0)</f>
        <v>0</v>
      </c>
      <c r="O39" s="34" t="str">
        <f aca="false">IFERROR(INDEX(배관기준!$AL$5:$AL$18,COUNTIF(배관기준!$AK$5:$AK$18,"&lt;"&amp;A39)+1),"")</f>
        <v/>
      </c>
      <c r="P39" s="17" t="n">
        <f aca="false">SUMIFS(배관ARGON!$O$7:$O$21,배관ARGON!$B$7:$B$21,A39)</f>
        <v>0</v>
      </c>
      <c r="Q39" s="17" t="n">
        <f aca="false">ROUNDUP(SUMIFS(배관기본물량!$R$7:$R$126,배관기본물량!$I$7:$I$126,$A39,배관기본물량!$B$7:$B$126,"설치",배관기본물량!$G$7:$G$126,"PIPE",배관기본물량!$S$7:$S$126,"Y"),0)</f>
        <v>0</v>
      </c>
      <c r="R39" s="18" t="n">
        <f aca="false">IFERROR(Q39*INDEX(제작기준!$G$5:$G$400,MATCH("PIPE|"&amp;A39&amp;"A",제작기준!$I$5:$I$400,0)),0)</f>
        <v>0</v>
      </c>
      <c r="S39" s="15" t="n">
        <f aca="false">SUMIFS(배관기본물량!$R$7:$R$126,배관기본물량!$I$7:$I$126,$A39,배관기본물량!$B$7:$B$126,"설치",배관기본물량!$G$7:$G$126,"PIPE",배관기본물량!$X$7:$X$126,"○")</f>
        <v>0</v>
      </c>
      <c r="T39" s="15" t="n">
        <f aca="false">SUMIFS(배관기본물량!$R$7:$R$126,배관기본물량!$I$7:$I$126,$A39,배관기본물량!$B$7:$B$126,"설치",배관기본물량!$G$7:$G$126,"PIPE",배관기본물량!$W$7:$W$126,"○")</f>
        <v>0</v>
      </c>
      <c r="U39" s="8" t="n">
        <f aca="false">SUMIFS(배관기본물량!$P$7:$P$126,배관기본물량!$I$7:$I$126,$A39,배관기본물량!$B$7:$B$126,"설치",배관기본물량!$Y$7:$Y$126,"○")/1000</f>
        <v>0</v>
      </c>
      <c r="V39" s="8" t="n">
        <f aca="false">SUMIFS(배관기본물량!$P$7:$P$126,배관기본물량!$I$7:$I$126,$A39,배관기본물량!$B$7:$B$126,"설치",배관기본물량!$Z$7:$Z$126,"○")/1000</f>
        <v>0</v>
      </c>
      <c r="W39" s="17" t="n">
        <f aca="false">IFERROR(PI()/4*(INDEX(배관기준!$B$5:$B$39,MATCH($A39,배관기준!$A$5:$A$39,0))^2-4*INDEX(배관단중표!$B$7:$W$41,MATCH($A39,배관단중표!$A$7:$A$41,0),MATCH("SPPS|SCH40",배관단중표!$B$6:$W$6,0))/(PI()*제작기준!$L$8/1000))/INDEX(배관단중표!$B$7:$W$41,MATCH($A39,배관단중표!$A$7:$A$41,0),MATCH("SPPS|SCH40",배관단중표!$B$6:$W$6,0)),0)</f>
        <v>0</v>
      </c>
      <c r="X39" s="15" t="n">
        <f aca="false">V39*W39</f>
        <v>0</v>
      </c>
      <c r="Y39" s="15" t="n">
        <f aca="false">SUMIFS(배관기본물량!$R$7:$R$126,배관기본물량!$I$7:$I$126,$A39,배관기본물량!$B$7:$B$126,"설치",배관기본물량!$G$7:$G$126,"PIPE",배관기본물량!$S$7:$S$126,"Y",배관기본물량!$Y$7:$Y$126,"○")</f>
        <v>0</v>
      </c>
      <c r="Z39" s="18" t="n">
        <f aca="false">IFERROR(ROUNDUP(Y39,0)*INDEX(제작기준!$G$5:$G$400,MATCH("PIPE|"&amp;$A39&amp;"A",제작기준!$I$5:$I$400,0)),0)</f>
        <v>0</v>
      </c>
    </row>
    <row r="40" customFormat="false" ht="15" hidden="false" customHeight="true" outlineLevel="0" collapsed="false">
      <c r="A40" s="19" t="n">
        <v>1350</v>
      </c>
      <c r="B40" s="15" t="n">
        <f aca="false">SUMIFS(배관기본물량!$R$7:$R$126,배관기본물량!$I$7:$I$126,$A40,배관기본물량!$B$7:$B$126,"설치")</f>
        <v>0</v>
      </c>
      <c r="C40" s="15" t="n">
        <f aca="false">SUMIFS(배관기본물량!$P$7:$P$126,배관기본물량!$I$7:$I$126,$A40,배관기본물량!$B$7:$B$126,"설치",배관기본물량!$G$7:$G$126,"PIPE")</f>
        <v>0</v>
      </c>
      <c r="D40" s="15" t="n">
        <f aca="false">SUMIFS(배관기본물량!$P$7:$P$126,배관기본물량!$I$7:$I$126,$A40,배관기본물량!$B$7:$B$126,"설치",배관기본물량!$G$7:$G$126,"FITTING")</f>
        <v>0</v>
      </c>
      <c r="E40" s="15" t="n">
        <f aca="false">SUMIFS(배관기본물량!$P$7:$P$126,배관기본물량!$I$7:$I$126,$A40,배관기본물량!$B$7:$B$126,"설치",배관기본물량!$G$7:$G$126,"VALVE")</f>
        <v>0</v>
      </c>
      <c r="F40" s="15" t="n">
        <f aca="false">SUMIFS(배관소재집계!$K$7:$K$126,배관기본물량!$I$7:$I$126,$A40,배관기본물량!$G$7:$G$126,"PIPE")</f>
        <v>0</v>
      </c>
      <c r="G40" s="15" t="n">
        <f aca="false">SUMIFS(배관소재집계!$K$7:$K$126,배관기본물량!$I$7:$I$126,$A40,배관기본물량!$G$7:$G$126,"FITTING")</f>
        <v>0</v>
      </c>
      <c r="H40" s="15" t="n">
        <f aca="false">((F40-C40)+(G40-D40)+(SUMIFS(배관소재집계!$K$7:$K$126,배관기본물량!$I$7:$I$126,$A40,배관기본물량!$G$7:$G$126,"VALVE")-E40))*제작기준!$L$7</f>
        <v>0</v>
      </c>
      <c r="I40" s="17" t="n">
        <f aca="false">IF(S40=0,0,ROUNDUP(S40/배관기준!$AG$7,0))</f>
        <v>0</v>
      </c>
      <c r="J40" s="36" t="n">
        <f aca="false">INDEX(배관기준!$Y$5:$Y$20,MATCH(A40,배관기준!$X$5:$X$20,1))</f>
        <v>17</v>
      </c>
      <c r="K40" s="89" t="n">
        <f aca="false">IF(A40&lt;=배관기준!$AG$13,0,배관기준!$AG$10)</f>
        <v>0.1</v>
      </c>
      <c r="L40" s="17" t="n">
        <f aca="false">ROUNDUP(I40*J40*K40,0)</f>
        <v>0</v>
      </c>
      <c r="M40" s="89" t="n">
        <f aca="false">IF(A40&lt;=배관기준!$AG$13,배관기준!$AG$14,0)</f>
        <v>0</v>
      </c>
      <c r="N40" s="18" t="n">
        <f aca="false">IFERROR(INDEX(배관기준!$B$5:$B$39,MATCH(A40,배관기준!$A$5:$A$39,0))*PI()/1000*I40*M40,0)</f>
        <v>0</v>
      </c>
      <c r="O40" s="34" t="str">
        <f aca="false">IFERROR(INDEX(배관기준!$AL$5:$AL$18,COUNTIF(배관기준!$AK$5:$AK$18,"&lt;"&amp;A40)+1),"")</f>
        <v/>
      </c>
      <c r="P40" s="17" t="n">
        <f aca="false">SUMIFS(배관ARGON!$O$7:$O$21,배관ARGON!$B$7:$B$21,A40)</f>
        <v>0</v>
      </c>
      <c r="Q40" s="17" t="n">
        <f aca="false">ROUNDUP(SUMIFS(배관기본물량!$R$7:$R$126,배관기본물량!$I$7:$I$126,$A40,배관기본물량!$B$7:$B$126,"설치",배관기본물량!$G$7:$G$126,"PIPE",배관기본물량!$S$7:$S$126,"Y"),0)</f>
        <v>0</v>
      </c>
      <c r="R40" s="18" t="n">
        <f aca="false">IFERROR(Q40*INDEX(제작기준!$G$5:$G$400,MATCH("PIPE|"&amp;A40&amp;"A",제작기준!$I$5:$I$400,0)),0)</f>
        <v>0</v>
      </c>
      <c r="S40" s="15" t="n">
        <f aca="false">SUMIFS(배관기본물량!$R$7:$R$126,배관기본물량!$I$7:$I$126,$A40,배관기본물량!$B$7:$B$126,"설치",배관기본물량!$G$7:$G$126,"PIPE",배관기본물량!$X$7:$X$126,"○")</f>
        <v>0</v>
      </c>
      <c r="T40" s="15" t="n">
        <f aca="false">SUMIFS(배관기본물량!$R$7:$R$126,배관기본물량!$I$7:$I$126,$A40,배관기본물량!$B$7:$B$126,"설치",배관기본물량!$G$7:$G$126,"PIPE",배관기본물량!$W$7:$W$126,"○")</f>
        <v>0</v>
      </c>
      <c r="U40" s="8" t="n">
        <f aca="false">SUMIFS(배관기본물량!$P$7:$P$126,배관기본물량!$I$7:$I$126,$A40,배관기본물량!$B$7:$B$126,"설치",배관기본물량!$Y$7:$Y$126,"○")/1000</f>
        <v>0</v>
      </c>
      <c r="V40" s="8" t="n">
        <f aca="false">SUMIFS(배관기본물량!$P$7:$P$126,배관기본물량!$I$7:$I$126,$A40,배관기본물량!$B$7:$B$126,"설치",배관기본물량!$Z$7:$Z$126,"○")/1000</f>
        <v>0</v>
      </c>
      <c r="W40" s="17" t="n">
        <f aca="false">IFERROR(PI()/4*(INDEX(배관기준!$B$5:$B$39,MATCH($A40,배관기준!$A$5:$A$39,0))^2-4*INDEX(배관단중표!$B$7:$W$41,MATCH($A40,배관단중표!$A$7:$A$41,0),MATCH("SPPS|SCH40",배관단중표!$B$6:$W$6,0))/(PI()*제작기준!$L$8/1000))/INDEX(배관단중표!$B$7:$W$41,MATCH($A40,배관단중표!$A$7:$A$41,0),MATCH("SPPS|SCH40",배관단중표!$B$6:$W$6,0)),0)</f>
        <v>0</v>
      </c>
      <c r="X40" s="15" t="n">
        <f aca="false">V40*W40</f>
        <v>0</v>
      </c>
      <c r="Y40" s="15" t="n">
        <f aca="false">SUMIFS(배관기본물량!$R$7:$R$126,배관기본물량!$I$7:$I$126,$A40,배관기본물량!$B$7:$B$126,"설치",배관기본물량!$G$7:$G$126,"PIPE",배관기본물량!$S$7:$S$126,"Y",배관기본물량!$Y$7:$Y$126,"○")</f>
        <v>0</v>
      </c>
      <c r="Z40" s="18" t="n">
        <f aca="false">IFERROR(ROUNDUP(Y40,0)*INDEX(제작기준!$G$5:$G$400,MATCH("PIPE|"&amp;$A40&amp;"A",제작기준!$I$5:$I$400,0)),0)</f>
        <v>0</v>
      </c>
    </row>
    <row r="41" customFormat="false" ht="15" hidden="false" customHeight="true" outlineLevel="0" collapsed="false">
      <c r="A41" s="19" t="n">
        <v>1500</v>
      </c>
      <c r="B41" s="15" t="n">
        <f aca="false">SUMIFS(배관기본물량!$R$7:$R$126,배관기본물량!$I$7:$I$126,$A41,배관기본물량!$B$7:$B$126,"설치")</f>
        <v>0</v>
      </c>
      <c r="C41" s="15" t="n">
        <f aca="false">SUMIFS(배관기본물량!$P$7:$P$126,배관기본물량!$I$7:$I$126,$A41,배관기본물량!$B$7:$B$126,"설치",배관기본물량!$G$7:$G$126,"PIPE")</f>
        <v>0</v>
      </c>
      <c r="D41" s="15" t="n">
        <f aca="false">SUMIFS(배관기본물량!$P$7:$P$126,배관기본물량!$I$7:$I$126,$A41,배관기본물량!$B$7:$B$126,"설치",배관기본물량!$G$7:$G$126,"FITTING")</f>
        <v>0</v>
      </c>
      <c r="E41" s="15" t="n">
        <f aca="false">SUMIFS(배관기본물량!$P$7:$P$126,배관기본물량!$I$7:$I$126,$A41,배관기본물량!$B$7:$B$126,"설치",배관기본물량!$G$7:$G$126,"VALVE")</f>
        <v>0</v>
      </c>
      <c r="F41" s="15" t="n">
        <f aca="false">SUMIFS(배관소재집계!$K$7:$K$126,배관기본물량!$I$7:$I$126,$A41,배관기본물량!$G$7:$G$126,"PIPE")</f>
        <v>0</v>
      </c>
      <c r="G41" s="15" t="n">
        <f aca="false">SUMIFS(배관소재집계!$K$7:$K$126,배관기본물량!$I$7:$I$126,$A41,배관기본물량!$G$7:$G$126,"FITTING")</f>
        <v>0</v>
      </c>
      <c r="H41" s="15" t="n">
        <f aca="false">((F41-C41)+(G41-D41)+(SUMIFS(배관소재집계!$K$7:$K$126,배관기본물량!$I$7:$I$126,$A41,배관기본물량!$G$7:$G$126,"VALVE")-E41))*제작기준!$L$7</f>
        <v>0</v>
      </c>
      <c r="I41" s="17" t="n">
        <f aca="false">IF(S41=0,0,ROUNDUP(S41/배관기준!$AG$7,0))</f>
        <v>0</v>
      </c>
      <c r="J41" s="36" t="n">
        <f aca="false">INDEX(배관기준!$Y$5:$Y$20,MATCH(A41,배관기준!$X$5:$X$20,1))</f>
        <v>20</v>
      </c>
      <c r="K41" s="89" t="n">
        <f aca="false">IF(A41&lt;=배관기준!$AG$13,0,배관기준!$AG$10)</f>
        <v>0.1</v>
      </c>
      <c r="L41" s="17" t="n">
        <f aca="false">ROUNDUP(I41*J41*K41,0)</f>
        <v>0</v>
      </c>
      <c r="M41" s="89" t="n">
        <f aca="false">IF(A41&lt;=배관기준!$AG$13,배관기준!$AG$14,0)</f>
        <v>0</v>
      </c>
      <c r="N41" s="18" t="n">
        <f aca="false">IFERROR(INDEX(배관기준!$B$5:$B$39,MATCH(A41,배관기준!$A$5:$A$39,0))*PI()/1000*I41*M41,0)</f>
        <v>0</v>
      </c>
      <c r="O41" s="34" t="str">
        <f aca="false">IFERROR(INDEX(배관기준!$AL$5:$AL$18,COUNTIF(배관기준!$AK$5:$AK$18,"&lt;"&amp;A41)+1),"")</f>
        <v/>
      </c>
      <c r="P41" s="17" t="n">
        <f aca="false">SUMIFS(배관ARGON!$O$7:$O$21,배관ARGON!$B$7:$B$21,A41)</f>
        <v>0</v>
      </c>
      <c r="Q41" s="17" t="n">
        <f aca="false">ROUNDUP(SUMIFS(배관기본물량!$R$7:$R$126,배관기본물량!$I$7:$I$126,$A41,배관기본물량!$B$7:$B$126,"설치",배관기본물량!$G$7:$G$126,"PIPE",배관기본물량!$S$7:$S$126,"Y"),0)</f>
        <v>0</v>
      </c>
      <c r="R41" s="18" t="n">
        <f aca="false">IFERROR(Q41*INDEX(제작기준!$G$5:$G$400,MATCH("PIPE|"&amp;A41&amp;"A",제작기준!$I$5:$I$400,0)),0)</f>
        <v>0</v>
      </c>
      <c r="S41" s="15" t="n">
        <f aca="false">SUMIFS(배관기본물량!$R$7:$R$126,배관기본물량!$I$7:$I$126,$A41,배관기본물량!$B$7:$B$126,"설치",배관기본물량!$G$7:$G$126,"PIPE",배관기본물량!$X$7:$X$126,"○")</f>
        <v>0</v>
      </c>
      <c r="T41" s="15" t="n">
        <f aca="false">SUMIFS(배관기본물량!$R$7:$R$126,배관기본물량!$I$7:$I$126,$A41,배관기본물량!$B$7:$B$126,"설치",배관기본물량!$G$7:$G$126,"PIPE",배관기본물량!$W$7:$W$126,"○")</f>
        <v>0</v>
      </c>
      <c r="U41" s="8" t="n">
        <f aca="false">SUMIFS(배관기본물량!$P$7:$P$126,배관기본물량!$I$7:$I$126,$A41,배관기본물량!$B$7:$B$126,"설치",배관기본물량!$Y$7:$Y$126,"○")/1000</f>
        <v>0</v>
      </c>
      <c r="V41" s="8" t="n">
        <f aca="false">SUMIFS(배관기본물량!$P$7:$P$126,배관기본물량!$I$7:$I$126,$A41,배관기본물량!$B$7:$B$126,"설치",배관기본물량!$Z$7:$Z$126,"○")/1000</f>
        <v>0</v>
      </c>
      <c r="W41" s="17" t="n">
        <f aca="false">IFERROR(PI()/4*(INDEX(배관기준!$B$5:$B$39,MATCH($A41,배관기준!$A$5:$A$39,0))^2-4*INDEX(배관단중표!$B$7:$W$41,MATCH($A41,배관단중표!$A$7:$A$41,0),MATCH("SPPS|SCH40",배관단중표!$B$6:$W$6,0))/(PI()*제작기준!$L$8/1000))/INDEX(배관단중표!$B$7:$W$41,MATCH($A41,배관단중표!$A$7:$A$41,0),MATCH("SPPS|SCH40",배관단중표!$B$6:$W$6,0)),0)</f>
        <v>0</v>
      </c>
      <c r="X41" s="15" t="n">
        <f aca="false">V41*W41</f>
        <v>0</v>
      </c>
      <c r="Y41" s="15" t="n">
        <f aca="false">SUMIFS(배관기본물량!$R$7:$R$126,배관기본물량!$I$7:$I$126,$A41,배관기본물량!$B$7:$B$126,"설치",배관기본물량!$G$7:$G$126,"PIPE",배관기본물량!$S$7:$S$126,"Y",배관기본물량!$Y$7:$Y$126,"○")</f>
        <v>0</v>
      </c>
      <c r="Z41" s="18" t="n">
        <f aca="false">IFERROR(ROUNDUP(Y41,0)*INDEX(제작기준!$G$5:$G$400,MATCH("PIPE|"&amp;$A41&amp;"A",제작기준!$I$5:$I$400,0)),0)</f>
        <v>0</v>
      </c>
    </row>
    <row r="42" customFormat="false" ht="15" hidden="false" customHeight="true" outlineLevel="0" collapsed="false">
      <c r="A42" s="44" t="s">
        <v>160</v>
      </c>
      <c r="B42" s="60" t="n">
        <f aca="false">SUM(B7:B41)</f>
        <v>68.7712</v>
      </c>
      <c r="C42" s="60" t="n">
        <f aca="false">SUM(C7:C41)</f>
        <v>1999.80721</v>
      </c>
      <c r="D42" s="60" t="n">
        <f aca="false">SUM(D7:D41)</f>
        <v>985.5</v>
      </c>
      <c r="E42" s="60" t="n">
        <f aca="false">SUM(E7:E41)</f>
        <v>2150</v>
      </c>
      <c r="F42" s="60" t="n">
        <f aca="false">SUM(F7:F41)</f>
        <v>2139.78</v>
      </c>
      <c r="G42" s="60" t="n">
        <f aca="false">SUM(G7:G41)</f>
        <v>985.5</v>
      </c>
      <c r="H42" s="60" t="n">
        <f aca="false">SUM(H7:H41)</f>
        <v>97.9809529999999</v>
      </c>
      <c r="I42" s="60" t="n">
        <f aca="false">SUM(I7:I41)</f>
        <v>26</v>
      </c>
      <c r="J42" s="10"/>
      <c r="K42" s="10"/>
      <c r="L42" s="60" t="n">
        <f aca="false">SUM(L7:L41)</f>
        <v>11</v>
      </c>
      <c r="M42" s="10"/>
      <c r="N42" s="60" t="n">
        <f aca="false">SUM(N7:N41)</f>
        <v>0.00681725605828985</v>
      </c>
      <c r="O42" s="10"/>
      <c r="P42" s="60" t="n">
        <f aca="false">SUM(P7:P41)</f>
        <v>42604</v>
      </c>
      <c r="Q42" s="60" t="n">
        <f aca="false">SUM(Q7:Q41)</f>
        <v>5</v>
      </c>
      <c r="R42" s="60" t="n">
        <f aca="false">SUM(R7:R41)</f>
        <v>5.003</v>
      </c>
      <c r="S42" s="60" t="n">
        <f aca="false">SUM(S7:S41)</f>
        <v>68.7712</v>
      </c>
      <c r="T42" s="60" t="n">
        <f aca="false">SUM(T7:T41)</f>
        <v>64.1562</v>
      </c>
      <c r="U42" s="60" t="n">
        <f aca="false">SUM(U7:U41)</f>
        <v>0</v>
      </c>
      <c r="V42" s="60" t="n">
        <f aca="false">SUM(V7:V41)</f>
        <v>5.13410721</v>
      </c>
      <c r="W42" s="10"/>
      <c r="X42" s="60" t="n">
        <f aca="false">SUM(X7:X41)</f>
        <v>3917.40381506717</v>
      </c>
      <c r="Y42" s="60" t="n">
        <f aca="false">SUM(Y7:Y41)</f>
        <v>0</v>
      </c>
      <c r="Z42" s="60" t="n">
        <f aca="false">SUM(Z7:Z41)</f>
        <v>0</v>
      </c>
    </row>
    <row r="44" customFormat="false" ht="26.25" hidden="false" customHeight="true" outlineLevel="0" collapsed="false">
      <c r="A44" s="16" t="s">
        <v>852</v>
      </c>
      <c r="C44" s="90" t="n">
        <f aca="false">ROUNDUP(P42/배관기준!$AG$9,0)</f>
        <v>7</v>
      </c>
    </row>
    <row r="45" customFormat="false" ht="37.5" hidden="false" customHeight="true" outlineLevel="0" collapsed="false">
      <c r="A45" s="7" t="s">
        <v>853</v>
      </c>
      <c r="C45" s="62" t="n">
        <f aca="false">H42</f>
        <v>97.9809529999999</v>
      </c>
    </row>
    <row r="47" customFormat="false" ht="15" hidden="false" customHeight="true" outlineLevel="0" collapsed="false">
      <c r="A47" s="3" t="s">
        <v>854</v>
      </c>
    </row>
    <row r="48" customFormat="false" ht="15" hidden="false" customHeight="true" outlineLevel="0" collapsed="false">
      <c r="A48" s="3" t="s">
        <v>855</v>
      </c>
    </row>
    <row r="51" customFormat="false" ht="15" hidden="false" customHeight="true" outlineLevel="0" collapsed="false">
      <c r="A51" s="91" t="s">
        <v>856</v>
      </c>
    </row>
    <row r="52" customFormat="false" ht="15" hidden="false" customHeight="true" outlineLevel="0" collapsed="false">
      <c r="A52" s="16" t="s">
        <v>857</v>
      </c>
      <c r="B52" s="62" t="n">
        <f aca="false">X42</f>
        <v>3917.40381506717</v>
      </c>
    </row>
    <row r="53" customFormat="false" ht="29.25" hidden="false" customHeight="true" outlineLevel="0" collapsed="false">
      <c r="A53" s="16" t="s">
        <v>858</v>
      </c>
      <c r="B53" s="53" t="n">
        <v>0</v>
      </c>
    </row>
    <row r="54" customFormat="false" ht="15" hidden="false" customHeight="true" outlineLevel="0" collapsed="false">
      <c r="A54" s="16" t="s">
        <v>859</v>
      </c>
      <c r="B54" s="62" t="n">
        <f aca="false">IF(1.1*B52&gt;=4000,1.1*B52,1.1*(B53+B52))</f>
        <v>4309.14419657389</v>
      </c>
    </row>
    <row r="56" customFormat="false" ht="15" hidden="false" customHeight="true" outlineLevel="0" collapsed="false">
      <c r="A56" s="29" t="s">
        <v>860</v>
      </c>
    </row>
    <row r="57" customFormat="false" ht="15" hidden="false" customHeight="true" outlineLevel="0" collapsed="false">
      <c r="A57" s="29" t="s">
        <v>861</v>
      </c>
    </row>
    <row r="70" customFormat="false" ht="15" hidden="false" customHeight="true" outlineLevel="0" collapsed="false">
      <c r="A70" s="50" t="s">
        <v>862</v>
      </c>
    </row>
    <row r="71" customFormat="false" ht="15" hidden="false" customHeight="true" outlineLevel="0" collapsed="false">
      <c r="A71" s="92" t="s">
        <v>863</v>
      </c>
      <c r="B71" s="54" t="n">
        <f aca="false">SUMIFS(배관기본물량!$R$7:$R$126,배관기본물량!$AG$7:$AG$126,"Y",배관기본물량!$AD$7:$AD$126,"PIPE")</f>
        <v>64.1562</v>
      </c>
    </row>
    <row r="72" customFormat="false" ht="15" hidden="false" customHeight="true" outlineLevel="0" collapsed="false">
      <c r="A72" s="92" t="s">
        <v>864</v>
      </c>
      <c r="B72" s="36" t="n">
        <f aca="false">SUMIFS(배관기본물량!$L$7:$L$126,배관기본물량!$AG$7:$AG$126,"Y",배관기본물량!$AD$7:$AD$126,"GLOBE")+SUMIFS(배관기본물량!$L$7:$L$126,배관기본물량!$AG$7:$AG$126,"Y",배관기본물량!$AD$7:$AD$126,"GATE")+SUMIFS(배관기본물량!$L$7:$L$126,배관기본물량!$AG$7:$AG$126,"Y",배관기본물량!$AD$7:$AD$126,"BFLY")+SUMIFS(배관기본물량!$L$7:$L$126,배관기본물량!$AG$7:$AG$126,"Y",배관기본물량!$AD$7:$AD$126,"VALVE기타")</f>
        <v>11</v>
      </c>
    </row>
    <row r="73" customFormat="false" ht="15" hidden="false" customHeight="true" outlineLevel="0" collapsed="false">
      <c r="A73" s="92" t="s">
        <v>865</v>
      </c>
      <c r="B73" s="36" t="n">
        <f aca="false">SUMIFS(배관기본물량!$L$7:$L$126,배관기본물량!$AG$7:$AG$126,"Y",배관기본물량!$AD$7:$AD$126,"TEE")</f>
        <v>1</v>
      </c>
    </row>
    <row r="74" customFormat="false" ht="15" hidden="false" customHeight="true" outlineLevel="0" collapsed="false">
      <c r="A74" s="92" t="s">
        <v>866</v>
      </c>
      <c r="B74" s="36" t="n">
        <f aca="false">IF(B71&gt;=100,1+ROUNDDOWN((B71-50)/100,0),0)</f>
        <v>0</v>
      </c>
    </row>
    <row r="75" customFormat="false" ht="15" hidden="false" customHeight="true" outlineLevel="0" collapsed="false">
      <c r="A75" s="92" t="s">
        <v>867</v>
      </c>
      <c r="B75" s="93" t="n">
        <v>0</v>
      </c>
    </row>
    <row r="76" customFormat="false" ht="15" hidden="false" customHeight="true" outlineLevel="0" collapsed="false">
      <c r="A76" s="94" t="s">
        <v>868</v>
      </c>
      <c r="B76" s="95" t="n">
        <f aca="false">SUM(B72:B75)</f>
        <v>12</v>
      </c>
    </row>
    <row r="77" customFormat="false" ht="43.5" hidden="false" customHeight="true" outlineLevel="0" collapsed="false">
      <c r="A77" s="92" t="s">
        <v>869</v>
      </c>
      <c r="B77" s="6" t="str">
        <f aca="false">IF(AND(R42&gt;0,R42&lt;=10),"적용(도장면적 10㎡ 이하)","-")</f>
        <v>적용(도장면적 10㎡ 이하)</v>
      </c>
    </row>
    <row r="79" customFormat="false" ht="15" hidden="false" customHeight="true" outlineLevel="0" collapsed="false">
      <c r="A79" s="3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6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2" min="11" style="1" width="8"/>
    <col collapsed="false" customWidth="true" hidden="false" outlineLevel="0" max="14" min="13" style="1" width="9"/>
    <col collapsed="false" customWidth="true" hidden="false" outlineLevel="0" max="15" min="15" style="1" width="13"/>
    <col collapsed="false" customWidth="true" hidden="false" outlineLevel="0" max="16" min="16" style="1" width="26"/>
  </cols>
  <sheetData>
    <row r="1" customFormat="false" ht="21" hidden="false" customHeight="true" outlineLevel="0" collapsed="false">
      <c r="A1" s="71" t="s">
        <v>871</v>
      </c>
    </row>
    <row r="2" customFormat="false" ht="15" hidden="false" customHeight="true" outlineLevel="0" collapsed="false">
      <c r="A2" s="29" t="s">
        <v>872</v>
      </c>
    </row>
    <row r="3" customFormat="false" ht="15" hidden="false" customHeight="true" outlineLevel="0" collapsed="false">
      <c r="A3" s="3" t="s">
        <v>873</v>
      </c>
    </row>
    <row r="6" customFormat="false" ht="36" hidden="false" customHeight="true" outlineLevel="0" collapsed="false">
      <c r="A6" s="4" t="s">
        <v>192</v>
      </c>
      <c r="B6" s="4" t="s">
        <v>680</v>
      </c>
      <c r="C6" s="4" t="s">
        <v>225</v>
      </c>
      <c r="D6" s="31" t="s">
        <v>681</v>
      </c>
      <c r="E6" s="4" t="s">
        <v>874</v>
      </c>
      <c r="F6" s="4" t="s">
        <v>5</v>
      </c>
      <c r="G6" s="4" t="s">
        <v>875</v>
      </c>
      <c r="H6" s="4" t="s">
        <v>876</v>
      </c>
      <c r="I6" s="4" t="s">
        <v>877</v>
      </c>
      <c r="J6" s="31" t="s">
        <v>878</v>
      </c>
      <c r="K6" s="31" t="s">
        <v>879</v>
      </c>
      <c r="L6" s="31" t="s">
        <v>880</v>
      </c>
      <c r="M6" s="31" t="s">
        <v>881</v>
      </c>
      <c r="N6" s="4" t="s">
        <v>882</v>
      </c>
      <c r="O6" s="31" t="s">
        <v>883</v>
      </c>
      <c r="P6" s="31" t="s">
        <v>884</v>
      </c>
    </row>
    <row r="7" customFormat="false" ht="15" hidden="false" customHeight="true" outlineLevel="0" collapsed="false">
      <c r="A7" s="42" t="s">
        <v>885</v>
      </c>
      <c r="B7" s="19" t="n">
        <v>15</v>
      </c>
      <c r="C7" s="19" t="s">
        <v>705</v>
      </c>
      <c r="D7" s="19" t="s">
        <v>706</v>
      </c>
      <c r="E7" s="20" t="s">
        <v>886</v>
      </c>
      <c r="F7" s="6" t="str">
        <f aca="false">IF($B7="","","KG")</f>
        <v>KG</v>
      </c>
      <c r="G7" s="33" t="n">
        <v>16</v>
      </c>
      <c r="H7" s="34" t="n">
        <f aca="false">IF($B7="","",IF(G7&lt;&gt;"",G7,SUMIFS(배관집계!$O$7:$O$32,배관집계!$B$7:$B$32,"설치",배관집계!$G$7:$G$32,$B7,배관집계!$E$7:$E$32,$C7)*1000))</f>
        <v>16</v>
      </c>
      <c r="I7" s="37" t="n">
        <f aca="false">IF($B7="","",IFERROR(1/(1/INDEX(배관단중표!$B$7:$W$41,MATCH($B7,배관단중표!$A$7:$A$41,0),MATCH(IF($D7="SPP","SPP",IF(LEFT($C7,3)="STS",IF(ISNUMBER(SEARCH("316",$C7)),"STS316","STS304"),"SPPS")&amp;"|"&amp;$D7),배관단중표!$B$6:$W$6,0))),"DB확인"))</f>
        <v>1.31</v>
      </c>
      <c r="J7" s="37" t="n">
        <f aca="false">IF(ISNUMBER(I7),I7*6,"")</f>
        <v>7.86</v>
      </c>
      <c r="K7" s="36" t="n">
        <f aca="false">IF(OR(NOT(ISNUMBER(J7)),N(H7)=0),"",ROUNDUP(H7/J7,0))</f>
        <v>3</v>
      </c>
      <c r="L7" s="36" t="n">
        <f aca="false">IF($B7="","",IFERROR(INDEX(배관기준!$AM$5:$AN$18,COUNTIF(배관기준!$AK$5:$AK$18,"&lt;"&amp;$B7)+1,IF($E7="탄소강관",1,2)),"확인"))</f>
        <v>2</v>
      </c>
      <c r="M7" s="34" t="n">
        <f aca="false">IF($B7="","",IFERROR(INDEX(배관기준!$AL$5:$AL$18,COUNTIF(배관기준!$AK$5:$AK$18,"&lt;"&amp;$B7)+1),"확인"))</f>
        <v>64</v>
      </c>
      <c r="N7" s="38" t="n">
        <f aca="false">IF($B7="","",IF($E7="탄소강관",배관기준!$AG$8,1))</f>
        <v>0.333333333333333</v>
      </c>
      <c r="O7" s="17" t="n">
        <f aca="false">IF(AND(ISNUMBER(K7),ISNUMBER(L7),ISNUMBER(M7)),ROUND(K7*M7*N7*L7,0),0)</f>
        <v>128</v>
      </c>
      <c r="P7" s="16"/>
    </row>
    <row r="8" customFormat="false" ht="15" hidden="false" customHeight="true" outlineLevel="0" collapsed="false">
      <c r="A8" s="42" t="s">
        <v>885</v>
      </c>
      <c r="B8" s="19" t="n">
        <v>50</v>
      </c>
      <c r="C8" s="19" t="s">
        <v>705</v>
      </c>
      <c r="D8" s="19" t="s">
        <v>706</v>
      </c>
      <c r="E8" s="20" t="s">
        <v>886</v>
      </c>
      <c r="F8" s="6" t="str">
        <f aca="false">IF($B8="","","KG")</f>
        <v>KG</v>
      </c>
      <c r="G8" s="33" t="n">
        <v>198</v>
      </c>
      <c r="H8" s="34" t="n">
        <f aca="false">IF($B8="","",IF(G8&lt;&gt;"",G8,SUMIFS(배관집계!$O$7:$O$32,배관집계!$B$7:$B$32,"설치",배관집계!$G$7:$G$32,$B8,배관집계!$E$7:$E$32,$C8)*1000))</f>
        <v>198</v>
      </c>
      <c r="I8" s="37" t="n">
        <f aca="false">IF($B8="","",IFERROR(1/(1/INDEX(배관단중표!$B$7:$W$41,MATCH($B8,배관단중표!$A$7:$A$41,0),MATCH(IF($D8="SPP","SPP",IF(LEFT($C8,3)="STS",IF(ISNUMBER(SEARCH("316",$C8)),"STS316","STS304"),"SPPS")&amp;"|"&amp;$D8),배관단중표!$B$6:$W$6,0))),"DB확인"))</f>
        <v>5.44</v>
      </c>
      <c r="J8" s="37" t="n">
        <f aca="false">IF(ISNUMBER(I8),I8*6,"")</f>
        <v>32.64</v>
      </c>
      <c r="K8" s="36" t="n">
        <f aca="false">IF(OR(NOT(ISNUMBER(J8)),N(H8)=0),"",ROUNDUP(H8/J8,0))</f>
        <v>7</v>
      </c>
      <c r="L8" s="36" t="n">
        <f aca="false">IF($B8="","",IFERROR(INDEX(배관기준!$AM$5:$AN$18,COUNTIF(배관기준!$AK$5:$AK$18,"&lt;"&amp;$B8)+1,IF($E8="탄소강관",1,2)),"확인"))</f>
        <v>2</v>
      </c>
      <c r="M8" s="34" t="n">
        <f aca="false">IF($B8="","",IFERROR(INDEX(배관기준!$AL$5:$AL$18,COUNTIF(배관기준!$AK$5:$AK$18,"&lt;"&amp;$B8)+1),"확인"))</f>
        <v>265</v>
      </c>
      <c r="N8" s="38" t="n">
        <f aca="false">IF($B8="","",IF($E8="탄소강관",배관기준!$AG$8,1))</f>
        <v>0.333333333333333</v>
      </c>
      <c r="O8" s="17" t="n">
        <f aca="false">IF(AND(ISNUMBER(K8),ISNUMBER(L8),ISNUMBER(M8)),ROUND(K8*M8*N8*L8,0),0)</f>
        <v>1237</v>
      </c>
      <c r="P8" s="16"/>
    </row>
    <row r="9" customFormat="false" ht="15" hidden="false" customHeight="true" outlineLevel="0" collapsed="false">
      <c r="A9" s="42" t="s">
        <v>885</v>
      </c>
      <c r="B9" s="19" t="n">
        <v>80</v>
      </c>
      <c r="C9" s="19" t="s">
        <v>705</v>
      </c>
      <c r="D9" s="19" t="s">
        <v>706</v>
      </c>
      <c r="E9" s="20" t="s">
        <v>886</v>
      </c>
      <c r="F9" s="6" t="str">
        <f aca="false">IF($B9="","","KG")</f>
        <v>KG</v>
      </c>
      <c r="G9" s="33" t="n">
        <v>177</v>
      </c>
      <c r="H9" s="34" t="n">
        <f aca="false">IF($B9="","",IF(G9&lt;&gt;"",G9,SUMIFS(배관집계!$O$7:$O$32,배관집계!$B$7:$B$32,"설치",배관집계!$G$7:$G$32,$B9,배관집계!$E$7:$E$32,$C9)*1000))</f>
        <v>177</v>
      </c>
      <c r="I9" s="37" t="n">
        <f aca="false">IF($B9="","",IFERROR(1/(1/INDEX(배관단중표!$B$7:$W$41,MATCH($B9,배관단중표!$A$7:$A$41,0),MATCH(IF($D9="SPP","SPP",IF(LEFT($C9,3)="STS",IF(ISNUMBER(SEARCH("316",$C9)),"STS316","STS304"),"SPPS")&amp;"|"&amp;$D9),배관단중표!$B$6:$W$6,0))),"DB확인"))</f>
        <v>11.3</v>
      </c>
      <c r="J9" s="37" t="n">
        <f aca="false">IF(ISNUMBER(I9),I9*6,"")</f>
        <v>67.8</v>
      </c>
      <c r="K9" s="36" t="n">
        <f aca="false">IF(OR(NOT(ISNUMBER(J9)),N(H9)=0),"",ROUNDUP(H9/J9,0))</f>
        <v>3</v>
      </c>
      <c r="L9" s="36" t="n">
        <f aca="false">IF($B9="","",IFERROR(INDEX(배관기준!$AM$5:$AN$18,COUNTIF(배관기준!$AK$5:$AK$18,"&lt;"&amp;$B9)+1,IF($E9="탄소강관",1,2)),"확인"))</f>
        <v>2</v>
      </c>
      <c r="M9" s="34" t="n">
        <f aca="false">IF($B9="","",IFERROR(INDEX(배관기준!$AL$5:$AL$18,COUNTIF(배관기준!$AK$5:$AK$18,"&lt;"&amp;$B9)+1),"확인"))</f>
        <v>430</v>
      </c>
      <c r="N9" s="38" t="n">
        <f aca="false">IF($B9="","",IF($E9="탄소강관",배관기준!$AG$8,1))</f>
        <v>0.333333333333333</v>
      </c>
      <c r="O9" s="17" t="n">
        <f aca="false">IF(AND(ISNUMBER(K9),ISNUMBER(L9),ISNUMBER(M9)),ROUND(K9*M9*N9*L9,0),0)</f>
        <v>860</v>
      </c>
      <c r="P9" s="16"/>
    </row>
    <row r="10" customFormat="false" ht="15" hidden="false" customHeight="true" outlineLevel="0" collapsed="false">
      <c r="A10" s="42" t="s">
        <v>885</v>
      </c>
      <c r="B10" s="19" t="n">
        <v>150</v>
      </c>
      <c r="C10" s="19" t="s">
        <v>705</v>
      </c>
      <c r="D10" s="19" t="s">
        <v>706</v>
      </c>
      <c r="E10" s="20" t="s">
        <v>886</v>
      </c>
      <c r="F10" s="6" t="str">
        <f aca="false">IF($B10="","","KG")</f>
        <v>KG</v>
      </c>
      <c r="G10" s="33" t="n">
        <v>748</v>
      </c>
      <c r="H10" s="34" t="n">
        <f aca="false">IF($B10="","",IF(G10&lt;&gt;"",G10,SUMIFS(배관집계!$O$7:$O$32,배관집계!$B$7:$B$32,"설치",배관집계!$G$7:$G$32,$B10,배관집계!$E$7:$E$32,$C10)*1000))</f>
        <v>748</v>
      </c>
      <c r="I10" s="37" t="n">
        <f aca="false">IF($B10="","",IFERROR(1/(1/INDEX(배관단중표!$B$7:$W$41,MATCH($B10,배관단중표!$A$7:$A$41,0),MATCH(IF($D10="SPP","SPP",IF(LEFT($C10,3)="STS",IF(ISNUMBER(SEARCH("316",$C10)),"STS316","STS304"),"SPPS")&amp;"|"&amp;$D10),배관단중표!$B$6:$W$6,0))),"DB확인"))</f>
        <v>27.7</v>
      </c>
      <c r="J10" s="37" t="n">
        <f aca="false">IF(ISNUMBER(I10),I10*6,"")</f>
        <v>166.2</v>
      </c>
      <c r="K10" s="36" t="n">
        <f aca="false">IF(OR(NOT(ISNUMBER(J10)),N(H10)=0),"",ROUNDUP(H10/J10,0))</f>
        <v>5</v>
      </c>
      <c r="L10" s="36" t="n">
        <f aca="false">IF($B10="","",IFERROR(INDEX(배관기준!$AM$5:$AN$18,COUNTIF(배관기준!$AK$5:$AK$18,"&lt;"&amp;$B10)+1,IF($E10="탄소강관",1,2)),"확인"))</f>
        <v>1</v>
      </c>
      <c r="M10" s="34" t="n">
        <f aca="false">IF($B10="","",IFERROR(INDEX(배관기준!$AL$5:$AL$18,COUNTIF(배관기준!$AK$5:$AK$18,"&lt;"&amp;$B10)+1),"확인"))</f>
        <v>1285</v>
      </c>
      <c r="N10" s="38" t="n">
        <f aca="false">IF($B10="","",IF($E10="탄소강관",배관기준!$AG$8,1))</f>
        <v>0.333333333333333</v>
      </c>
      <c r="O10" s="17" t="n">
        <f aca="false">IF(AND(ISNUMBER(K10),ISNUMBER(L10),ISNUMBER(M10)),ROUND(K10*M10*N10*L10,0),0)</f>
        <v>2142</v>
      </c>
      <c r="P10" s="16"/>
    </row>
    <row r="11" customFormat="false" ht="15" hidden="false" customHeight="true" outlineLevel="0" collapsed="false">
      <c r="A11" s="42" t="s">
        <v>885</v>
      </c>
      <c r="B11" s="19" t="n">
        <v>200</v>
      </c>
      <c r="C11" s="19" t="s">
        <v>705</v>
      </c>
      <c r="D11" s="19" t="s">
        <v>706</v>
      </c>
      <c r="E11" s="20" t="s">
        <v>886</v>
      </c>
      <c r="F11" s="6" t="str">
        <f aca="false">IF($B11="","","KG")</f>
        <v>KG</v>
      </c>
      <c r="G11" s="33" t="n">
        <v>1255</v>
      </c>
      <c r="H11" s="34" t="n">
        <f aca="false">IF($B11="","",IF(G11&lt;&gt;"",G11,SUMIFS(배관집계!$O$7:$O$32,배관집계!$B$7:$B$32,"설치",배관집계!$G$7:$G$32,$B11,배관집계!$E$7:$E$32,$C11)*1000))</f>
        <v>1255</v>
      </c>
      <c r="I11" s="37" t="n">
        <f aca="false">IF($B11="","",IFERROR(1/(1/INDEX(배관단중표!$B$7:$W$41,MATCH($B11,배관단중표!$A$7:$A$41,0),MATCH(IF($D11="SPP","SPP",IF(LEFT($C11,3)="STS",IF(ISNUMBER(SEARCH("316",$C11)),"STS316","STS304"),"SPPS")&amp;"|"&amp;$D11),배관단중표!$B$6:$W$6,0))),"DB확인"))</f>
        <v>42.1</v>
      </c>
      <c r="J11" s="37" t="n">
        <f aca="false">IF(ISNUMBER(I11),I11*6,"")</f>
        <v>252.6</v>
      </c>
      <c r="K11" s="36" t="n">
        <f aca="false">IF(OR(NOT(ISNUMBER(J11)),N(H11)=0),"",ROUNDUP(H11/J11,0))</f>
        <v>5</v>
      </c>
      <c r="L11" s="36" t="n">
        <f aca="false">IF($B11="","",IFERROR(INDEX(배관기준!$AM$5:$AN$18,COUNTIF(배관기준!$AK$5:$AK$18,"&lt;"&amp;$B11)+1,IF($E11="탄소강관",1,2)),"확인"))</f>
        <v>1</v>
      </c>
      <c r="M11" s="34" t="n">
        <f aca="false">IF($B11="","",IFERROR(INDEX(배관기준!$AL$5:$AL$18,COUNTIF(배관기준!$AK$5:$AK$18,"&lt;"&amp;$B11)+1),"확인"))</f>
        <v>2170</v>
      </c>
      <c r="N11" s="38" t="n">
        <f aca="false">IF($B11="","",IF($E11="탄소강관",배관기준!$AG$8,1))</f>
        <v>0.333333333333333</v>
      </c>
      <c r="O11" s="17" t="n">
        <f aca="false">IF(AND(ISNUMBER(K11),ISNUMBER(L11),ISNUMBER(M11)),ROUND(K11*M11*N11*L11,0),0)</f>
        <v>3617</v>
      </c>
      <c r="P11" s="16"/>
    </row>
    <row r="12" customFormat="false" ht="15" hidden="false" customHeight="true" outlineLevel="0" collapsed="false">
      <c r="A12" s="42" t="s">
        <v>885</v>
      </c>
      <c r="B12" s="19" t="n">
        <v>250</v>
      </c>
      <c r="C12" s="19" t="s">
        <v>705</v>
      </c>
      <c r="D12" s="19" t="s">
        <v>706</v>
      </c>
      <c r="E12" s="20" t="s">
        <v>886</v>
      </c>
      <c r="F12" s="6" t="str">
        <f aca="false">IF($B12="","","KG")</f>
        <v>KG</v>
      </c>
      <c r="G12" s="33" t="n">
        <v>810</v>
      </c>
      <c r="H12" s="34" t="n">
        <f aca="false">IF($B12="","",IF(G12&lt;&gt;"",G12,SUMIFS(배관집계!$O$7:$O$32,배관집계!$B$7:$B$32,"설치",배관집계!$G$7:$G$32,$B12,배관집계!$E$7:$E$32,$C12)*1000))</f>
        <v>810</v>
      </c>
      <c r="I12" s="37" t="n">
        <f aca="false">IF($B12="","",IFERROR(1/(1/INDEX(배관단중표!$B$7:$W$41,MATCH($B12,배관단중표!$A$7:$A$41,0),MATCH(IF($D12="SPP","SPP",IF(LEFT($C12,3)="STS",IF(ISNUMBER(SEARCH("316",$C12)),"STS316","STS304"),"SPPS")&amp;"|"&amp;$D12),배관단중표!$B$6:$W$6,0))),"DB확인"))</f>
        <v>59.2</v>
      </c>
      <c r="J12" s="37" t="n">
        <f aca="false">IF(ISNUMBER(I12),I12*6,"")</f>
        <v>355.2</v>
      </c>
      <c r="K12" s="36" t="n">
        <f aca="false">IF(OR(NOT(ISNUMBER(J12)),N(H12)=0),"",ROUNDUP(H12/J12,0))</f>
        <v>3</v>
      </c>
      <c r="L12" s="36" t="n">
        <f aca="false">IF($B12="","",IFERROR(INDEX(배관기준!$AM$5:$AN$18,COUNTIF(배관기준!$AK$5:$AK$18,"&lt;"&amp;$B12)+1,IF($E12="탄소강관",1,2)),"확인"))</f>
        <v>1</v>
      </c>
      <c r="M12" s="34" t="n">
        <f aca="false">IF($B12="","",IFERROR(INDEX(배관기준!$AL$5:$AL$18,COUNTIF(배관기준!$AK$5:$AK$18,"&lt;"&amp;$B12)+1),"확인"))</f>
        <v>3060</v>
      </c>
      <c r="N12" s="38" t="n">
        <f aca="false">IF($B12="","",IF($E12="탄소강관",배관기준!$AG$8,1))</f>
        <v>0.333333333333333</v>
      </c>
      <c r="O12" s="17" t="n">
        <f aca="false">IF(AND(ISNUMBER(K12),ISNUMBER(L12),ISNUMBER(M12)),ROUND(K12*M12*N12*L12,0),0)</f>
        <v>3060</v>
      </c>
      <c r="P12" s="16"/>
    </row>
    <row r="13" customFormat="false" ht="15" hidden="false" customHeight="true" outlineLevel="0" collapsed="false">
      <c r="A13" s="42" t="s">
        <v>885</v>
      </c>
      <c r="B13" s="19" t="n">
        <v>300</v>
      </c>
      <c r="C13" s="19" t="s">
        <v>887</v>
      </c>
      <c r="D13" s="19" t="s">
        <v>706</v>
      </c>
      <c r="E13" s="19" t="s">
        <v>888</v>
      </c>
      <c r="F13" s="6" t="str">
        <f aca="false">IF($B13="","","KG")</f>
        <v>KG</v>
      </c>
      <c r="G13" s="33" t="n">
        <v>1828</v>
      </c>
      <c r="H13" s="34" t="n">
        <f aca="false">IF($B13="","",IF(G13&lt;&gt;"",G13,SUMIFS(배관집계!$O$7:$O$32,배관집계!$B$7:$B$32,"설치",배관집계!$G$7:$G$32,$B13,배관집계!$E$7:$E$32,$C13)*1000))</f>
        <v>1828</v>
      </c>
      <c r="I13" s="37" t="n">
        <f aca="false">IF($B13="","",IFERROR(1/(1/INDEX(배관단중표!$B$7:$W$41,MATCH($B13,배관단중표!$A$7:$A$41,0),MATCH(IF($D13="SPP","SPP",IF(LEFT($C13,3)="STS",IF(ISNUMBER(SEARCH("316",$C13)),"STS316","STS304"),"SPPS")&amp;"|"&amp;$D13),배관단중표!$B$6:$W$6,0))),"DB확인"))</f>
        <v>79.1</v>
      </c>
      <c r="J13" s="37" t="n">
        <f aca="false">IF(ISNUMBER(I13),I13*6,"")</f>
        <v>474.6</v>
      </c>
      <c r="K13" s="36" t="n">
        <f aca="false">IF(OR(NOT(ISNUMBER(J13)),N(H13)=0),"",ROUNDUP(H13/J13,0))</f>
        <v>4</v>
      </c>
      <c r="L13" s="36" t="n">
        <f aca="false">IF($B13="","",IFERROR(INDEX(배관기준!$AM$5:$AN$18,COUNTIF(배관기준!$AK$5:$AK$18,"&lt;"&amp;$B13)+1,IF($E13="탄소강관",1,2)),"확인"))</f>
        <v>2</v>
      </c>
      <c r="M13" s="34" t="n">
        <f aca="false">IF($B13="","",IFERROR(INDEX(배관기준!$AL$5:$AL$18,COUNTIF(배관기준!$AK$5:$AK$18,"&lt;"&amp;$B13)+1),"확인"))</f>
        <v>3945</v>
      </c>
      <c r="N13" s="38" t="n">
        <f aca="false">IF($B13="","",IF($E13="탄소강관",배관기준!$AG$8,1))</f>
        <v>1</v>
      </c>
      <c r="O13" s="17" t="n">
        <f aca="false">IF(AND(ISNUMBER(K13),ISNUMBER(L13),ISNUMBER(M13)),ROUND(K13*M13*N13*L13,0),0)</f>
        <v>31560</v>
      </c>
      <c r="P13" s="16"/>
    </row>
    <row r="14" customFormat="false" ht="15" hidden="false" customHeight="true" outlineLevel="0" collapsed="false">
      <c r="A14" s="59"/>
      <c r="B14" s="21"/>
      <c r="C14" s="21"/>
      <c r="D14" s="21"/>
      <c r="E14" s="21"/>
      <c r="F14" s="6" t="str">
        <f aca="false">IF($B14="","","KG")</f>
        <v/>
      </c>
      <c r="G14" s="53"/>
      <c r="H14" s="34" t="str">
        <f aca="false">IF($B14="","",IF(G14&lt;&gt;"",G14,SUMIFS(배관집계!$O$7:$O$32,배관집계!$B$7:$B$32,"설치",배관집계!$G$7:$G$32,$B14,배관집계!$E$7:$E$32,$C14)*1000))</f>
        <v/>
      </c>
      <c r="I14" s="37" t="str">
        <f aca="false">IF($B14="","",IFERROR(1/(1/INDEX(배관단중표!$B$7:$W$41,MATCH($B14,배관단중표!$A$7:$A$41,0),MATCH(IF($D14="SPP","SPP",IF(LEFT($C14,3)="STS",IF(ISNUMBER(SEARCH("316",$C14)),"STS316","STS304"),"SPPS")&amp;"|"&amp;$D14),배관단중표!$B$6:$W$6,0))),"DB확인"))</f>
        <v/>
      </c>
      <c r="J14" s="37" t="str">
        <f aca="false">IF(ISNUMBER(I14),I14*6,"")</f>
        <v/>
      </c>
      <c r="K14" s="36" t="str">
        <f aca="false">IF(OR(NOT(ISNUMBER(J14)),N(H14)=0),"",ROUNDUP(H14/J14,0))</f>
        <v/>
      </c>
      <c r="L14" s="36" t="str">
        <f aca="false">IF($B14="","",IFERROR(INDEX(배관기준!$AM$5:$AN$18,COUNTIF(배관기준!$AK$5:$AK$18,"&lt;"&amp;$B14)+1,IF($E14="탄소강관",1,2)),"확인"))</f>
        <v/>
      </c>
      <c r="M14" s="34" t="str">
        <f aca="false">IF($B14="","",IFERROR(INDEX(배관기준!$AL$5:$AL$18,COUNTIF(배관기준!$AK$5:$AK$18,"&lt;"&amp;$B14)+1),"확인"))</f>
        <v/>
      </c>
      <c r="N14" s="38" t="str">
        <f aca="false">IF($B14="","",IF($E14="탄소강관",배관기준!$AG$8,1))</f>
        <v/>
      </c>
      <c r="O14" s="17" t="n">
        <f aca="false">IF(AND(ISNUMBER(K14),ISNUMBER(L14),ISNUMBER(M14)),ROUND(K14*M14*N14*L14,0),0)</f>
        <v>0</v>
      </c>
      <c r="P14" s="16"/>
    </row>
    <row r="15" customFormat="false" ht="15" hidden="false" customHeight="true" outlineLevel="0" collapsed="false">
      <c r="A15" s="59"/>
      <c r="B15" s="21"/>
      <c r="C15" s="21"/>
      <c r="D15" s="21"/>
      <c r="E15" s="21"/>
      <c r="F15" s="6" t="str">
        <f aca="false">IF($B15="","","KG")</f>
        <v/>
      </c>
      <c r="G15" s="53"/>
      <c r="H15" s="34" t="str">
        <f aca="false">IF($B15="","",IF(G15&lt;&gt;"",G15,SUMIFS(배관집계!$O$7:$O$32,배관집계!$B$7:$B$32,"설치",배관집계!$G$7:$G$32,$B15,배관집계!$E$7:$E$32,$C15)*1000))</f>
        <v/>
      </c>
      <c r="I15" s="37" t="str">
        <f aca="false">IF($B15="","",IFERROR(1/(1/INDEX(배관단중표!$B$7:$W$41,MATCH($B15,배관단중표!$A$7:$A$41,0),MATCH(IF($D15="SPP","SPP",IF(LEFT($C15,3)="STS",IF(ISNUMBER(SEARCH("316",$C15)),"STS316","STS304"),"SPPS")&amp;"|"&amp;$D15),배관단중표!$B$6:$W$6,0))),"DB확인"))</f>
        <v/>
      </c>
      <c r="J15" s="37" t="str">
        <f aca="false">IF(ISNUMBER(I15),I15*6,"")</f>
        <v/>
      </c>
      <c r="K15" s="36" t="str">
        <f aca="false">IF(OR(NOT(ISNUMBER(J15)),N(H15)=0),"",ROUNDUP(H15/J15,0))</f>
        <v/>
      </c>
      <c r="L15" s="36" t="str">
        <f aca="false">IF($B15="","",IFERROR(INDEX(배관기준!$AM$5:$AN$18,COUNTIF(배관기준!$AK$5:$AK$18,"&lt;"&amp;$B15)+1,IF($E15="탄소강관",1,2)),"확인"))</f>
        <v/>
      </c>
      <c r="M15" s="34" t="str">
        <f aca="false">IF($B15="","",IFERROR(INDEX(배관기준!$AL$5:$AL$18,COUNTIF(배관기준!$AK$5:$AK$18,"&lt;"&amp;$B15)+1),"확인"))</f>
        <v/>
      </c>
      <c r="N15" s="38" t="str">
        <f aca="false">IF($B15="","",IF($E15="탄소강관",배관기준!$AG$8,1))</f>
        <v/>
      </c>
      <c r="O15" s="17" t="n">
        <f aca="false">IF(AND(ISNUMBER(K15),ISNUMBER(L15),ISNUMBER(M15)),ROUND(K15*M15*N15*L15,0),0)</f>
        <v>0</v>
      </c>
      <c r="P15" s="16"/>
    </row>
    <row r="16" customFormat="false" ht="15" hidden="false" customHeight="true" outlineLevel="0" collapsed="false">
      <c r="A16" s="59"/>
      <c r="B16" s="21"/>
      <c r="C16" s="21"/>
      <c r="D16" s="21"/>
      <c r="E16" s="21"/>
      <c r="F16" s="6" t="str">
        <f aca="false">IF($B16="","","KG")</f>
        <v/>
      </c>
      <c r="G16" s="53"/>
      <c r="H16" s="34" t="str">
        <f aca="false">IF($B16="","",IF(G16&lt;&gt;"",G16,SUMIFS(배관집계!$O$7:$O$32,배관집계!$B$7:$B$32,"설치",배관집계!$G$7:$G$32,$B16,배관집계!$E$7:$E$32,$C16)*1000))</f>
        <v/>
      </c>
      <c r="I16" s="37" t="str">
        <f aca="false">IF($B16="","",IFERROR(1/(1/INDEX(배관단중표!$B$7:$W$41,MATCH($B16,배관단중표!$A$7:$A$41,0),MATCH(IF($D16="SPP","SPP",IF(LEFT($C16,3)="STS",IF(ISNUMBER(SEARCH("316",$C16)),"STS316","STS304"),"SPPS")&amp;"|"&amp;$D16),배관단중표!$B$6:$W$6,0))),"DB확인"))</f>
        <v/>
      </c>
      <c r="J16" s="37" t="str">
        <f aca="false">IF(ISNUMBER(I16),I16*6,"")</f>
        <v/>
      </c>
      <c r="K16" s="36" t="str">
        <f aca="false">IF(OR(NOT(ISNUMBER(J16)),N(H16)=0),"",ROUNDUP(H16/J16,0))</f>
        <v/>
      </c>
      <c r="L16" s="36" t="str">
        <f aca="false">IF($B16="","",IFERROR(INDEX(배관기준!$AM$5:$AN$18,COUNTIF(배관기준!$AK$5:$AK$18,"&lt;"&amp;$B16)+1,IF($E16="탄소강관",1,2)),"확인"))</f>
        <v/>
      </c>
      <c r="M16" s="34" t="str">
        <f aca="false">IF($B16="","",IFERROR(INDEX(배관기준!$AL$5:$AL$18,COUNTIF(배관기준!$AK$5:$AK$18,"&lt;"&amp;$B16)+1),"확인"))</f>
        <v/>
      </c>
      <c r="N16" s="38" t="str">
        <f aca="false">IF($B16="","",IF($E16="탄소강관",배관기준!$AG$8,1))</f>
        <v/>
      </c>
      <c r="O16" s="17" t="n">
        <f aca="false">IF(AND(ISNUMBER(K16),ISNUMBER(L16),ISNUMBER(M16)),ROUND(K16*M16*N16*L16,0),0)</f>
        <v>0</v>
      </c>
      <c r="P16" s="16"/>
    </row>
    <row r="17" customFormat="false" ht="15" hidden="false" customHeight="true" outlineLevel="0" collapsed="false">
      <c r="A17" s="59"/>
      <c r="B17" s="21"/>
      <c r="C17" s="21"/>
      <c r="D17" s="21"/>
      <c r="E17" s="21"/>
      <c r="F17" s="6" t="str">
        <f aca="false">IF($B17="","","KG")</f>
        <v/>
      </c>
      <c r="G17" s="53"/>
      <c r="H17" s="34" t="str">
        <f aca="false">IF($B17="","",IF(G17&lt;&gt;"",G17,SUMIFS(배관집계!$O$7:$O$32,배관집계!$B$7:$B$32,"설치",배관집계!$G$7:$G$32,$B17,배관집계!$E$7:$E$32,$C17)*1000))</f>
        <v/>
      </c>
      <c r="I17" s="37" t="str">
        <f aca="false">IF($B17="","",IFERROR(1/(1/INDEX(배관단중표!$B$7:$W$41,MATCH($B17,배관단중표!$A$7:$A$41,0),MATCH(IF($D17="SPP","SPP",IF(LEFT($C17,3)="STS",IF(ISNUMBER(SEARCH("316",$C17)),"STS316","STS304"),"SPPS")&amp;"|"&amp;$D17),배관단중표!$B$6:$W$6,0))),"DB확인"))</f>
        <v/>
      </c>
      <c r="J17" s="37" t="str">
        <f aca="false">IF(ISNUMBER(I17),I17*6,"")</f>
        <v/>
      </c>
      <c r="K17" s="36" t="str">
        <f aca="false">IF(OR(NOT(ISNUMBER(J17)),N(H17)=0),"",ROUNDUP(H17/J17,0))</f>
        <v/>
      </c>
      <c r="L17" s="36" t="str">
        <f aca="false">IF($B17="","",IFERROR(INDEX(배관기준!$AM$5:$AN$18,COUNTIF(배관기준!$AK$5:$AK$18,"&lt;"&amp;$B17)+1,IF($E17="탄소강관",1,2)),"확인"))</f>
        <v/>
      </c>
      <c r="M17" s="34" t="str">
        <f aca="false">IF($B17="","",IFERROR(INDEX(배관기준!$AL$5:$AL$18,COUNTIF(배관기준!$AK$5:$AK$18,"&lt;"&amp;$B17)+1),"확인"))</f>
        <v/>
      </c>
      <c r="N17" s="38" t="str">
        <f aca="false">IF($B17="","",IF($E17="탄소강관",배관기준!$AG$8,1))</f>
        <v/>
      </c>
      <c r="O17" s="17" t="n">
        <f aca="false">IF(AND(ISNUMBER(K17),ISNUMBER(L17),ISNUMBER(M17)),ROUND(K17*M17*N17*L17,0),0)</f>
        <v>0</v>
      </c>
      <c r="P17" s="16"/>
    </row>
    <row r="18" customFormat="false" ht="15" hidden="false" customHeight="true" outlineLevel="0" collapsed="false">
      <c r="A18" s="59"/>
      <c r="B18" s="21"/>
      <c r="C18" s="21"/>
      <c r="D18" s="21"/>
      <c r="E18" s="21"/>
      <c r="F18" s="6" t="str">
        <f aca="false">IF($B18="","","KG")</f>
        <v/>
      </c>
      <c r="G18" s="53"/>
      <c r="H18" s="34" t="str">
        <f aca="false">IF($B18="","",IF(G18&lt;&gt;"",G18,SUMIFS(배관집계!$O$7:$O$32,배관집계!$B$7:$B$32,"설치",배관집계!$G$7:$G$32,$B18,배관집계!$E$7:$E$32,$C18)*1000))</f>
        <v/>
      </c>
      <c r="I18" s="37" t="str">
        <f aca="false">IF($B18="","",IFERROR(1/(1/INDEX(배관단중표!$B$7:$W$41,MATCH($B18,배관단중표!$A$7:$A$41,0),MATCH(IF($D18="SPP","SPP",IF(LEFT($C18,3)="STS",IF(ISNUMBER(SEARCH("316",$C18)),"STS316","STS304"),"SPPS")&amp;"|"&amp;$D18),배관단중표!$B$6:$W$6,0))),"DB확인"))</f>
        <v/>
      </c>
      <c r="J18" s="37" t="str">
        <f aca="false">IF(ISNUMBER(I18),I18*6,"")</f>
        <v/>
      </c>
      <c r="K18" s="36" t="str">
        <f aca="false">IF(OR(NOT(ISNUMBER(J18)),N(H18)=0),"",ROUNDUP(H18/J18,0))</f>
        <v/>
      </c>
      <c r="L18" s="36" t="str">
        <f aca="false">IF($B18="","",IFERROR(INDEX(배관기준!$AM$5:$AN$18,COUNTIF(배관기준!$AK$5:$AK$18,"&lt;"&amp;$B18)+1,IF($E18="탄소강관",1,2)),"확인"))</f>
        <v/>
      </c>
      <c r="M18" s="34" t="str">
        <f aca="false">IF($B18="","",IFERROR(INDEX(배관기준!$AL$5:$AL$18,COUNTIF(배관기준!$AK$5:$AK$18,"&lt;"&amp;$B18)+1),"확인"))</f>
        <v/>
      </c>
      <c r="N18" s="38" t="str">
        <f aca="false">IF($B18="","",IF($E18="탄소강관",배관기준!$AG$8,1))</f>
        <v/>
      </c>
      <c r="O18" s="17" t="n">
        <f aca="false">IF(AND(ISNUMBER(K18),ISNUMBER(L18),ISNUMBER(M18)),ROUND(K18*M18*N18*L18,0),0)</f>
        <v>0</v>
      </c>
      <c r="P18" s="16"/>
    </row>
    <row r="19" customFormat="false" ht="15" hidden="false" customHeight="true" outlineLevel="0" collapsed="false">
      <c r="A19" s="59"/>
      <c r="B19" s="21"/>
      <c r="C19" s="21"/>
      <c r="D19" s="21"/>
      <c r="E19" s="21"/>
      <c r="F19" s="6" t="str">
        <f aca="false">IF($B19="","","KG")</f>
        <v/>
      </c>
      <c r="G19" s="53"/>
      <c r="H19" s="34" t="str">
        <f aca="false">IF($B19="","",IF(G19&lt;&gt;"",G19,SUMIFS(배관집계!$O$7:$O$32,배관집계!$B$7:$B$32,"설치",배관집계!$G$7:$G$32,$B19,배관집계!$E$7:$E$32,$C19)*1000))</f>
        <v/>
      </c>
      <c r="I19" s="37" t="str">
        <f aca="false">IF($B19="","",IFERROR(1/(1/INDEX(배관단중표!$B$7:$W$41,MATCH($B19,배관단중표!$A$7:$A$41,0),MATCH(IF($D19="SPP","SPP",IF(LEFT($C19,3)="STS",IF(ISNUMBER(SEARCH("316",$C19)),"STS316","STS304"),"SPPS")&amp;"|"&amp;$D19),배관단중표!$B$6:$W$6,0))),"DB확인"))</f>
        <v/>
      </c>
      <c r="J19" s="37" t="str">
        <f aca="false">IF(ISNUMBER(I19),I19*6,"")</f>
        <v/>
      </c>
      <c r="K19" s="36" t="str">
        <f aca="false">IF(OR(NOT(ISNUMBER(J19)),N(H19)=0),"",ROUNDUP(H19/J19,0))</f>
        <v/>
      </c>
      <c r="L19" s="36" t="str">
        <f aca="false">IF($B19="","",IFERROR(INDEX(배관기준!$AM$5:$AN$18,COUNTIF(배관기준!$AK$5:$AK$18,"&lt;"&amp;$B19)+1,IF($E19="탄소강관",1,2)),"확인"))</f>
        <v/>
      </c>
      <c r="M19" s="34" t="str">
        <f aca="false">IF($B19="","",IFERROR(INDEX(배관기준!$AL$5:$AL$18,COUNTIF(배관기준!$AK$5:$AK$18,"&lt;"&amp;$B19)+1),"확인"))</f>
        <v/>
      </c>
      <c r="N19" s="38" t="str">
        <f aca="false">IF($B19="","",IF($E19="탄소강관",배관기준!$AG$8,1))</f>
        <v/>
      </c>
      <c r="O19" s="17" t="n">
        <f aca="false">IF(AND(ISNUMBER(K19),ISNUMBER(L19),ISNUMBER(M19)),ROUND(K19*M19*N19*L19,0),0)</f>
        <v>0</v>
      </c>
      <c r="P19" s="16"/>
    </row>
    <row r="20" customFormat="false" ht="15" hidden="false" customHeight="true" outlineLevel="0" collapsed="false">
      <c r="A20" s="59"/>
      <c r="B20" s="21"/>
      <c r="C20" s="21"/>
      <c r="D20" s="21"/>
      <c r="E20" s="21"/>
      <c r="F20" s="6" t="str">
        <f aca="false">IF($B20="","","KG")</f>
        <v/>
      </c>
      <c r="G20" s="53"/>
      <c r="H20" s="34" t="str">
        <f aca="false">IF($B20="","",IF(G20&lt;&gt;"",G20,SUMIFS(배관집계!$O$7:$O$32,배관집계!$B$7:$B$32,"설치",배관집계!$G$7:$G$32,$B20,배관집계!$E$7:$E$32,$C20)*1000))</f>
        <v/>
      </c>
      <c r="I20" s="37" t="str">
        <f aca="false">IF($B20="","",IFERROR(1/(1/INDEX(배관단중표!$B$7:$W$41,MATCH($B20,배관단중표!$A$7:$A$41,0),MATCH(IF($D20="SPP","SPP",IF(LEFT($C20,3)="STS",IF(ISNUMBER(SEARCH("316",$C20)),"STS316","STS304"),"SPPS")&amp;"|"&amp;$D20),배관단중표!$B$6:$W$6,0))),"DB확인"))</f>
        <v/>
      </c>
      <c r="J20" s="37" t="str">
        <f aca="false">IF(ISNUMBER(I20),I20*6,"")</f>
        <v/>
      </c>
      <c r="K20" s="36" t="str">
        <f aca="false">IF(OR(NOT(ISNUMBER(J20)),N(H20)=0),"",ROUNDUP(H20/J20,0))</f>
        <v/>
      </c>
      <c r="L20" s="36" t="str">
        <f aca="false">IF($B20="","",IFERROR(INDEX(배관기준!$AM$5:$AN$18,COUNTIF(배관기준!$AK$5:$AK$18,"&lt;"&amp;$B20)+1,IF($E20="탄소강관",1,2)),"확인"))</f>
        <v/>
      </c>
      <c r="M20" s="34" t="str">
        <f aca="false">IF($B20="","",IFERROR(INDEX(배관기준!$AL$5:$AL$18,COUNTIF(배관기준!$AK$5:$AK$18,"&lt;"&amp;$B20)+1),"확인"))</f>
        <v/>
      </c>
      <c r="N20" s="38" t="str">
        <f aca="false">IF($B20="","",IF($E20="탄소강관",배관기준!$AG$8,1))</f>
        <v/>
      </c>
      <c r="O20" s="17" t="n">
        <f aca="false">IF(AND(ISNUMBER(K20),ISNUMBER(L20),ISNUMBER(M20)),ROUND(K20*M20*N20*L20,0),0)</f>
        <v>0</v>
      </c>
      <c r="P20" s="16"/>
    </row>
    <row r="21" customFormat="false" ht="15" hidden="false" customHeight="true" outlineLevel="0" collapsed="false">
      <c r="A21" s="59"/>
      <c r="B21" s="21"/>
      <c r="C21" s="21"/>
      <c r="D21" s="21"/>
      <c r="E21" s="21"/>
      <c r="F21" s="6" t="str">
        <f aca="false">IF($B21="","","KG")</f>
        <v/>
      </c>
      <c r="G21" s="53"/>
      <c r="H21" s="34" t="str">
        <f aca="false">IF($B21="","",IF(G21&lt;&gt;"",G21,SUMIFS(배관집계!$O$7:$O$32,배관집계!$B$7:$B$32,"설치",배관집계!$G$7:$G$32,$B21,배관집계!$E$7:$E$32,$C21)*1000))</f>
        <v/>
      </c>
      <c r="I21" s="37" t="str">
        <f aca="false">IF($B21="","",IFERROR(1/(1/INDEX(배관단중표!$B$7:$W$41,MATCH($B21,배관단중표!$A$7:$A$41,0),MATCH(IF($D21="SPP","SPP",IF(LEFT($C21,3)="STS",IF(ISNUMBER(SEARCH("316",$C21)),"STS316","STS304"),"SPPS")&amp;"|"&amp;$D21),배관단중표!$B$6:$W$6,0))),"DB확인"))</f>
        <v/>
      </c>
      <c r="J21" s="37" t="str">
        <f aca="false">IF(ISNUMBER(I21),I21*6,"")</f>
        <v/>
      </c>
      <c r="K21" s="36" t="str">
        <f aca="false">IF(OR(NOT(ISNUMBER(J21)),N(H21)=0),"",ROUNDUP(H21/J21,0))</f>
        <v/>
      </c>
      <c r="L21" s="36" t="str">
        <f aca="false">IF($B21="","",IFERROR(INDEX(배관기준!$AM$5:$AN$18,COUNTIF(배관기준!$AK$5:$AK$18,"&lt;"&amp;$B21)+1,IF($E21="탄소강관",1,2)),"확인"))</f>
        <v/>
      </c>
      <c r="M21" s="34" t="str">
        <f aca="false">IF($B21="","",IFERROR(INDEX(배관기준!$AL$5:$AL$18,COUNTIF(배관기준!$AK$5:$AK$18,"&lt;"&amp;$B21)+1),"확인"))</f>
        <v/>
      </c>
      <c r="N21" s="38" t="str">
        <f aca="false">IF($B21="","",IF($E21="탄소강관",배관기준!$AG$8,1))</f>
        <v/>
      </c>
      <c r="O21" s="17" t="n">
        <f aca="false">IF(AND(ISNUMBER(K21),ISNUMBER(L21),ISNUMBER(M21)),ROUND(K21*M21*N21*L21,0),0)</f>
        <v>0</v>
      </c>
      <c r="P21" s="16"/>
    </row>
    <row r="22" customFormat="false" ht="15" hidden="false" customHeight="true" outlineLevel="0" collapsed="false">
      <c r="A22" s="10" t="s">
        <v>221</v>
      </c>
      <c r="B22" s="10"/>
      <c r="C22" s="10"/>
      <c r="D22" s="10"/>
      <c r="E22" s="10"/>
      <c r="F22" s="10"/>
      <c r="G22" s="10"/>
      <c r="H22" s="45" t="n">
        <f aca="false">SUM(H7:H21)</f>
        <v>5032</v>
      </c>
      <c r="I22" s="10"/>
      <c r="J22" s="10"/>
      <c r="K22" s="10"/>
      <c r="L22" s="10"/>
      <c r="M22" s="10"/>
      <c r="N22" s="10"/>
      <c r="O22" s="45" t="n">
        <f aca="false">SUM(O7:O21)</f>
        <v>42604</v>
      </c>
      <c r="P22" s="10"/>
    </row>
    <row r="24" customFormat="false" ht="15" hidden="false" customHeight="true" outlineLevel="0" collapsed="false">
      <c r="A24" s="7" t="s">
        <v>889</v>
      </c>
      <c r="B24" s="7"/>
      <c r="C24" s="7"/>
      <c r="D24" s="7"/>
      <c r="E24" s="7"/>
      <c r="F24" s="7"/>
      <c r="G24" s="34" t="n">
        <f aca="false">SUMIF(E7:E21,"탄소강관",O7:O21)</f>
        <v>11044</v>
      </c>
    </row>
    <row r="25" customFormat="false" ht="15" hidden="false" customHeight="true" outlineLevel="0" collapsed="false">
      <c r="A25" s="16" t="s">
        <v>890</v>
      </c>
      <c r="B25" s="16"/>
      <c r="C25" s="16"/>
      <c r="D25" s="16"/>
      <c r="E25" s="16"/>
      <c r="F25" s="16"/>
      <c r="G25" s="34" t="n">
        <f aca="false">SUMIF(E7:E21,"STS강관",O7:O21)</f>
        <v>31560</v>
      </c>
    </row>
    <row r="26" customFormat="false" ht="15" hidden="false" customHeight="true" outlineLevel="0" collapsed="false">
      <c r="A26" s="96" t="s">
        <v>891</v>
      </c>
      <c r="B26" s="96"/>
      <c r="C26" s="96"/>
      <c r="D26" s="96"/>
      <c r="E26" s="96"/>
      <c r="F26" s="96"/>
      <c r="G26" s="97" t="n">
        <f aca="false">O22</f>
        <v>42604</v>
      </c>
    </row>
    <row r="27" customFormat="false" ht="15" hidden="false" customHeight="true" outlineLevel="0" collapsed="false">
      <c r="A27" s="16" t="s">
        <v>892</v>
      </c>
      <c r="B27" s="16"/>
      <c r="C27" s="16"/>
      <c r="D27" s="16"/>
      <c r="E27" s="16"/>
      <c r="F27" s="16"/>
      <c r="G27" s="34" t="n">
        <f aca="false">배관기준!$AG$9</f>
        <v>7000</v>
      </c>
    </row>
    <row r="28" customFormat="false" ht="15" hidden="false" customHeight="true" outlineLevel="0" collapsed="false">
      <c r="A28" s="98" t="s">
        <v>893</v>
      </c>
      <c r="B28" s="98"/>
      <c r="C28" s="98"/>
      <c r="D28" s="98"/>
      <c r="E28" s="98"/>
      <c r="F28" s="98"/>
      <c r="G28" s="97" t="n">
        <f aca="false">ROUNDUP(O22/배관기준!$AG$9,0)</f>
        <v>7</v>
      </c>
    </row>
    <row r="30" customFormat="false" ht="15" hidden="false" customHeight="true" outlineLevel="0" collapsed="false">
      <c r="A30" s="3" t="s">
        <v>894</v>
      </c>
    </row>
    <row r="31" customFormat="false" ht="15" hidden="false" customHeight="true" outlineLevel="0" collapsed="false">
      <c r="A31" s="3" t="s">
        <v>895</v>
      </c>
    </row>
    <row r="32" customFormat="false" ht="15" hidden="false" customHeight="true" outlineLevel="0" collapsed="false">
      <c r="A32" s="3" t="s">
        <v>896</v>
      </c>
    </row>
  </sheetData>
  <mergeCells count="5">
    <mergeCell ref="A24:F24"/>
    <mergeCell ref="A25:F25"/>
    <mergeCell ref="A26:F26"/>
    <mergeCell ref="A27:F27"/>
    <mergeCell ref="A28:F28"/>
  </mergeCells>
  <dataValidations count="2">
    <dataValidation allowBlank="true" errorStyle="stop" operator="between" showDropDown="false" showErrorMessage="false" showInputMessage="false" sqref="E7:E21" type="list">
      <formula1>"탄소강관,STS강관"</formula1>
      <formula2>0</formula2>
    </dataValidation>
    <dataValidation allowBlank="true" errorStyle="stop" operator="between" showDropDown="false" showErrorMessage="false" showInputMessage="false" sqref="D7:D21" type="list">
      <formula1>"SPP,SCH5,SCH10,SCH20,SCH40,SCH60,SCH80,SCH120,SCH160"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7" min="5" style="1" width="10"/>
    <col collapsed="false" customWidth="true" hidden="false" outlineLevel="0" max="8" min="8" style="1" width="9"/>
    <col collapsed="false" customWidth="true" hidden="false" outlineLevel="0" max="11" min="9" style="1" width="10"/>
    <col collapsed="false" customWidth="true" hidden="false" outlineLevel="0" max="12" min="12" style="1" width="14"/>
    <col collapsed="false" customWidth="true" hidden="false" outlineLevel="0" max="14" min="13" style="1" width="10"/>
    <col collapsed="false" customWidth="true" hidden="false" outlineLevel="0" max="15" min="15" style="1" width="14"/>
    <col collapsed="false" customWidth="true" hidden="false" outlineLevel="0" max="17" min="16" style="1" width="10"/>
    <col collapsed="false" customWidth="true" hidden="false" outlineLevel="0" max="20" min="18" style="1" width="9"/>
    <col collapsed="false" customWidth="true" hidden="false" outlineLevel="0" max="21" min="21" style="1" width="40"/>
    <col collapsed="false" customWidth="true" hidden="false" outlineLevel="0" max="23" min="22" style="1" width="10"/>
    <col collapsed="false" customWidth="true" hidden="false" outlineLevel="0" max="24" min="24" style="1" width="3"/>
    <col collapsed="false" customWidth="true" hidden="false" outlineLevel="0" max="25" min="25" style="1" width="30"/>
    <col collapsed="false" customWidth="true" hidden="false" outlineLevel="0" max="26" min="26" style="1" width="10"/>
    <col collapsed="false" customWidth="true" hidden="false" outlineLevel="0" max="29" min="27" style="1" width="12"/>
  </cols>
  <sheetData>
    <row r="1" customFormat="false" ht="21" hidden="false" customHeight="true" outlineLevel="0" collapsed="false">
      <c r="A1" s="71" t="s">
        <v>897</v>
      </c>
    </row>
    <row r="2" customFormat="false" ht="15" hidden="false" customHeight="true" outlineLevel="0" collapsed="false">
      <c r="A2" s="3" t="s">
        <v>898</v>
      </c>
    </row>
    <row r="3" customFormat="false" ht="15" hidden="false" customHeight="true" outlineLevel="0" collapsed="false">
      <c r="A3" s="3" t="s">
        <v>899</v>
      </c>
    </row>
    <row r="4" customFormat="false" ht="15" hidden="false" customHeight="true" outlineLevel="0" collapsed="false">
      <c r="Y4" s="50" t="s">
        <v>900</v>
      </c>
    </row>
    <row r="5" customFormat="false" ht="15" hidden="false" customHeight="true" outlineLevel="0" collapsed="false">
      <c r="Y5" s="4" t="s">
        <v>678</v>
      </c>
      <c r="Z5" s="4" t="s">
        <v>473</v>
      </c>
    </row>
    <row r="6" customFormat="false" ht="21.75" hidden="false" customHeight="true" outlineLevel="0" collapsed="false">
      <c r="A6" s="31" t="s">
        <v>117</v>
      </c>
      <c r="B6" s="4" t="s">
        <v>2</v>
      </c>
      <c r="C6" s="4" t="s">
        <v>678</v>
      </c>
      <c r="D6" s="4" t="s">
        <v>901</v>
      </c>
      <c r="E6" s="4" t="s">
        <v>902</v>
      </c>
      <c r="F6" s="4" t="s">
        <v>903</v>
      </c>
      <c r="G6" s="4" t="s">
        <v>904</v>
      </c>
      <c r="H6" s="4" t="s">
        <v>905</v>
      </c>
      <c r="I6" s="4" t="s">
        <v>906</v>
      </c>
      <c r="J6" s="4"/>
      <c r="K6" s="4" t="s">
        <v>907</v>
      </c>
      <c r="L6" s="4"/>
      <c r="M6" s="4"/>
      <c r="N6" s="4" t="s">
        <v>908</v>
      </c>
      <c r="O6" s="4"/>
      <c r="P6" s="4"/>
      <c r="Q6" s="4" t="s">
        <v>909</v>
      </c>
      <c r="R6" s="4" t="s">
        <v>910</v>
      </c>
      <c r="S6" s="4"/>
      <c r="T6" s="4"/>
      <c r="U6" s="4" t="s">
        <v>233</v>
      </c>
      <c r="V6" s="4" t="s">
        <v>911</v>
      </c>
      <c r="W6" s="4" t="s">
        <v>912</v>
      </c>
      <c r="Y6" s="42" t="s">
        <v>10</v>
      </c>
      <c r="Z6" s="40" t="n">
        <v>42</v>
      </c>
    </row>
    <row r="7" customFormat="false" ht="39.75" hidden="false" customHeight="true" outlineLevel="0" collapsed="false">
      <c r="A7" s="31"/>
      <c r="B7" s="31"/>
      <c r="C7" s="31"/>
      <c r="D7" s="31"/>
      <c r="E7" s="31"/>
      <c r="F7" s="31"/>
      <c r="G7" s="31"/>
      <c r="H7" s="31"/>
      <c r="I7" s="31" t="s">
        <v>913</v>
      </c>
      <c r="J7" s="31" t="s">
        <v>914</v>
      </c>
      <c r="K7" s="31" t="s">
        <v>915</v>
      </c>
      <c r="L7" s="31" t="s">
        <v>916</v>
      </c>
      <c r="M7" s="31" t="s">
        <v>917</v>
      </c>
      <c r="N7" s="31" t="s">
        <v>915</v>
      </c>
      <c r="O7" s="31" t="s">
        <v>916</v>
      </c>
      <c r="P7" s="31" t="s">
        <v>917</v>
      </c>
      <c r="Q7" s="4"/>
      <c r="R7" s="31" t="s">
        <v>918</v>
      </c>
      <c r="S7" s="31" t="s">
        <v>919</v>
      </c>
      <c r="T7" s="31" t="s">
        <v>920</v>
      </c>
      <c r="U7" s="4"/>
      <c r="V7" s="4"/>
      <c r="W7" s="4"/>
      <c r="Y7" s="42" t="s">
        <v>921</v>
      </c>
      <c r="Z7" s="40" t="n">
        <v>8.75</v>
      </c>
    </row>
    <row r="8" customFormat="false" ht="15.75" hidden="false" customHeight="true" outlineLevel="0" collapsed="false">
      <c r="A8" s="31"/>
      <c r="B8" s="31"/>
      <c r="C8" s="31"/>
      <c r="D8" s="31"/>
      <c r="E8" s="31"/>
      <c r="F8" s="31"/>
      <c r="G8" s="31"/>
      <c r="H8" s="31"/>
      <c r="I8" s="4"/>
      <c r="J8" s="4"/>
      <c r="K8" s="31" t="s">
        <v>922</v>
      </c>
      <c r="L8" s="31" t="s">
        <v>922</v>
      </c>
      <c r="M8" s="31" t="s">
        <v>922</v>
      </c>
      <c r="N8" s="31" t="s">
        <v>922</v>
      </c>
      <c r="O8" s="31" t="s">
        <v>922</v>
      </c>
      <c r="P8" s="31" t="s">
        <v>922</v>
      </c>
      <c r="Q8" s="31" t="s">
        <v>922</v>
      </c>
      <c r="R8" s="31" t="s">
        <v>922</v>
      </c>
      <c r="S8" s="31" t="s">
        <v>922</v>
      </c>
      <c r="T8" s="31" t="s">
        <v>922</v>
      </c>
      <c r="U8" s="4"/>
      <c r="V8" s="4"/>
      <c r="W8" s="4"/>
      <c r="Y8" s="42" t="s">
        <v>923</v>
      </c>
      <c r="Z8" s="40" t="n">
        <v>13</v>
      </c>
    </row>
    <row r="9" customFormat="false" ht="15" hidden="false" customHeight="true" outlineLevel="0" collapsed="false">
      <c r="A9" s="6" t="n">
        <v>1</v>
      </c>
      <c r="B9" s="98" t="s">
        <v>924</v>
      </c>
      <c r="C9" s="42" t="s">
        <v>10</v>
      </c>
      <c r="D9" s="19" t="s">
        <v>925</v>
      </c>
      <c r="E9" s="35" t="n">
        <f aca="false">SUMIFS(기본물량산출!$G$6:$G$13,기본물량산출!$H$6:$H$13,"설치")</f>
        <v>39.5</v>
      </c>
      <c r="F9" s="99" t="n">
        <v>0</v>
      </c>
      <c r="G9" s="35" t="n">
        <f aca="false">E9-F9</f>
        <v>39.5</v>
      </c>
      <c r="H9" s="37" t="n">
        <f aca="false">IF(ISNUMBER(W9),W9,IFERROR(INDEX($Z$6:$Z$15,MATCH(C9,$Y$6:$Y$15,0)),0))*IF(D9="O",$Z$18,1)</f>
        <v>2.1</v>
      </c>
      <c r="I9" s="15" t="str">
        <f aca="false">IF(D9="O","",G9*H9)</f>
        <v/>
      </c>
      <c r="J9" s="15" t="n">
        <f aca="false">G9*H9*IF(D9="O",1,$Z$18)</f>
        <v>82.95</v>
      </c>
      <c r="K9" s="15" t="n">
        <f aca="false">G9*H9*IF(D9="O",1,$Z$18)</f>
        <v>82.95</v>
      </c>
      <c r="L9" s="15" t="n">
        <f aca="false">G9*H9*IF(D9="O",1,$Z$18)</f>
        <v>82.95</v>
      </c>
      <c r="M9" s="15" t="n">
        <f aca="false">G9*H9*IF(D9="O",1,$Z$18)</f>
        <v>82.95</v>
      </c>
      <c r="N9" s="15" t="str">
        <f aca="false">IF(D9="O","",G9*H9)</f>
        <v/>
      </c>
      <c r="O9" s="15" t="str">
        <f aca="false">IF(D9="O","",G9*H9)</f>
        <v/>
      </c>
      <c r="P9" s="15" t="str">
        <f aca="false">IF(D9="O","",G9*H9)</f>
        <v/>
      </c>
      <c r="Q9" s="99"/>
      <c r="R9" s="99"/>
      <c r="S9" s="99"/>
      <c r="T9" s="99"/>
      <c r="U9" s="7" t="s">
        <v>926</v>
      </c>
      <c r="V9" s="19"/>
      <c r="W9" s="40"/>
      <c r="Y9" s="32" t="s">
        <v>927</v>
      </c>
      <c r="Z9" s="40" t="n">
        <v>6</v>
      </c>
    </row>
    <row r="10" customFormat="false" ht="15" hidden="false" customHeight="true" outlineLevel="0" collapsed="false">
      <c r="A10" s="6" t="n">
        <v>2</v>
      </c>
      <c r="B10" s="98" t="s">
        <v>928</v>
      </c>
      <c r="C10" s="42" t="s">
        <v>10</v>
      </c>
      <c r="D10" s="19" t="s">
        <v>925</v>
      </c>
      <c r="E10" s="35" t="n">
        <f aca="false">SUMIFS(기본물량산출!$G$6:$G$13,기본물량산출!$H$6:$H$13,"이설")</f>
        <v>52.136</v>
      </c>
      <c r="F10" s="99" t="n">
        <v>0</v>
      </c>
      <c r="G10" s="35" t="n">
        <f aca="false">E10-F10</f>
        <v>52.136</v>
      </c>
      <c r="H10" s="37" t="n">
        <f aca="false">IF(ISNUMBER(W10),W10,IFERROR(INDEX($Z$6:$Z$15,MATCH(C10,$Y$6:$Y$15,0)),0))*IF(D10="O",$Z$18,1)</f>
        <v>2.1</v>
      </c>
      <c r="I10" s="15" t="str">
        <f aca="false">IF(D10="O","",G10*H10)</f>
        <v/>
      </c>
      <c r="J10" s="15" t="n">
        <f aca="false">G10*H10*IF(D10="O",1,$Z$18)</f>
        <v>109.4856</v>
      </c>
      <c r="K10" s="15" t="n">
        <f aca="false">G10*H10*IF(D10="O",1,$Z$18)</f>
        <v>109.4856</v>
      </c>
      <c r="L10" s="15" t="n">
        <f aca="false">G10*H10*IF(D10="O",1,$Z$18)</f>
        <v>109.4856</v>
      </c>
      <c r="M10" s="15" t="n">
        <f aca="false">G10*H10*IF(D10="O",1,$Z$18)</f>
        <v>109.4856</v>
      </c>
      <c r="N10" s="15" t="str">
        <f aca="false">IF(D10="O","",G10*H10)</f>
        <v/>
      </c>
      <c r="O10" s="15" t="str">
        <f aca="false">IF(D10="O","",G10*H10)</f>
        <v/>
      </c>
      <c r="P10" s="15" t="str">
        <f aca="false">IF(D10="O","",G10*H10)</f>
        <v/>
      </c>
      <c r="Q10" s="99"/>
      <c r="R10" s="99"/>
      <c r="S10" s="99"/>
      <c r="T10" s="99"/>
      <c r="U10" s="7" t="s">
        <v>926</v>
      </c>
      <c r="V10" s="19"/>
      <c r="W10" s="40"/>
      <c r="Y10" s="32" t="s">
        <v>929</v>
      </c>
      <c r="Z10" s="40" t="n">
        <v>10</v>
      </c>
    </row>
    <row r="11" customFormat="false" ht="29.25" hidden="false" customHeight="true" outlineLevel="0" collapsed="false">
      <c r="A11" s="6" t="n">
        <v>3</v>
      </c>
      <c r="B11" s="98" t="s">
        <v>930</v>
      </c>
      <c r="C11" s="100"/>
      <c r="D11" s="101"/>
      <c r="E11" s="35" t="n">
        <f aca="false">제작물량산출!M40/1000</f>
        <v>0</v>
      </c>
      <c r="F11" s="102"/>
      <c r="G11" s="35" t="n">
        <f aca="false">E11-F11</f>
        <v>0</v>
      </c>
      <c r="H11" s="37" t="n">
        <f aca="false">IFERROR(제작물량산출!P40/G11,0)</f>
        <v>0</v>
      </c>
      <c r="I11" s="15" t="n">
        <f aca="false">제작물량산출!Q40</f>
        <v>0</v>
      </c>
      <c r="J11" s="15" t="n">
        <f aca="false">제작물량산출!P40*$Z$18</f>
        <v>0</v>
      </c>
      <c r="K11" s="15" t="n">
        <f aca="false">제작물량산출!P40*$Z$18</f>
        <v>0</v>
      </c>
      <c r="L11" s="15" t="n">
        <f aca="false">제작물량산출!P40*$Z$18</f>
        <v>0</v>
      </c>
      <c r="M11" s="15" t="n">
        <f aca="false">제작물량산출!P40*$Z$18</f>
        <v>0</v>
      </c>
      <c r="N11" s="15" t="n">
        <f aca="false">제작물량산출!Q40</f>
        <v>0</v>
      </c>
      <c r="O11" s="15" t="n">
        <f aca="false">제작물량산출!P40</f>
        <v>0</v>
      </c>
      <c r="P11" s="15" t="n">
        <f aca="false">제작물량산출!P40</f>
        <v>0</v>
      </c>
      <c r="Q11" s="99"/>
      <c r="R11" s="99"/>
      <c r="S11" s="99"/>
      <c r="T11" s="99"/>
      <c r="U11" s="7" t="s">
        <v>931</v>
      </c>
      <c r="V11" s="19"/>
      <c r="W11" s="103"/>
      <c r="Y11" s="32" t="s">
        <v>932</v>
      </c>
      <c r="Z11" s="40" t="n">
        <v>6</v>
      </c>
    </row>
    <row r="12" customFormat="false" ht="29.25" hidden="false" customHeight="true" outlineLevel="0" collapsed="false">
      <c r="A12" s="6" t="n">
        <v>4</v>
      </c>
      <c r="B12" s="98" t="s">
        <v>933</v>
      </c>
      <c r="C12" s="100"/>
      <c r="D12" s="101"/>
      <c r="E12" s="35" t="n">
        <f aca="false">배관부가물량!C42/1000</f>
        <v>1.99980721</v>
      </c>
      <c r="F12" s="8" t="n">
        <f aca="false">E12-G12</f>
        <v>1.63845271</v>
      </c>
      <c r="G12" s="35" t="n">
        <f aca="false">SUMIFS(배관기본물량!$P$7:$P$126,배관기본물량!$Q$7:$Q$126,"P",배관기본물량!$S$7:$S$126,"Y",배관기본물량!$B$7:$B$126,"설치")/1000</f>
        <v>0.3613545</v>
      </c>
      <c r="H12" s="37" t="n">
        <f aca="false">IFERROR(배관부가물량!R42/G12,0)</f>
        <v>13.8451299208949</v>
      </c>
      <c r="I12" s="15" t="n">
        <f aca="false">(배관부가물량!R42-배관부가물량!Z42)*IFERROR(배관부가물량!F42/배관부가물량!C42,1)</f>
        <v>5.35317568937058</v>
      </c>
      <c r="J12" s="15" t="n">
        <f aca="false">배관부가물량!R42*$Z$18</f>
        <v>0.25015</v>
      </c>
      <c r="K12" s="15" t="n">
        <f aca="false">배관부가물량!R42*$Z$18</f>
        <v>0.25015</v>
      </c>
      <c r="L12" s="15" t="n">
        <f aca="false">배관부가물량!R42*$Z$18</f>
        <v>0.25015</v>
      </c>
      <c r="M12" s="15" t="n">
        <f aca="false">배관부가물량!R42*$Z$18</f>
        <v>0.25015</v>
      </c>
      <c r="N12" s="15" t="n">
        <f aca="false">배관부가물량!R42*IFERROR(배관부가물량!F42/배관부가물량!C42,1)</f>
        <v>5.35317568937058</v>
      </c>
      <c r="O12" s="15" t="n">
        <f aca="false">배관부가물량!R42</f>
        <v>5.003</v>
      </c>
      <c r="P12" s="15" t="n">
        <f aca="false">배관부가물량!R42</f>
        <v>5.003</v>
      </c>
      <c r="Q12" s="99"/>
      <c r="R12" s="99" t="n">
        <v>20</v>
      </c>
      <c r="S12" s="99" t="n">
        <v>7</v>
      </c>
      <c r="T12" s="99" t="n">
        <v>45</v>
      </c>
      <c r="U12" s="7" t="s">
        <v>934</v>
      </c>
      <c r="V12" s="19"/>
      <c r="W12" s="103"/>
      <c r="Y12" s="32" t="s">
        <v>935</v>
      </c>
      <c r="Z12" s="40" t="n">
        <v>21</v>
      </c>
    </row>
    <row r="13" customFormat="false" ht="15" hidden="false" customHeight="true" outlineLevel="0" collapsed="false">
      <c r="A13" s="10"/>
      <c r="B13" s="44" t="s">
        <v>160</v>
      </c>
      <c r="C13" s="10"/>
      <c r="D13" s="10"/>
      <c r="E13" s="46" t="n">
        <f aca="false">SUM(E9:E12)</f>
        <v>93.63580721</v>
      </c>
      <c r="F13" s="46" t="n">
        <f aca="false">SUM(F9:F12)</f>
        <v>1.63845271</v>
      </c>
      <c r="G13" s="46" t="n">
        <f aca="false">SUM(G9:G12)</f>
        <v>91.9973545</v>
      </c>
      <c r="H13" s="10"/>
      <c r="I13" s="104" t="n">
        <f aca="false">SUM(I9:I12)</f>
        <v>5.35317568937058</v>
      </c>
      <c r="J13" s="104" t="n">
        <f aca="false">SUM(J9:J12)</f>
        <v>192.68575</v>
      </c>
      <c r="K13" s="104" t="n">
        <f aca="false">SUM(K9:K12)</f>
        <v>192.68575</v>
      </c>
      <c r="L13" s="104" t="n">
        <f aca="false">SUM(L9:L12)</f>
        <v>192.68575</v>
      </c>
      <c r="M13" s="104" t="n">
        <f aca="false">SUM(M9:M12)</f>
        <v>192.68575</v>
      </c>
      <c r="N13" s="104" t="n">
        <f aca="false">SUM(N9:N12)</f>
        <v>5.35317568937058</v>
      </c>
      <c r="O13" s="104" t="n">
        <f aca="false">SUM(O9:O12)</f>
        <v>5.003</v>
      </c>
      <c r="P13" s="104" t="n">
        <f aca="false">SUM(P9:P12)</f>
        <v>5.003</v>
      </c>
      <c r="Q13" s="104" t="n">
        <f aca="false">SUM(Q9:Q12)</f>
        <v>0</v>
      </c>
      <c r="R13" s="104" t="n">
        <f aca="false">SUM(R9:R12)</f>
        <v>20</v>
      </c>
      <c r="S13" s="104" t="n">
        <f aca="false">SUM(S9:S12)</f>
        <v>7</v>
      </c>
      <c r="T13" s="104" t="n">
        <f aca="false">SUM(T9:T12)</f>
        <v>45</v>
      </c>
      <c r="U13" s="10"/>
      <c r="V13" s="10"/>
      <c r="W13" s="10"/>
      <c r="Y13" s="42" t="s">
        <v>936</v>
      </c>
      <c r="Z13" s="40" t="n">
        <v>66</v>
      </c>
    </row>
    <row r="14" customFormat="false" ht="15" hidden="false" customHeight="true" outlineLevel="0" collapsed="false">
      <c r="Y14" s="42" t="s">
        <v>937</v>
      </c>
      <c r="Z14" s="40" t="n">
        <v>50</v>
      </c>
    </row>
    <row r="15" customFormat="false" ht="15" hidden="false" customHeight="true" outlineLevel="0" collapsed="false">
      <c r="A15" s="3" t="s">
        <v>938</v>
      </c>
      <c r="Y15" s="42" t="s">
        <v>939</v>
      </c>
      <c r="Z15" s="105" t="s">
        <v>940</v>
      </c>
    </row>
    <row r="16" customFormat="false" ht="15" hidden="false" customHeight="true" outlineLevel="0" collapsed="false">
      <c r="A16" s="3" t="s">
        <v>941</v>
      </c>
    </row>
    <row r="17" customFormat="false" ht="15" hidden="false" customHeight="true" outlineLevel="0" collapsed="false">
      <c r="A17" s="3" t="s">
        <v>942</v>
      </c>
    </row>
    <row r="18" customFormat="false" ht="15" hidden="false" customHeight="true" outlineLevel="0" collapsed="false">
      <c r="Y18" s="7" t="s">
        <v>943</v>
      </c>
      <c r="Z18" s="70" t="n">
        <v>0.05</v>
      </c>
    </row>
    <row r="19" customFormat="false" ht="15" hidden="false" customHeight="true" outlineLevel="0" collapsed="false">
      <c r="Y19" s="3" t="s">
        <v>944</v>
      </c>
    </row>
    <row r="21" customFormat="false" ht="15" hidden="false" customHeight="true" outlineLevel="0" collapsed="false">
      <c r="Y21" s="50" t="s">
        <v>945</v>
      </c>
    </row>
    <row r="22" customFormat="false" ht="15" hidden="false" customHeight="true" outlineLevel="0" collapsed="false">
      <c r="Y22" s="4" t="s">
        <v>946</v>
      </c>
      <c r="Z22" s="4" t="s">
        <v>947</v>
      </c>
      <c r="AA22" s="4" t="s">
        <v>948</v>
      </c>
      <c r="AB22" s="4" t="s">
        <v>949</v>
      </c>
      <c r="AC22" s="4" t="s">
        <v>138</v>
      </c>
    </row>
    <row r="23" customFormat="false" ht="15" hidden="false" customHeight="true" outlineLevel="0" collapsed="false">
      <c r="Y23" s="42" t="s">
        <v>950</v>
      </c>
      <c r="Z23" s="19" t="n">
        <v>1</v>
      </c>
      <c r="AA23" s="19" t="n">
        <v>2</v>
      </c>
      <c r="AB23" s="19" t="s">
        <v>951</v>
      </c>
      <c r="AC23" s="32"/>
    </row>
    <row r="24" customFormat="false" ht="15" hidden="false" customHeight="true" outlineLevel="0" collapsed="false">
      <c r="Y24" s="32" t="s">
        <v>952</v>
      </c>
      <c r="Z24" s="19" t="n">
        <v>1</v>
      </c>
      <c r="AA24" s="19" t="n">
        <v>1</v>
      </c>
      <c r="AB24" s="19" t="s">
        <v>953</v>
      </c>
      <c r="AC24" s="32"/>
    </row>
    <row r="25" customFormat="false" ht="15" hidden="false" customHeight="true" outlineLevel="0" collapsed="false">
      <c r="Y25" s="42" t="s">
        <v>954</v>
      </c>
      <c r="Z25" s="19" t="n">
        <v>2</v>
      </c>
      <c r="AA25" s="19" t="n">
        <v>2</v>
      </c>
      <c r="AB25" s="19" t="s">
        <v>955</v>
      </c>
      <c r="AC25" s="32"/>
    </row>
    <row r="26" customFormat="false" ht="15" hidden="false" customHeight="true" outlineLevel="0" collapsed="false">
      <c r="Y26" s="42" t="s">
        <v>956</v>
      </c>
      <c r="Z26" s="19" t="n">
        <v>2</v>
      </c>
      <c r="AA26" s="19" t="n">
        <v>2</v>
      </c>
      <c r="AB26" s="19" t="s">
        <v>957</v>
      </c>
      <c r="AC26" s="32"/>
    </row>
    <row r="27" customFormat="false" ht="15" hidden="false" customHeight="true" outlineLevel="0" collapsed="false">
      <c r="Y27" s="32" t="s">
        <v>958</v>
      </c>
      <c r="Z27" s="19" t="n">
        <v>2</v>
      </c>
      <c r="AA27" s="19" t="n">
        <v>2</v>
      </c>
      <c r="AB27" s="19" t="s">
        <v>959</v>
      </c>
      <c r="AC27" s="32"/>
    </row>
    <row r="28" customFormat="false" ht="15" hidden="false" customHeight="true" outlineLevel="0" collapsed="false">
      <c r="Y28" s="42" t="s">
        <v>960</v>
      </c>
      <c r="Z28" s="19" t="n">
        <v>2</v>
      </c>
      <c r="AA28" s="19" t="n">
        <v>2</v>
      </c>
      <c r="AB28" s="19" t="s">
        <v>961</v>
      </c>
      <c r="AC28" s="32" t="s">
        <v>962</v>
      </c>
    </row>
    <row r="29" customFormat="false" ht="15" hidden="false" customHeight="true" outlineLevel="0" collapsed="false">
      <c r="Y29" s="42" t="s">
        <v>963</v>
      </c>
      <c r="Z29" s="19" t="n">
        <v>1</v>
      </c>
      <c r="AA29" s="19" t="n">
        <v>1</v>
      </c>
      <c r="AB29" s="19" t="s">
        <v>964</v>
      </c>
      <c r="AC29" s="32" t="s">
        <v>962</v>
      </c>
    </row>
    <row r="30" customFormat="false" ht="15" hidden="false" customHeight="true" outlineLevel="0" collapsed="false">
      <c r="Y30" s="42" t="s">
        <v>965</v>
      </c>
      <c r="Z30" s="19"/>
      <c r="AA30" s="19" t="n">
        <v>1</v>
      </c>
      <c r="AB30" s="19" t="s">
        <v>966</v>
      </c>
      <c r="AC30" s="32"/>
    </row>
    <row r="33" customFormat="false" ht="15" hidden="false" customHeight="true" outlineLevel="0" collapsed="false">
      <c r="Y33" s="91" t="s">
        <v>967</v>
      </c>
    </row>
    <row r="34" customFormat="false" ht="15" hidden="false" customHeight="true" outlineLevel="0" collapsed="false">
      <c r="Y34" s="4" t="s">
        <v>968</v>
      </c>
      <c r="Z34" s="4" t="s">
        <v>946</v>
      </c>
      <c r="AA34" s="4" t="s">
        <v>947</v>
      </c>
      <c r="AB34" s="4" t="s">
        <v>948</v>
      </c>
      <c r="AC34" s="4" t="s">
        <v>949</v>
      </c>
      <c r="AD34" s="4" t="s">
        <v>138</v>
      </c>
    </row>
    <row r="35" customFormat="false" ht="29.25" hidden="false" customHeight="true" outlineLevel="0" collapsed="false">
      <c r="Y35" s="42" t="s">
        <v>969</v>
      </c>
      <c r="Z35" s="42" t="s">
        <v>970</v>
      </c>
      <c r="AA35" s="19" t="n">
        <v>1</v>
      </c>
      <c r="AB35" s="19"/>
      <c r="AC35" s="19" t="s">
        <v>971</v>
      </c>
      <c r="AD35" s="32" t="s">
        <v>972</v>
      </c>
    </row>
    <row r="36" customFormat="false" ht="23.25" hidden="false" customHeight="true" outlineLevel="0" collapsed="false">
      <c r="Y36" s="32"/>
      <c r="Z36" s="32" t="s">
        <v>952</v>
      </c>
      <c r="AA36" s="19" t="n">
        <v>2</v>
      </c>
      <c r="AB36" s="19"/>
      <c r="AC36" s="19" t="s">
        <v>973</v>
      </c>
      <c r="AD36" s="32" t="s">
        <v>974</v>
      </c>
    </row>
    <row r="37" customFormat="false" ht="29.25" hidden="false" customHeight="true" outlineLevel="0" collapsed="false">
      <c r="Y37" s="42" t="s">
        <v>975</v>
      </c>
      <c r="Z37" s="42" t="s">
        <v>970</v>
      </c>
      <c r="AA37" s="19" t="n">
        <v>1</v>
      </c>
      <c r="AB37" s="19"/>
      <c r="AC37" s="19" t="s">
        <v>971</v>
      </c>
      <c r="AD37" s="32" t="s">
        <v>972</v>
      </c>
    </row>
    <row r="38" customFormat="false" ht="29.25" hidden="false" customHeight="true" outlineLevel="0" collapsed="false">
      <c r="Y38" s="32"/>
      <c r="Z38" s="42" t="s">
        <v>976</v>
      </c>
      <c r="AA38" s="19"/>
      <c r="AB38" s="19" t="n">
        <v>2</v>
      </c>
      <c r="AC38" s="19" t="s">
        <v>977</v>
      </c>
      <c r="AD38" s="32" t="s">
        <v>978</v>
      </c>
    </row>
  </sheetData>
  <mergeCells count="15">
    <mergeCell ref="A6:A8"/>
    <mergeCell ref="B6:B8"/>
    <mergeCell ref="C6:C8"/>
    <mergeCell ref="D6:D8"/>
    <mergeCell ref="E6:E8"/>
    <mergeCell ref="F6:F8"/>
    <mergeCell ref="G6:G8"/>
    <mergeCell ref="H6:H8"/>
    <mergeCell ref="I6:J6"/>
    <mergeCell ref="K6:M6"/>
    <mergeCell ref="N6:P6"/>
    <mergeCell ref="R6:T6"/>
    <mergeCell ref="U6:U8"/>
    <mergeCell ref="V6:V8"/>
    <mergeCell ref="W6:W8"/>
  </mergeCells>
  <dataValidations count="2">
    <dataValidation allowBlank="true" errorStyle="stop" operator="between" showDropDown="false" showErrorMessage="false" showInputMessage="false" sqref="C9:C10" type="list">
      <formula1>$Y$6:$Y$15</formula1>
      <formula2>0</formula2>
    </dataValidation>
    <dataValidation allowBlank="true" errorStyle="stop" operator="between" showDropDown="false" showErrorMessage="false" showInputMessage="false" sqref="D9:D10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7" min="4" style="1" width="13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2" min="11" style="1" width="10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13"/>
    <col collapsed="false" customWidth="true" hidden="false" outlineLevel="0" max="17" min="17" style="1" width="34"/>
  </cols>
  <sheetData>
    <row r="1" customFormat="false" ht="21" hidden="false" customHeight="true" outlineLevel="0" collapsed="false">
      <c r="A1" s="71" t="s">
        <v>979</v>
      </c>
    </row>
    <row r="2" customFormat="false" ht="15" hidden="false" customHeight="true" outlineLevel="0" collapsed="false">
      <c r="A2" s="3" t="s">
        <v>980</v>
      </c>
    </row>
    <row r="4" customFormat="false" ht="15" hidden="false" customHeight="true" outlineLevel="0" collapsed="false">
      <c r="A4" s="50" t="s">
        <v>981</v>
      </c>
    </row>
    <row r="5" customFormat="false" ht="15" hidden="false" customHeight="true" outlineLevel="0" collapsed="false">
      <c r="K5" s="31" t="s">
        <v>982</v>
      </c>
      <c r="L5" s="31"/>
      <c r="M5" s="31"/>
      <c r="N5" s="31" t="s">
        <v>983</v>
      </c>
      <c r="O5" s="31"/>
    </row>
    <row r="6" customFormat="false" ht="43.5" hidden="false" customHeight="true" outlineLevel="0" collapsed="false">
      <c r="A6" s="31" t="s">
        <v>117</v>
      </c>
      <c r="B6" s="4" t="s">
        <v>2</v>
      </c>
      <c r="C6" s="4" t="s">
        <v>984</v>
      </c>
      <c r="D6" s="31" t="s">
        <v>985</v>
      </c>
      <c r="E6" s="4" t="s">
        <v>986</v>
      </c>
      <c r="F6" s="4" t="s">
        <v>987</v>
      </c>
      <c r="G6" s="4" t="s">
        <v>988</v>
      </c>
      <c r="H6" s="4" t="s">
        <v>989</v>
      </c>
      <c r="I6" s="31" t="s">
        <v>990</v>
      </c>
      <c r="J6" s="31" t="s">
        <v>991</v>
      </c>
      <c r="K6" s="31" t="s">
        <v>992</v>
      </c>
      <c r="L6" s="31" t="s">
        <v>993</v>
      </c>
      <c r="M6" s="31" t="s">
        <v>994</v>
      </c>
      <c r="N6" s="4" t="s">
        <v>995</v>
      </c>
      <c r="O6" s="31" t="s">
        <v>996</v>
      </c>
      <c r="P6" s="4" t="s">
        <v>997</v>
      </c>
      <c r="Q6" s="4" t="s">
        <v>233</v>
      </c>
    </row>
    <row r="7" customFormat="false" ht="15" hidden="false" customHeight="true" outlineLevel="0" collapsed="false">
      <c r="A7" s="6" t="n">
        <v>1</v>
      </c>
      <c r="B7" s="42" t="s">
        <v>924</v>
      </c>
      <c r="C7" s="42" t="s">
        <v>10</v>
      </c>
      <c r="D7" s="35" t="n">
        <f aca="false">SUMIFS(기본물량산출!$G$6:$G$13,기본물량산출!$H$6:$H$13,"설치")</f>
        <v>39.5</v>
      </c>
      <c r="E7" s="27" t="n">
        <v>0</v>
      </c>
      <c r="F7" s="35" t="n">
        <f aca="false">IF(D7="","",D7-N(E7))</f>
        <v>39.5</v>
      </c>
      <c r="G7" s="37" t="n">
        <f aca="false">IF(C7="","",IFERROR(INDEX(부대기준!$C$5:$C$49,MATCH(C7,부대기준!$B$5:$B$49,0)),0))</f>
        <v>1.95</v>
      </c>
      <c r="H7" s="19" t="s">
        <v>992</v>
      </c>
      <c r="I7" s="19"/>
      <c r="J7" s="106" t="n">
        <v>0</v>
      </c>
      <c r="K7" s="15" t="n">
        <f aca="false">IF(H7="E4301",IF(AND(ISNUMBER(G7),ISNUMBER(F7)),F7*G7,0)*(1-N(J7)),0)</f>
        <v>77.025</v>
      </c>
      <c r="L7" s="15" t="n">
        <f aca="false">IF(H7="E4316",IF(AND(ISNUMBER(G7),ISNUMBER(F7)),F7*G7,0)*(1-N(J7)),0)</f>
        <v>0</v>
      </c>
      <c r="M7" s="15" t="n">
        <f aca="false">IF(H7="AWS E308-16",IF(AND(ISNUMBER(G7),ISNUMBER(F7)),F7*G7,0)*(1-N(J7)),0)</f>
        <v>0</v>
      </c>
      <c r="N7" s="15" t="n">
        <f aca="false">IF(I7="연강용",IF(AND(ISNUMBER(G7),ISNUMBER(F7)),F7*G7,0)*N(J7),0)</f>
        <v>0</v>
      </c>
      <c r="O7" s="15" t="n">
        <f aca="false">IF(I7="STS",IF(AND(ISNUMBER(G7),ISNUMBER(F7)),F7*G7,0)*N(J7),0)</f>
        <v>0</v>
      </c>
      <c r="P7" s="15" t="n">
        <f aca="false">K7+L7+M7</f>
        <v>77.025</v>
      </c>
      <c r="Q7" s="16" t="str">
        <f aca="false">IF(AND(C7&lt;&gt;"",NOT(ISNUMBER(G7))),"기준량 없음/실용접장 산출 필요","")</f>
        <v/>
      </c>
    </row>
    <row r="8" customFormat="false" ht="15" hidden="false" customHeight="true" outlineLevel="0" collapsed="false">
      <c r="A8" s="6" t="n">
        <v>2</v>
      </c>
      <c r="B8" s="42" t="s">
        <v>928</v>
      </c>
      <c r="C8" s="42" t="s">
        <v>10</v>
      </c>
      <c r="D8" s="35" t="n">
        <f aca="false">SUMIFS(기본물량산출!$G$6:$G$13,기본물량산출!$H$6:$H$13,"이설")</f>
        <v>52.136</v>
      </c>
      <c r="E8" s="27" t="n">
        <v>0</v>
      </c>
      <c r="F8" s="35" t="n">
        <f aca="false">IF(D8="","",D8-N(E8))</f>
        <v>52.136</v>
      </c>
      <c r="G8" s="37" t="n">
        <f aca="false">IF(C8="","",IFERROR(INDEX(부대기준!$C$5:$C$49,MATCH(C8,부대기준!$B$5:$B$49,0)),0))</f>
        <v>1.95</v>
      </c>
      <c r="H8" s="19" t="s">
        <v>992</v>
      </c>
      <c r="I8" s="19"/>
      <c r="J8" s="106" t="n">
        <v>0</v>
      </c>
      <c r="K8" s="15" t="n">
        <f aca="false">IF(H8="E4301",IF(AND(ISNUMBER(G8),ISNUMBER(F8)),F8*G8,0)*(1-N(J8)),0)</f>
        <v>101.6652</v>
      </c>
      <c r="L8" s="15" t="n">
        <f aca="false">IF(H8="E4316",IF(AND(ISNUMBER(G8),ISNUMBER(F8)),F8*G8,0)*(1-N(J8)),0)</f>
        <v>0</v>
      </c>
      <c r="M8" s="15" t="n">
        <f aca="false">IF(H8="AWS E308-16",IF(AND(ISNUMBER(G8),ISNUMBER(F8)),F8*G8,0)*(1-N(J8)),0)</f>
        <v>0</v>
      </c>
      <c r="N8" s="15" t="n">
        <f aca="false">IF(I8="연강용",IF(AND(ISNUMBER(G8),ISNUMBER(F8)),F8*G8,0)*N(J8),0)</f>
        <v>0</v>
      </c>
      <c r="O8" s="15" t="n">
        <f aca="false">IF(I8="STS",IF(AND(ISNUMBER(G8),ISNUMBER(F8)),F8*G8,0)*N(J8),0)</f>
        <v>0</v>
      </c>
      <c r="P8" s="15" t="n">
        <f aca="false">K8+L8+M8</f>
        <v>101.6652</v>
      </c>
      <c r="Q8" s="16" t="str">
        <f aca="false">IF(AND(C8&lt;&gt;"",NOT(ISNUMBER(G8))),"기준량 없음/실용접장 산출 필요","")</f>
        <v/>
      </c>
    </row>
    <row r="9" customFormat="false" ht="15" hidden="false" customHeight="true" outlineLevel="0" collapsed="false">
      <c r="A9" s="6" t="n">
        <v>3</v>
      </c>
      <c r="B9" s="42" t="s">
        <v>998</v>
      </c>
      <c r="C9" s="42" t="s">
        <v>999</v>
      </c>
      <c r="D9" s="35" t="n">
        <f aca="false">SUMIF(배관집계!$B$7:$B$32,"설치",배관집계!$O$7:$O$32)</f>
        <v>5.13410721</v>
      </c>
      <c r="E9" s="27" t="n">
        <v>0</v>
      </c>
      <c r="F9" s="35" t="n">
        <f aca="false">IF(D9="","",D9-N(E9))</f>
        <v>5.13410721</v>
      </c>
      <c r="G9" s="37" t="n">
        <f aca="false">IF(C9="","",IFERROR(INDEX(부대기준!$C$5:$C$49,MATCH(C9,부대기준!$B$5:$B$49,0)),0))</f>
        <v>11.94</v>
      </c>
      <c r="H9" s="19" t="s">
        <v>993</v>
      </c>
      <c r="I9" s="20" t="s">
        <v>995</v>
      </c>
      <c r="J9" s="52" t="n">
        <f aca="false">부대기준!$M$11</f>
        <v>0.333333333333333</v>
      </c>
      <c r="K9" s="15" t="n">
        <f aca="false">IF(H9="E4301",IF(AND(ISNUMBER(G9),ISNUMBER(F9)),F9*G9,0)*(1-N(J9)),0)</f>
        <v>0</v>
      </c>
      <c r="L9" s="15" t="n">
        <f aca="false">IF(H9="E4316",IF(AND(ISNUMBER(G9),ISNUMBER(F9)),F9*G9,0)*(1-N(J9)),0)</f>
        <v>40.8674933916</v>
      </c>
      <c r="M9" s="15" t="n">
        <f aca="false">IF(H9="AWS E308-16",IF(AND(ISNUMBER(G9),ISNUMBER(F9)),F9*G9,0)*(1-N(J9)),0)</f>
        <v>0</v>
      </c>
      <c r="N9" s="15" t="n">
        <f aca="false">IF(I9="연강용",IF(AND(ISNUMBER(G9),ISNUMBER(F9)),F9*G9,0)*N(J9),0)</f>
        <v>20.4337466958</v>
      </c>
      <c r="O9" s="15" t="n">
        <f aca="false">IF(I9="STS",IF(AND(ISNUMBER(G9),ISNUMBER(F9)),F9*G9,0)*N(J9),0)</f>
        <v>0</v>
      </c>
      <c r="P9" s="15" t="n">
        <f aca="false">K9+L9+M9</f>
        <v>40.8674933916</v>
      </c>
      <c r="Q9" s="16" t="str">
        <f aca="false">IF(AND(C9&lt;&gt;"",NOT(ISNUMBER(G9))),"기준량 없음/실용접장 산출 필요","")</f>
        <v/>
      </c>
    </row>
    <row r="10" customFormat="false" ht="15" hidden="false" customHeight="true" outlineLevel="0" collapsed="false">
      <c r="A10" s="6"/>
      <c r="B10" s="59"/>
      <c r="C10" s="59"/>
      <c r="D10" s="78"/>
      <c r="E10" s="25"/>
      <c r="F10" s="35" t="str">
        <f aca="false">IF(D10="","",D10-N(E10))</f>
        <v/>
      </c>
      <c r="G10" s="37" t="str">
        <f aca="false">IF(C10="","",IFERROR(INDEX(부대기준!$C$5:$C$49,MATCH(C10,부대기준!$B$5:$B$49,0)),0))</f>
        <v/>
      </c>
      <c r="H10" s="21"/>
      <c r="I10" s="21"/>
      <c r="J10" s="107"/>
      <c r="K10" s="15" t="n">
        <f aca="false">IF(H10="E4301",IF(AND(ISNUMBER(G10),ISNUMBER(F10)),F10*G10,0)*(1-N(J10)),0)</f>
        <v>0</v>
      </c>
      <c r="L10" s="15" t="n">
        <f aca="false">IF(H10="E4316",IF(AND(ISNUMBER(G10),ISNUMBER(F10)),F10*G10,0)*(1-N(J10)),0)</f>
        <v>0</v>
      </c>
      <c r="M10" s="15" t="n">
        <f aca="false">IF(H10="AWS E308-16",IF(AND(ISNUMBER(G10),ISNUMBER(F10)),F10*G10,0)*(1-N(J10)),0)</f>
        <v>0</v>
      </c>
      <c r="N10" s="15" t="n">
        <f aca="false">IF(I10="연강용",IF(AND(ISNUMBER(G10),ISNUMBER(F10)),F10*G10,0)*N(J10),0)</f>
        <v>0</v>
      </c>
      <c r="O10" s="15" t="n">
        <f aca="false">IF(I10="STS",IF(AND(ISNUMBER(G10),ISNUMBER(F10)),F10*G10,0)*N(J10),0)</f>
        <v>0</v>
      </c>
      <c r="P10" s="15" t="n">
        <f aca="false">K10+L10+M10</f>
        <v>0</v>
      </c>
      <c r="Q10" s="16" t="str">
        <f aca="false">IF(AND(C10&lt;&gt;"",NOT(ISNUMBER(G10))),"기준량 없음/실용접장 산출 필요","")</f>
        <v/>
      </c>
    </row>
    <row r="11" customFormat="false" ht="15" hidden="false" customHeight="true" outlineLevel="0" collapsed="false">
      <c r="A11" s="6"/>
      <c r="B11" s="59"/>
      <c r="C11" s="59"/>
      <c r="D11" s="78"/>
      <c r="E11" s="25"/>
      <c r="F11" s="35" t="str">
        <f aca="false">IF(D11="","",D11-N(E11))</f>
        <v/>
      </c>
      <c r="G11" s="37" t="str">
        <f aca="false">IF(C11="","",IFERROR(INDEX(부대기준!$C$5:$C$49,MATCH(C11,부대기준!$B$5:$B$49,0)),0))</f>
        <v/>
      </c>
      <c r="H11" s="21"/>
      <c r="I11" s="21"/>
      <c r="J11" s="107"/>
      <c r="K11" s="15" t="n">
        <f aca="false">IF(H11="E4301",IF(AND(ISNUMBER(G11),ISNUMBER(F11)),F11*G11,0)*(1-N(J11)),0)</f>
        <v>0</v>
      </c>
      <c r="L11" s="15" t="n">
        <f aca="false">IF(H11="E4316",IF(AND(ISNUMBER(G11),ISNUMBER(F11)),F11*G11,0)*(1-N(J11)),0)</f>
        <v>0</v>
      </c>
      <c r="M11" s="15" t="n">
        <f aca="false">IF(H11="AWS E308-16",IF(AND(ISNUMBER(G11),ISNUMBER(F11)),F11*G11,0)*(1-N(J11)),0)</f>
        <v>0</v>
      </c>
      <c r="N11" s="15" t="n">
        <f aca="false">IF(I11="연강용",IF(AND(ISNUMBER(G11),ISNUMBER(F11)),F11*G11,0)*N(J11),0)</f>
        <v>0</v>
      </c>
      <c r="O11" s="15" t="n">
        <f aca="false">IF(I11="STS",IF(AND(ISNUMBER(G11),ISNUMBER(F11)),F11*G11,0)*N(J11),0)</f>
        <v>0</v>
      </c>
      <c r="P11" s="15" t="n">
        <f aca="false">K11+L11+M11</f>
        <v>0</v>
      </c>
      <c r="Q11" s="16" t="str">
        <f aca="false">IF(AND(C11&lt;&gt;"",NOT(ISNUMBER(G11))),"기준량 없음/실용접장 산출 필요","")</f>
        <v/>
      </c>
    </row>
    <row r="12" customFormat="false" ht="15" hidden="false" customHeight="true" outlineLevel="0" collapsed="false">
      <c r="A12" s="6"/>
      <c r="B12" s="59"/>
      <c r="C12" s="59"/>
      <c r="D12" s="78"/>
      <c r="E12" s="25"/>
      <c r="F12" s="35" t="str">
        <f aca="false">IF(D12="","",D12-N(E12))</f>
        <v/>
      </c>
      <c r="G12" s="37" t="str">
        <f aca="false">IF(C12="","",IFERROR(INDEX(부대기준!$C$5:$C$49,MATCH(C12,부대기준!$B$5:$B$49,0)),0))</f>
        <v/>
      </c>
      <c r="H12" s="21"/>
      <c r="I12" s="21"/>
      <c r="J12" s="107"/>
      <c r="K12" s="15" t="n">
        <f aca="false">IF(H12="E4301",IF(AND(ISNUMBER(G12),ISNUMBER(F12)),F12*G12,0)*(1-N(J12)),0)</f>
        <v>0</v>
      </c>
      <c r="L12" s="15" t="n">
        <f aca="false">IF(H12="E4316",IF(AND(ISNUMBER(G12),ISNUMBER(F12)),F12*G12,0)*(1-N(J12)),0)</f>
        <v>0</v>
      </c>
      <c r="M12" s="15" t="n">
        <f aca="false">IF(H12="AWS E308-16",IF(AND(ISNUMBER(G12),ISNUMBER(F12)),F12*G12,0)*(1-N(J12)),0)</f>
        <v>0</v>
      </c>
      <c r="N12" s="15" t="n">
        <f aca="false">IF(I12="연강용",IF(AND(ISNUMBER(G12),ISNUMBER(F12)),F12*G12,0)*N(J12),0)</f>
        <v>0</v>
      </c>
      <c r="O12" s="15" t="n">
        <f aca="false">IF(I12="STS",IF(AND(ISNUMBER(G12),ISNUMBER(F12)),F12*G12,0)*N(J12),0)</f>
        <v>0</v>
      </c>
      <c r="P12" s="15" t="n">
        <f aca="false">K12+L12+M12</f>
        <v>0</v>
      </c>
      <c r="Q12" s="16" t="str">
        <f aca="false">IF(AND(C12&lt;&gt;"",NOT(ISNUMBER(G12))),"기준량 없음/실용접장 산출 필요","")</f>
        <v/>
      </c>
    </row>
    <row r="13" customFormat="false" ht="29.25" hidden="false" customHeight="true" outlineLevel="0" collapsed="false">
      <c r="A13" s="6" t="n">
        <v>7</v>
      </c>
      <c r="B13" s="98" t="s">
        <v>930</v>
      </c>
      <c r="C13" s="7" t="s">
        <v>1000</v>
      </c>
      <c r="D13" s="35" t="n">
        <f aca="false">SUM(제작물량산출!G10:L10)/1000</f>
        <v>0</v>
      </c>
      <c r="E13" s="27" t="n">
        <v>0</v>
      </c>
      <c r="F13" s="35" t="n">
        <f aca="false">D13-N(E13)</f>
        <v>0</v>
      </c>
      <c r="G13" s="37" t="n">
        <f aca="false">IFERROR(P13/F13,0)</f>
        <v>0</v>
      </c>
      <c r="H13" s="19" t="s">
        <v>992</v>
      </c>
      <c r="I13" s="6"/>
      <c r="J13" s="6"/>
      <c r="K13" s="15" t="n">
        <f aca="false">SUM(제작물량산출!G14:L14)</f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f aca="false">K13+L13+M13</f>
        <v>0</v>
      </c>
      <c r="Q13" s="7" t="s">
        <v>1001</v>
      </c>
    </row>
    <row r="14" customFormat="false" ht="15" hidden="false" customHeight="true" outlineLevel="0" collapsed="false">
      <c r="A14" s="10"/>
      <c r="B14" s="44" t="s">
        <v>160</v>
      </c>
      <c r="C14" s="10"/>
      <c r="D14" s="46" t="n">
        <f aca="false">SUM(D7:D13)</f>
        <v>96.77010721</v>
      </c>
      <c r="E14" s="46" t="n">
        <f aca="false">SUM(E7:E13)</f>
        <v>0</v>
      </c>
      <c r="F14" s="46" t="n">
        <f aca="false">SUM(F7:F13)</f>
        <v>96.77010721</v>
      </c>
      <c r="G14" s="10"/>
      <c r="H14" s="10"/>
      <c r="I14" s="10"/>
      <c r="J14" s="10"/>
      <c r="K14" s="104" t="n">
        <f aca="false">SUM(K7:K13)</f>
        <v>178.6902</v>
      </c>
      <c r="L14" s="104" t="n">
        <f aca="false">SUM(L7:L13)</f>
        <v>40.8674933916</v>
      </c>
      <c r="M14" s="104" t="n">
        <f aca="false">SUM(M7:M13)</f>
        <v>0</v>
      </c>
      <c r="N14" s="104" t="n">
        <f aca="false">SUM(N7:N13)</f>
        <v>20.4337466958</v>
      </c>
      <c r="O14" s="104" t="n">
        <f aca="false">SUM(O7:O13)</f>
        <v>0</v>
      </c>
      <c r="P14" s="104" t="n">
        <f aca="false">SUM(P7:P13)</f>
        <v>219.5576933916</v>
      </c>
      <c r="Q14" s="10"/>
    </row>
    <row r="15" customFormat="false" ht="26.25" hidden="false" customHeight="true" outlineLevel="0" collapsed="false">
      <c r="B15" s="7" t="s">
        <v>1002</v>
      </c>
      <c r="D15" s="62" t="n">
        <f aca="false">P14</f>
        <v>219.5576933916</v>
      </c>
    </row>
    <row r="16" customFormat="false" ht="15" hidden="false" customHeight="true" outlineLevel="0" collapsed="false">
      <c r="B16" s="16" t="s">
        <v>1003</v>
      </c>
      <c r="D16" s="62" t="n">
        <f aca="false">N14+O14</f>
        <v>20.4337466958</v>
      </c>
    </row>
    <row r="17" customFormat="false" ht="15" hidden="false" customHeight="true" outlineLevel="0" collapsed="false">
      <c r="A17" s="3" t="s">
        <v>1004</v>
      </c>
    </row>
    <row r="19" customFormat="false" ht="15" hidden="false" customHeight="true" outlineLevel="0" collapsed="false">
      <c r="A19" s="50" t="s">
        <v>1005</v>
      </c>
    </row>
    <row r="20" customFormat="false" ht="39.75" hidden="false" customHeight="true" outlineLevel="0" collapsed="false">
      <c r="A20" s="31" t="s">
        <v>117</v>
      </c>
      <c r="B20" s="4" t="s">
        <v>1006</v>
      </c>
      <c r="C20" s="4" t="s">
        <v>1007</v>
      </c>
      <c r="D20" s="4" t="s">
        <v>1008</v>
      </c>
      <c r="E20" s="4" t="s">
        <v>1009</v>
      </c>
      <c r="F20" s="4" t="s">
        <v>1010</v>
      </c>
      <c r="G20" s="4" t="s">
        <v>233</v>
      </c>
    </row>
    <row r="21" customFormat="false" ht="15" hidden="false" customHeight="true" outlineLevel="0" collapsed="false">
      <c r="A21" s="6" t="n">
        <v>1</v>
      </c>
      <c r="B21" s="42" t="s">
        <v>924</v>
      </c>
      <c r="C21" s="42" t="s">
        <v>1011</v>
      </c>
      <c r="D21" s="8" t="n">
        <f aca="false">SUMIFS(기본물량산출!$G$6:$G$13,기본물량산출!$H$6:$H$13,"설치",기본물량산출!$J$6:$J$13,"강재류")</f>
        <v>39.5</v>
      </c>
      <c r="E21" s="37" t="n">
        <f aca="false">IF(C21="","",IFERROR(INDEX(부대기준!$J$5:$J$30,MATCH(C21,부대기준!$I$5:$I$30,0)),0))</f>
        <v>5.4</v>
      </c>
      <c r="F21" s="17" t="n">
        <f aca="false">IF(D21="","",ROUND(D21*E21,0))</f>
        <v>213</v>
      </c>
      <c r="G21" s="16"/>
    </row>
    <row r="22" customFormat="false" ht="15" hidden="false" customHeight="true" outlineLevel="0" collapsed="false">
      <c r="A22" s="6" t="n">
        <v>2</v>
      </c>
      <c r="B22" s="42" t="s">
        <v>1012</v>
      </c>
      <c r="C22" s="42" t="s">
        <v>1011</v>
      </c>
      <c r="D22" s="8" t="n">
        <f aca="false">SUMIFS(기본물량산출!$G$6:$G$13,기본물량산출!$H$6:$H$13,"설치",기본물량산출!$J$6:$J$13,"강재 STAND")</f>
        <v>0</v>
      </c>
      <c r="E22" s="37" t="n">
        <f aca="false">IF(C22="","",IFERROR(INDEX(부대기준!$J$5:$J$30,MATCH(C22,부대기준!$I$5:$I$30,0)),0))</f>
        <v>5.4</v>
      </c>
      <c r="F22" s="17" t="n">
        <f aca="false">IF(D22="","",ROUND(D22*E22,0))</f>
        <v>0</v>
      </c>
      <c r="G22" s="16"/>
    </row>
    <row r="23" customFormat="false" ht="15" hidden="false" customHeight="true" outlineLevel="0" collapsed="false">
      <c r="A23" s="6" t="n">
        <v>3</v>
      </c>
      <c r="B23" s="42" t="s">
        <v>928</v>
      </c>
      <c r="C23" s="42" t="s">
        <v>1013</v>
      </c>
      <c r="D23" s="8" t="n">
        <f aca="false">SUMIFS(기본물량산출!$G$6:$G$13,기본물량산출!$H$6:$H$13,"이설",기본물량산출!$J$6:$J$13,"강재류")</f>
        <v>45.986</v>
      </c>
      <c r="E23" s="37" t="n">
        <f aca="false">IF(C23="","",IFERROR(INDEX(부대기준!$J$5:$J$30,MATCH(C23,부대기준!$I$5:$I$30,0)),0))</f>
        <v>8.1</v>
      </c>
      <c r="F23" s="17" t="n">
        <f aca="false">IF(D23="","",ROUND(D23*E23,0))</f>
        <v>372</v>
      </c>
      <c r="G23" s="16"/>
    </row>
    <row r="24" customFormat="false" ht="15" hidden="false" customHeight="true" outlineLevel="0" collapsed="false">
      <c r="A24" s="6" t="n">
        <v>4</v>
      </c>
      <c r="B24" s="42" t="s">
        <v>189</v>
      </c>
      <c r="C24" s="42" t="s">
        <v>1013</v>
      </c>
      <c r="D24" s="8" t="n">
        <f aca="false">SUMIFS(기본물량산출!$G$6:$G$13,기본물량산출!$H$6:$H$13,"이설",기본물량산출!$J$6:$J$13,"강재 STAND")</f>
        <v>6.15</v>
      </c>
      <c r="E24" s="37" t="n">
        <f aca="false">IF(C24="","",IFERROR(INDEX(부대기준!$J$5:$J$30,MATCH(C24,부대기준!$I$5:$I$30,0)),0))</f>
        <v>8.1</v>
      </c>
      <c r="F24" s="17" t="n">
        <f aca="false">IF(D24="","",ROUND(D24*E24,0))</f>
        <v>50</v>
      </c>
      <c r="G24" s="16"/>
    </row>
    <row r="25" customFormat="false" ht="15" hidden="false" customHeight="true" outlineLevel="0" collapsed="false">
      <c r="A25" s="6" t="n">
        <v>5</v>
      </c>
      <c r="B25" s="42" t="s">
        <v>1014</v>
      </c>
      <c r="C25" s="42" t="s">
        <v>1015</v>
      </c>
      <c r="D25" s="8" t="n">
        <f aca="false">SUMIF(배관집계!$B$7:$B$32,"설치",배관집계!$O$7:$O$32)</f>
        <v>5.13410721</v>
      </c>
      <c r="E25" s="37" t="n">
        <f aca="false">IF(C25="","",IFERROR(INDEX(부대기준!$J$5:$J$30,MATCH(C25,부대기준!$I$5:$I$30,0)),0))</f>
        <v>6.6</v>
      </c>
      <c r="F25" s="17" t="n">
        <f aca="false">IF(D25="","",ROUND(D25*E25,0))</f>
        <v>34</v>
      </c>
      <c r="G25" s="16"/>
    </row>
    <row r="26" customFormat="false" ht="15" hidden="false" customHeight="true" outlineLevel="0" collapsed="false">
      <c r="A26" s="6" t="n">
        <v>6</v>
      </c>
      <c r="B26" s="42" t="s">
        <v>1016</v>
      </c>
      <c r="C26" s="42" t="s">
        <v>1017</v>
      </c>
      <c r="D26" s="8" t="n">
        <f aca="false">SUMIF(배관집계!$B$7:$B$32,"철거",배관집계!$O$7:$O$32)</f>
        <v>5.13410721</v>
      </c>
      <c r="E26" s="37" t="n">
        <f aca="false">IF(C26="","",IFERROR(INDEX(부대기준!$J$5:$J$30,MATCH(C26,부대기준!$I$5:$I$30,0)),0))</f>
        <v>3.3</v>
      </c>
      <c r="F26" s="17" t="n">
        <f aca="false">IF(D26="","",ROUND(D26*E26,0))</f>
        <v>17</v>
      </c>
      <c r="G26" s="16"/>
    </row>
    <row r="27" customFormat="false" ht="15" hidden="false" customHeight="true" outlineLevel="0" collapsed="false">
      <c r="A27" s="6" t="n">
        <v>7</v>
      </c>
      <c r="B27" s="42" t="s">
        <v>19</v>
      </c>
      <c r="C27" s="42" t="s">
        <v>1018</v>
      </c>
      <c r="D27" s="8" t="n">
        <f aca="false">SUMIFS(기본물량산출!$G$6:$G$13,기본물량산출!$H$6:$H$13,"철거")</f>
        <v>39.5</v>
      </c>
      <c r="E27" s="37" t="n">
        <f aca="false">IF(C27="","",IFERROR(INDEX(부대기준!$J$5:$J$30,MATCH(C27,부대기준!$I$5:$I$30,0)),0))</f>
        <v>2.7</v>
      </c>
      <c r="F27" s="17" t="n">
        <f aca="false">IF(D27="","",ROUND(D27*E27,0))</f>
        <v>107</v>
      </c>
      <c r="G27" s="16"/>
    </row>
    <row r="28" customFormat="false" ht="15" hidden="false" customHeight="true" outlineLevel="0" collapsed="false">
      <c r="A28" s="6"/>
      <c r="B28" s="59"/>
      <c r="C28" s="59"/>
      <c r="D28" s="25"/>
      <c r="E28" s="37" t="str">
        <f aca="false">IF(C28="","",IFERROR(INDEX(부대기준!$J$5:$J$30,MATCH(C28,부대기준!$I$5:$I$30,0)),0))</f>
        <v/>
      </c>
      <c r="F28" s="17" t="str">
        <f aca="false">IF(D28="","",ROUND(D28*E28,0))</f>
        <v/>
      </c>
      <c r="G28" s="16"/>
    </row>
    <row r="29" customFormat="false" ht="15" hidden="false" customHeight="true" outlineLevel="0" collapsed="false">
      <c r="A29" s="6"/>
      <c r="B29" s="59"/>
      <c r="C29" s="59"/>
      <c r="D29" s="25"/>
      <c r="E29" s="37" t="str">
        <f aca="false">IF(C29="","",IFERROR(INDEX(부대기준!$J$5:$J$30,MATCH(C29,부대기준!$I$5:$I$30,0)),0))</f>
        <v/>
      </c>
      <c r="F29" s="17" t="str">
        <f aca="false">IF(D29="","",ROUND(D29*E29,0))</f>
        <v/>
      </c>
      <c r="G29" s="16"/>
    </row>
    <row r="30" customFormat="false" ht="15" hidden="false" customHeight="true" outlineLevel="0" collapsed="false">
      <c r="A30" s="6"/>
      <c r="B30" s="59"/>
      <c r="C30" s="59"/>
      <c r="D30" s="25"/>
      <c r="E30" s="37" t="str">
        <f aca="false">IF(C30="","",IFERROR(INDEX(부대기준!$J$5:$J$30,MATCH(C30,부대기준!$I$5:$I$30,0)),0))</f>
        <v/>
      </c>
      <c r="F30" s="17" t="str">
        <f aca="false">IF(D30="","",ROUND(D30*E30,0))</f>
        <v/>
      </c>
      <c r="G30" s="16"/>
    </row>
    <row r="31" customFormat="false" ht="15" hidden="false" customHeight="true" outlineLevel="0" collapsed="false">
      <c r="A31" s="6"/>
      <c r="B31" s="59"/>
      <c r="C31" s="59"/>
      <c r="D31" s="25"/>
      <c r="E31" s="37" t="str">
        <f aca="false">IF(C31="","",IFERROR(INDEX(부대기준!$J$5:$J$30,MATCH(C31,부대기준!$I$5:$I$30,0)),0))</f>
        <v/>
      </c>
      <c r="F31" s="17" t="str">
        <f aca="false">IF(D31="","",ROUND(D31*E31,0))</f>
        <v/>
      </c>
      <c r="G31" s="16"/>
    </row>
    <row r="32" customFormat="false" ht="15" hidden="false" customHeight="true" outlineLevel="0" collapsed="false">
      <c r="A32" s="6"/>
      <c r="B32" s="59"/>
      <c r="C32" s="59"/>
      <c r="D32" s="25"/>
      <c r="E32" s="37" t="str">
        <f aca="false">IF(C32="","",IFERROR(INDEX(부대기준!$J$5:$J$30,MATCH(C32,부대기준!$I$5:$I$30,0)),0))</f>
        <v/>
      </c>
      <c r="F32" s="17" t="str">
        <f aca="false">IF(D32="","",ROUND(D32*E32,0))</f>
        <v/>
      </c>
      <c r="G32" s="16"/>
    </row>
    <row r="33" customFormat="false" ht="15" hidden="false" customHeight="true" outlineLevel="0" collapsed="false">
      <c r="A33" s="10"/>
      <c r="B33" s="10" t="s">
        <v>1019</v>
      </c>
      <c r="C33" s="10"/>
      <c r="D33" s="10"/>
      <c r="E33" s="10"/>
      <c r="F33" s="45" t="n">
        <f aca="false">SUM(F21:F32)</f>
        <v>793</v>
      </c>
      <c r="G33" s="10"/>
    </row>
    <row r="35" customFormat="false" ht="15" hidden="false" customHeight="true" outlineLevel="0" collapsed="false">
      <c r="A35" s="3" t="s">
        <v>1020</v>
      </c>
    </row>
    <row r="37" customFormat="false" ht="15" hidden="false" customHeight="true" outlineLevel="0" collapsed="false">
      <c r="A37" s="50" t="s">
        <v>1021</v>
      </c>
    </row>
    <row r="38" customFormat="false" ht="36" hidden="false" customHeight="true" outlineLevel="0" collapsed="false">
      <c r="A38" s="31" t="s">
        <v>117</v>
      </c>
      <c r="B38" s="4" t="s">
        <v>127</v>
      </c>
      <c r="C38" s="4" t="s">
        <v>1022</v>
      </c>
      <c r="D38" s="31" t="s">
        <v>773</v>
      </c>
      <c r="E38" s="4" t="s">
        <v>876</v>
      </c>
      <c r="F38" s="4" t="s">
        <v>1023</v>
      </c>
      <c r="G38" s="4" t="s">
        <v>1024</v>
      </c>
      <c r="H38" s="31" t="s">
        <v>1025</v>
      </c>
      <c r="I38" s="4" t="s">
        <v>1026</v>
      </c>
      <c r="J38" s="4" t="s">
        <v>233</v>
      </c>
    </row>
    <row r="39" customFormat="false" ht="29.25" hidden="false" customHeight="true" outlineLevel="0" collapsed="false">
      <c r="A39" s="6" t="n">
        <v>1</v>
      </c>
      <c r="B39" s="16" t="str">
        <f aca="false">집계!A5</f>
        <v>OHC 운전</v>
      </c>
      <c r="C39" s="22" t="s">
        <v>1027</v>
      </c>
      <c r="D39" s="6" t="s">
        <v>62</v>
      </c>
      <c r="E39" s="6"/>
      <c r="F39" s="7" t="s">
        <v>1028</v>
      </c>
      <c r="G39" s="15" t="n">
        <f aca="false">집계!E5</f>
        <v>48</v>
      </c>
      <c r="H39" s="41" t="n">
        <f aca="false">I39/8</f>
        <v>6</v>
      </c>
      <c r="I39" s="17" t="n">
        <f aca="false">G39</f>
        <v>48</v>
      </c>
      <c r="J39" s="16"/>
    </row>
    <row r="40" customFormat="false" ht="29.25" hidden="false" customHeight="true" outlineLevel="0" collapsed="false">
      <c r="A40" s="6" t="n">
        <v>2</v>
      </c>
      <c r="B40" s="16" t="str">
        <f aca="false">집계!A6</f>
        <v>100T Crane</v>
      </c>
      <c r="C40" s="22" t="s">
        <v>1027</v>
      </c>
      <c r="D40" s="6" t="s">
        <v>62</v>
      </c>
      <c r="E40" s="6"/>
      <c r="F40" s="7" t="s">
        <v>1028</v>
      </c>
      <c r="G40" s="15" t="n">
        <f aca="false">집계!E6</f>
        <v>0</v>
      </c>
      <c r="H40" s="41" t="n">
        <f aca="false">I40/8</f>
        <v>0</v>
      </c>
      <c r="I40" s="17" t="n">
        <f aca="false">G40</f>
        <v>0</v>
      </c>
      <c r="J40" s="16"/>
    </row>
    <row r="41" customFormat="false" ht="29.25" hidden="false" customHeight="true" outlineLevel="0" collapsed="false">
      <c r="A41" s="6" t="n">
        <v>3</v>
      </c>
      <c r="B41" s="16" t="str">
        <f aca="false">집계!A7</f>
        <v>25T Crane</v>
      </c>
      <c r="C41" s="22" t="s">
        <v>1027</v>
      </c>
      <c r="D41" s="6" t="s">
        <v>62</v>
      </c>
      <c r="E41" s="6"/>
      <c r="F41" s="7" t="s">
        <v>1028</v>
      </c>
      <c r="G41" s="15" t="n">
        <f aca="false">집계!E7</f>
        <v>0</v>
      </c>
      <c r="H41" s="41" t="n">
        <f aca="false">I41/8</f>
        <v>0</v>
      </c>
      <c r="I41" s="17" t="n">
        <f aca="false">G41</f>
        <v>0</v>
      </c>
      <c r="J41" s="16"/>
    </row>
    <row r="42" customFormat="false" ht="29.25" hidden="false" customHeight="true" outlineLevel="0" collapsed="false">
      <c r="A42" s="6" t="n">
        <v>4</v>
      </c>
      <c r="B42" s="16" t="str">
        <f aca="false">집계!A8</f>
        <v>15T Crane</v>
      </c>
      <c r="C42" s="22" t="s">
        <v>1027</v>
      </c>
      <c r="D42" s="6" t="s">
        <v>62</v>
      </c>
      <c r="E42" s="6"/>
      <c r="F42" s="7" t="s">
        <v>1028</v>
      </c>
      <c r="G42" s="15" t="n">
        <f aca="false">집계!E8</f>
        <v>0</v>
      </c>
      <c r="H42" s="41" t="n">
        <f aca="false">I42/8</f>
        <v>0</v>
      </c>
      <c r="I42" s="17" t="n">
        <f aca="false">G42</f>
        <v>0</v>
      </c>
      <c r="J42" s="16"/>
    </row>
    <row r="43" customFormat="false" ht="29.25" hidden="false" customHeight="true" outlineLevel="0" collapsed="false">
      <c r="A43" s="6" t="n">
        <v>5</v>
      </c>
      <c r="B43" s="16" t="str">
        <f aca="false">집계!A9</f>
        <v>지게차 7Ton</v>
      </c>
      <c r="C43" s="22" t="s">
        <v>1027</v>
      </c>
      <c r="D43" s="6" t="s">
        <v>62</v>
      </c>
      <c r="E43" s="6"/>
      <c r="F43" s="7" t="s">
        <v>1028</v>
      </c>
      <c r="G43" s="15" t="n">
        <f aca="false">집계!E9</f>
        <v>0</v>
      </c>
      <c r="H43" s="41" t="n">
        <f aca="false">I43/8</f>
        <v>0</v>
      </c>
      <c r="I43" s="17" t="n">
        <f aca="false">G43</f>
        <v>0</v>
      </c>
      <c r="J43" s="16"/>
    </row>
    <row r="44" customFormat="false" ht="57" hidden="false" customHeight="true" outlineLevel="0" collapsed="false">
      <c r="A44" s="6" t="n">
        <v>6</v>
      </c>
      <c r="B44" s="96" t="s">
        <v>1029</v>
      </c>
      <c r="C44" s="6" t="s">
        <v>1030</v>
      </c>
      <c r="D44" s="6" t="s">
        <v>62</v>
      </c>
      <c r="E44" s="54" t="n">
        <f aca="false">$D$15</f>
        <v>219.5576933916</v>
      </c>
      <c r="F44" s="16" t="s">
        <v>1031</v>
      </c>
      <c r="G44" s="54" t="n">
        <f aca="false">E44/부대기준!$M$5*부대기준!$M$6*부대기준!$M$7/부대기준!$M$8*부대기준!$M$9</f>
        <v>266.396667981808</v>
      </c>
      <c r="H44" s="37" t="n">
        <f aca="false">I44/8</f>
        <v>33.25</v>
      </c>
      <c r="I44" s="34" t="n">
        <f aca="false">ROUNDDOWN(G44,0)</f>
        <v>266</v>
      </c>
      <c r="J44" s="7" t="s">
        <v>1032</v>
      </c>
    </row>
    <row r="45" customFormat="false" ht="57" hidden="false" customHeight="true" outlineLevel="0" collapsed="false">
      <c r="A45" s="6" t="n">
        <v>7</v>
      </c>
      <c r="B45" s="96"/>
      <c r="C45" s="6" t="s">
        <v>1033</v>
      </c>
      <c r="D45" s="6" t="s">
        <v>62</v>
      </c>
      <c r="E45" s="54" t="n">
        <f aca="false">$D$15</f>
        <v>219.5576933916</v>
      </c>
      <c r="F45" s="16" t="s">
        <v>1034</v>
      </c>
      <c r="G45" s="54" t="n">
        <f aca="false">E45/부대기준!$M$5*부대기준!$M$6*부대기준!$M$7/부대기준!$M$8*부대기준!$M$10</f>
        <v>114.170000563632</v>
      </c>
      <c r="H45" s="37" t="n">
        <f aca="false">I45/8</f>
        <v>14.25</v>
      </c>
      <c r="I45" s="34" t="n">
        <f aca="false">ROUNDDOWN(G45,0)</f>
        <v>114</v>
      </c>
      <c r="J45" s="7" t="s">
        <v>1032</v>
      </c>
    </row>
    <row r="46" customFormat="false" ht="45.75" hidden="false" customHeight="true" outlineLevel="0" collapsed="false">
      <c r="A46" s="6" t="n">
        <v>8</v>
      </c>
      <c r="B46" s="96"/>
      <c r="C46" s="6" t="s">
        <v>1035</v>
      </c>
      <c r="D46" s="6" t="s">
        <v>62</v>
      </c>
      <c r="E46" s="54" t="n">
        <f aca="false">$D$16</f>
        <v>20.4337466958</v>
      </c>
      <c r="F46" s="16" t="s">
        <v>1036</v>
      </c>
      <c r="G46" s="54" t="n">
        <f aca="false">E46/부대기준!$M$5*부대기준!$M$6*부대기준!$M$7/부대기준!$M$8*1</f>
        <v>35.41849427272</v>
      </c>
      <c r="H46" s="37" t="n">
        <f aca="false">I46/8</f>
        <v>4.375</v>
      </c>
      <c r="I46" s="34" t="n">
        <f aca="false">ROUNDDOWN(G46,0)</f>
        <v>35</v>
      </c>
      <c r="J46" s="7" t="s">
        <v>1032</v>
      </c>
    </row>
    <row r="48" customFormat="false" ht="15" hidden="false" customHeight="true" outlineLevel="0" collapsed="false">
      <c r="A48" s="29" t="s">
        <v>1037</v>
      </c>
    </row>
  </sheetData>
  <mergeCells count="2">
    <mergeCell ref="K5:M5"/>
    <mergeCell ref="N5:O5"/>
  </mergeCells>
  <dataValidations count="4">
    <dataValidation allowBlank="true" errorStyle="stop" operator="between" showDropDown="false" showErrorMessage="false" showInputMessage="false" sqref="C7:C12" type="list">
      <formula1>부대기준!$B$5:$B$49</formula1>
      <formula2>0</formula2>
    </dataValidation>
    <dataValidation allowBlank="true" errorStyle="stop" operator="between" showDropDown="false" showErrorMessage="false" showInputMessage="false" sqref="H7:H12" type="list">
      <formula1>"E4301,E4316,AWS E308-16"</formula1>
      <formula2>0</formula2>
    </dataValidation>
    <dataValidation allowBlank="true" errorStyle="stop" operator="between" showDropDown="false" showErrorMessage="false" showInputMessage="false" sqref="I7:I12" type="list">
      <formula1>"연강용,STS"</formula1>
      <formula2>0</formula2>
    </dataValidation>
    <dataValidation allowBlank="true" errorStyle="stop" operator="between" showDropDown="false" showErrorMessage="false" showInputMessage="false" sqref="C21:C32" type="list">
      <formula1>부대기준!$I$5:$I$30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7" min="4" style="1" width="12"/>
    <col collapsed="false" customWidth="true" hidden="false" outlineLevel="0" max="8" min="8" style="1" width="36"/>
    <col collapsed="false" customWidth="true" hidden="false" outlineLevel="0" max="10" min="9" style="1" width="12"/>
  </cols>
  <sheetData>
    <row r="1" customFormat="false" ht="21" hidden="false" customHeight="true" outlineLevel="0" collapsed="false">
      <c r="A1" s="71" t="s">
        <v>1038</v>
      </c>
    </row>
    <row r="2" customFormat="false" ht="15" hidden="false" customHeight="true" outlineLevel="0" collapsed="false">
      <c r="A2" s="3" t="s">
        <v>1039</v>
      </c>
    </row>
    <row r="4" customFormat="false" ht="15" hidden="false" customHeight="true" outlineLevel="0" collapsed="false">
      <c r="B4" s="11" t="s">
        <v>1040</v>
      </c>
      <c r="C4" s="19" t="s">
        <v>1041</v>
      </c>
    </row>
    <row r="5" customFormat="false" ht="15" hidden="false" customHeight="true" outlineLevel="0" collapsed="false">
      <c r="B5" s="11" t="s">
        <v>1042</v>
      </c>
      <c r="C5" s="20" t="s">
        <v>1043</v>
      </c>
    </row>
    <row r="7" customFormat="false" ht="15" hidden="false" customHeight="true" outlineLevel="0" collapsed="false">
      <c r="A7" s="50" t="s">
        <v>1044</v>
      </c>
    </row>
    <row r="8" customFormat="false" ht="25.5" hidden="false" customHeight="true" outlineLevel="0" collapsed="false">
      <c r="A8" s="31" t="s">
        <v>117</v>
      </c>
      <c r="B8" s="4" t="s">
        <v>2</v>
      </c>
      <c r="C8" s="4" t="s">
        <v>685</v>
      </c>
      <c r="D8" s="4" t="s">
        <v>233</v>
      </c>
    </row>
    <row r="9" customFormat="false" ht="26.25" hidden="false" customHeight="true" outlineLevel="0" collapsed="false">
      <c r="A9" s="6" t="n">
        <v>1</v>
      </c>
      <c r="B9" s="7" t="s">
        <v>1045</v>
      </c>
      <c r="C9" s="15" t="n">
        <f aca="false">배관부가물량!H42</f>
        <v>97.9809529999999</v>
      </c>
      <c r="D9" s="16" t="s">
        <v>1046</v>
      </c>
    </row>
    <row r="10" customFormat="false" ht="26.25" hidden="false" customHeight="true" outlineLevel="0" collapsed="false">
      <c r="A10" s="6" t="n">
        <v>2</v>
      </c>
      <c r="B10" s="7" t="s">
        <v>1047</v>
      </c>
      <c r="C10" s="15" t="n">
        <f aca="false">제작물량산출!G42</f>
        <v>0</v>
      </c>
      <c r="D10" s="16" t="s">
        <v>1046</v>
      </c>
    </row>
    <row r="11" customFormat="false" ht="43.5" hidden="false" customHeight="true" outlineLevel="0" collapsed="false">
      <c r="A11" s="6" t="n">
        <v>3</v>
      </c>
      <c r="B11" s="7" t="s">
        <v>1048</v>
      </c>
      <c r="C11" s="26" t="n">
        <v>0</v>
      </c>
      <c r="D11" s="7" t="s">
        <v>1049</v>
      </c>
    </row>
    <row r="12" customFormat="false" ht="15" hidden="false" customHeight="true" outlineLevel="0" collapsed="false">
      <c r="A12" s="10"/>
      <c r="B12" s="11" t="s">
        <v>762</v>
      </c>
      <c r="C12" s="60" t="n">
        <f aca="false">SUM(C9:C11)</f>
        <v>97.9809529999999</v>
      </c>
      <c r="D12" s="10"/>
    </row>
    <row r="13" customFormat="false" ht="15" hidden="false" customHeight="true" outlineLevel="0" collapsed="false">
      <c r="A13" s="10"/>
      <c r="B13" s="11" t="s">
        <v>1050</v>
      </c>
      <c r="C13" s="46" t="n">
        <f aca="false">C12/1000</f>
        <v>0.0979809529999999</v>
      </c>
      <c r="D13" s="10"/>
    </row>
    <row r="15" customFormat="false" ht="15" hidden="false" customHeight="true" outlineLevel="0" collapsed="false">
      <c r="A15" s="50" t="s">
        <v>1051</v>
      </c>
    </row>
    <row r="16" customFormat="false" ht="36" hidden="false" customHeight="true" outlineLevel="0" collapsed="false">
      <c r="A16" s="31" t="s">
        <v>117</v>
      </c>
      <c r="B16" s="4" t="s">
        <v>2</v>
      </c>
      <c r="C16" s="31" t="s">
        <v>773</v>
      </c>
      <c r="D16" s="4" t="s">
        <v>1052</v>
      </c>
      <c r="E16" s="31" t="s">
        <v>1053</v>
      </c>
      <c r="F16" s="4" t="s">
        <v>1054</v>
      </c>
      <c r="G16" s="4" t="s">
        <v>1055</v>
      </c>
      <c r="H16" s="4" t="s">
        <v>233</v>
      </c>
    </row>
    <row r="17" customFormat="false" ht="15" hidden="false" customHeight="true" outlineLevel="0" collapsed="false">
      <c r="A17" s="6" t="n">
        <v>1</v>
      </c>
      <c r="B17" s="7" t="s">
        <v>1056</v>
      </c>
      <c r="C17" s="6" t="s">
        <v>11</v>
      </c>
      <c r="D17" s="8" t="n">
        <f aca="false">집계!B36</f>
        <v>38</v>
      </c>
      <c r="E17" s="8"/>
      <c r="F17" s="8"/>
      <c r="G17" s="8" t="n">
        <f aca="false">SUM(D17:F17)</f>
        <v>38</v>
      </c>
      <c r="H17" s="7" t="s">
        <v>1057</v>
      </c>
    </row>
    <row r="18" customFormat="false" ht="26.25" hidden="false" customHeight="true" outlineLevel="0" collapsed="false">
      <c r="A18" s="6" t="n">
        <v>2</v>
      </c>
      <c r="B18" s="16" t="str">
        <f aca="false">"구내 운반(70% 적용, "&amp;$C$4&amp;")"</f>
        <v>구내 운반(70% 적용, 2KM)</v>
      </c>
      <c r="C18" s="6" t="s">
        <v>11</v>
      </c>
      <c r="D18" s="8" t="n">
        <f aca="false">집계!B37</f>
        <v>26.6</v>
      </c>
      <c r="E18" s="8"/>
      <c r="F18" s="8"/>
      <c r="G18" s="8" t="n">
        <f aca="false">SUM(D18:F18)</f>
        <v>26.6</v>
      </c>
      <c r="H18" s="7" t="s">
        <v>1058</v>
      </c>
    </row>
    <row r="19" customFormat="false" ht="15" hidden="false" customHeight="true" outlineLevel="0" collapsed="false">
      <c r="A19" s="6" t="n">
        <v>3</v>
      </c>
      <c r="B19" s="7" t="s">
        <v>1059</v>
      </c>
      <c r="C19" s="6" t="s">
        <v>11</v>
      </c>
      <c r="D19" s="8"/>
      <c r="E19" s="8"/>
      <c r="F19" s="8" t="n">
        <f aca="false">제작물량산출!N40/1000</f>
        <v>0</v>
      </c>
      <c r="G19" s="8" t="n">
        <f aca="false">SUM(D19:F19)</f>
        <v>0</v>
      </c>
      <c r="H19" s="16" t="s">
        <v>1060</v>
      </c>
    </row>
    <row r="20" customFormat="false" ht="15" hidden="false" customHeight="true" outlineLevel="0" collapsed="false">
      <c r="A20" s="6" t="n">
        <v>4</v>
      </c>
      <c r="B20" s="7" t="s">
        <v>1061</v>
      </c>
      <c r="C20" s="6" t="s">
        <v>11</v>
      </c>
      <c r="D20" s="8"/>
      <c r="E20" s="8" t="n">
        <f aca="false">집계!B38</f>
        <v>0</v>
      </c>
      <c r="F20" s="8"/>
      <c r="G20" s="8" t="n">
        <f aca="false">SUM(D20:F20)</f>
        <v>0</v>
      </c>
      <c r="H20" s="7" t="s">
        <v>1062</v>
      </c>
    </row>
    <row r="21" customFormat="false" ht="15" hidden="false" customHeight="true" outlineLevel="0" collapsed="false">
      <c r="A21" s="6" t="n">
        <v>5</v>
      </c>
      <c r="B21" s="16" t="s">
        <v>94</v>
      </c>
      <c r="C21" s="6" t="s">
        <v>11</v>
      </c>
      <c r="D21" s="8"/>
      <c r="E21" s="8" t="n">
        <f aca="false">$C$13</f>
        <v>0.0979809529999999</v>
      </c>
      <c r="F21" s="8"/>
      <c r="G21" s="8" t="n">
        <f aca="false">SUM(D21:F21)</f>
        <v>0.0979809529999999</v>
      </c>
      <c r="H21" s="7" t="s">
        <v>1063</v>
      </c>
    </row>
    <row r="22" customFormat="false" ht="15" hidden="false" customHeight="true" outlineLevel="0" collapsed="false">
      <c r="A22" s="6" t="n">
        <v>6</v>
      </c>
      <c r="B22" s="42" t="s">
        <v>1064</v>
      </c>
      <c r="C22" s="6" t="s">
        <v>11</v>
      </c>
      <c r="D22" s="8" t="n">
        <f aca="false">배관부가물량!U42</f>
        <v>0</v>
      </c>
      <c r="E22" s="8"/>
      <c r="F22" s="8"/>
      <c r="G22" s="8" t="n">
        <f aca="false">SUM(D22:F22)</f>
        <v>0</v>
      </c>
      <c r="H22" s="7" t="s">
        <v>1065</v>
      </c>
    </row>
    <row r="23" customFormat="false" ht="15" hidden="false" customHeight="true" outlineLevel="0" collapsed="false">
      <c r="A23" s="6" t="n">
        <v>7</v>
      </c>
      <c r="B23" s="32" t="s">
        <v>1066</v>
      </c>
      <c r="C23" s="6" t="s">
        <v>11</v>
      </c>
      <c r="D23" s="25" t="n">
        <v>0</v>
      </c>
      <c r="E23" s="8"/>
      <c r="F23" s="8"/>
      <c r="G23" s="8" t="n">
        <f aca="false">SUM(D23:F23)</f>
        <v>0</v>
      </c>
      <c r="H23" s="16" t="s">
        <v>1067</v>
      </c>
    </row>
    <row r="24" customFormat="false" ht="15" hidden="false" customHeight="true" outlineLevel="0" collapsed="false">
      <c r="A24" s="6" t="n">
        <v>8</v>
      </c>
      <c r="B24" s="42" t="s">
        <v>1068</v>
      </c>
      <c r="C24" s="6" t="s">
        <v>11</v>
      </c>
      <c r="D24" s="25" t="n">
        <v>0</v>
      </c>
      <c r="E24" s="8"/>
      <c r="F24" s="8"/>
      <c r="G24" s="8" t="n">
        <f aca="false">SUM(D24:F24)</f>
        <v>0</v>
      </c>
      <c r="H24" s="16"/>
    </row>
    <row r="25" customFormat="false" ht="15" hidden="false" customHeight="true" outlineLevel="0" collapsed="false">
      <c r="A25" s="10"/>
      <c r="B25" s="44" t="s">
        <v>160</v>
      </c>
      <c r="C25" s="10"/>
      <c r="D25" s="46" t="n">
        <f aca="false">SUM(D17:D24)</f>
        <v>64.6</v>
      </c>
      <c r="E25" s="46" t="n">
        <f aca="false">SUM(E17:E24)</f>
        <v>0.0979809529999999</v>
      </c>
      <c r="F25" s="46" t="n">
        <f aca="false">SUM(F17:F24)</f>
        <v>0</v>
      </c>
      <c r="G25" s="46" t="n">
        <f aca="false">SUM(G17:G24)</f>
        <v>64.697980953</v>
      </c>
      <c r="H25" s="10"/>
    </row>
    <row r="27" customFormat="false" ht="15" hidden="false" customHeight="true" outlineLevel="0" collapsed="false">
      <c r="A27" s="50" t="s">
        <v>1069</v>
      </c>
    </row>
    <row r="28" customFormat="false" ht="36" hidden="false" customHeight="true" outlineLevel="0" collapsed="false">
      <c r="A28" s="31" t="s">
        <v>117</v>
      </c>
      <c r="B28" s="4" t="s">
        <v>1006</v>
      </c>
      <c r="C28" s="4" t="s">
        <v>123</v>
      </c>
      <c r="D28" s="4" t="s">
        <v>1070</v>
      </c>
      <c r="E28" s="4" t="s">
        <v>1071</v>
      </c>
      <c r="F28" s="4" t="s">
        <v>1072</v>
      </c>
      <c r="G28" s="4" t="s">
        <v>1073</v>
      </c>
      <c r="H28" s="4" t="s">
        <v>1074</v>
      </c>
      <c r="I28" s="4" t="s">
        <v>1075</v>
      </c>
      <c r="J28" s="4" t="s">
        <v>1076</v>
      </c>
    </row>
    <row r="29" customFormat="false" ht="15" hidden="false" customHeight="true" outlineLevel="0" collapsed="false">
      <c r="A29" s="6" t="n">
        <f aca="false">IF(기본물량산출!$H6="설치",1,"")</f>
        <v>1</v>
      </c>
      <c r="B29" s="16" t="str">
        <f aca="false">IF(기본물량산출!$H6="설치",기본물량산출!B6,"")</f>
        <v>UPPER HOOD 설치</v>
      </c>
      <c r="C29" s="6" t="str">
        <f aca="false">IF(기본물량산출!$H6="설치","설치","")</f>
        <v>설치</v>
      </c>
      <c r="D29" s="38" t="n">
        <f aca="false">IF(기본물량산출!$H6="설치",기본물량산출!E6/1000,"")</f>
        <v>38</v>
      </c>
      <c r="E29" s="35" t="n">
        <f aca="false">IF(기본물량산출!$H6="설치",기본물량산출!G6,"")</f>
        <v>38</v>
      </c>
      <c r="F29" s="39"/>
      <c r="G29" s="108" t="n">
        <f aca="false">IF(기본물량산출!$H6="설치",N(IFERROR(INDEX(부대기준!$P$5:$Q$10,MATCH(D29-0.000001,부대기준!$O$5:$O$10,1),IF($C$5="정부",1,2)),0)),"")</f>
        <v>0.5</v>
      </c>
      <c r="H29" s="108" t="n">
        <f aca="false">IF(기본물량산출!$H6="설치",IF(N(F29)&lt;=0,0,N(IFERROR(INDEX(부대기준!$T$5:$U$8,MATCH(F29-0.000001,부대기준!$S$5:$S$8,1),IF($C$5="정부",1,2)),0))),"")</f>
        <v>0</v>
      </c>
      <c r="I29" s="108" t="n">
        <f aca="false">IF(기본물량산출!$H6="설치",MAX(G29,H29),"")</f>
        <v>0.5</v>
      </c>
      <c r="J29" s="8" t="n">
        <f aca="false">IF(기본물량산출!$H6="설치",E29*I29,"")</f>
        <v>19</v>
      </c>
    </row>
    <row r="30" customFormat="false" ht="15" hidden="false" customHeight="true" outlineLevel="0" collapsed="false">
      <c r="A30" s="6" t="str">
        <f aca="false">IF(기본물량산출!$H7="설치",2,"")</f>
        <v/>
      </c>
      <c r="B30" s="16" t="str">
        <f aca="false">IF(기본물량산출!$H7="설치",기본물량산출!B7,"")</f>
        <v/>
      </c>
      <c r="C30" s="6" t="str">
        <f aca="false">IF(기본물량산출!$H7="설치","설치","")</f>
        <v/>
      </c>
      <c r="D30" s="38" t="str">
        <f aca="false">IF(기본물량산출!$H7="설치",기본물량산출!E7/1000,"")</f>
        <v/>
      </c>
      <c r="E30" s="35" t="str">
        <f aca="false">IF(기본물량산출!$H7="설치",기본물량산출!G7,"")</f>
        <v/>
      </c>
      <c r="F30" s="39"/>
      <c r="G30" s="108" t="str">
        <f aca="false">IF(기본물량산출!$H7="설치",N(IFERROR(INDEX(부대기준!$P$5:$Q$10,MATCH(D30-0.000001,부대기준!$O$5:$O$10,1),IF($C$5="정부",1,2)),0)),"")</f>
        <v/>
      </c>
      <c r="H30" s="108" t="str">
        <f aca="false">IF(기본물량산출!$H7="설치",IF(N(F30)&lt;=0,0,N(IFERROR(INDEX(부대기준!$T$5:$U$8,MATCH(F30-0.000001,부대기준!$S$5:$S$8,1),IF($C$5="정부",1,2)),0))),"")</f>
        <v/>
      </c>
      <c r="I30" s="108" t="str">
        <f aca="false">IF(기본물량산출!$H7="설치",MAX(G30,H30),"")</f>
        <v/>
      </c>
      <c r="J30" s="8" t="str">
        <f aca="false">IF(기본물량산출!$H7="설치",E30*I30,"")</f>
        <v/>
      </c>
    </row>
    <row r="31" customFormat="false" ht="15" hidden="false" customHeight="true" outlineLevel="0" collapsed="false">
      <c r="A31" s="6" t="str">
        <f aca="false">IF(기본물량산출!$H8="설치",3,"")</f>
        <v/>
      </c>
      <c r="B31" s="16" t="str">
        <f aca="false">IF(기본물량산출!$H8="설치",기본물량산출!B8,"")</f>
        <v/>
      </c>
      <c r="C31" s="6" t="str">
        <f aca="false">IF(기본물량산출!$H8="설치","설치","")</f>
        <v/>
      </c>
      <c r="D31" s="38" t="str">
        <f aca="false">IF(기본물량산출!$H8="설치",기본물량산출!E8/1000,"")</f>
        <v/>
      </c>
      <c r="E31" s="35" t="str">
        <f aca="false">IF(기본물량산출!$H8="설치",기본물량산출!G8,"")</f>
        <v/>
      </c>
      <c r="F31" s="39"/>
      <c r="G31" s="108" t="str">
        <f aca="false">IF(기본물량산출!$H8="설치",N(IFERROR(INDEX(부대기준!$P$5:$Q$10,MATCH(D31-0.000001,부대기준!$O$5:$O$10,1),IF($C$5="정부",1,2)),0)),"")</f>
        <v/>
      </c>
      <c r="H31" s="108" t="str">
        <f aca="false">IF(기본물량산출!$H8="설치",IF(N(F31)&lt;=0,0,N(IFERROR(INDEX(부대기준!$T$5:$U$8,MATCH(F31-0.000001,부대기준!$S$5:$S$8,1),IF($C$5="정부",1,2)),0))),"")</f>
        <v/>
      </c>
      <c r="I31" s="108" t="str">
        <f aca="false">IF(기본물량산출!$H8="설치",MAX(G31,H31),"")</f>
        <v/>
      </c>
      <c r="J31" s="8" t="str">
        <f aca="false">IF(기본물량산출!$H8="설치",E31*I31,"")</f>
        <v/>
      </c>
    </row>
    <row r="32" customFormat="false" ht="15" hidden="false" customHeight="true" outlineLevel="0" collapsed="false">
      <c r="A32" s="6" t="str">
        <f aca="false">IF(기본물량산출!$H9="설치",4,"")</f>
        <v/>
      </c>
      <c r="B32" s="16" t="str">
        <f aca="false">IF(기본물량산출!$H9="설치",기본물량산출!B9,"")</f>
        <v/>
      </c>
      <c r="C32" s="6" t="str">
        <f aca="false">IF(기본물량산출!$H9="설치","설치","")</f>
        <v/>
      </c>
      <c r="D32" s="38" t="str">
        <f aca="false">IF(기본물량산출!$H9="설치",기본물량산출!E9/1000,"")</f>
        <v/>
      </c>
      <c r="E32" s="35" t="str">
        <f aca="false">IF(기본물량산출!$H9="설치",기본물량산출!G9,"")</f>
        <v/>
      </c>
      <c r="F32" s="39"/>
      <c r="G32" s="108" t="str">
        <f aca="false">IF(기본물량산출!$H9="설치",N(IFERROR(INDEX(부대기준!$P$5:$Q$10,MATCH(D32-0.000001,부대기준!$O$5:$O$10,1),IF($C$5="정부",1,2)),0)),"")</f>
        <v/>
      </c>
      <c r="H32" s="108" t="str">
        <f aca="false">IF(기본물량산출!$H9="설치",IF(N(F32)&lt;=0,0,N(IFERROR(INDEX(부대기준!$T$5:$U$8,MATCH(F32-0.000001,부대기준!$S$5:$S$8,1),IF($C$5="정부",1,2)),0))),"")</f>
        <v/>
      </c>
      <c r="I32" s="108" t="str">
        <f aca="false">IF(기본물량산출!$H9="설치",MAX(G32,H32),"")</f>
        <v/>
      </c>
      <c r="J32" s="8" t="str">
        <f aca="false">IF(기본물량산출!$H9="설치",E32*I32,"")</f>
        <v/>
      </c>
    </row>
    <row r="33" customFormat="false" ht="15" hidden="false" customHeight="true" outlineLevel="0" collapsed="false">
      <c r="A33" s="6" t="str">
        <f aca="false">IF(기본물량산출!$H10="설치",5,"")</f>
        <v/>
      </c>
      <c r="B33" s="16" t="str">
        <f aca="false">IF(기본물량산출!$H10="설치",기본물량산출!B10,"")</f>
        <v/>
      </c>
      <c r="C33" s="6" t="str">
        <f aca="false">IF(기본물량산출!$H10="설치","설치","")</f>
        <v/>
      </c>
      <c r="D33" s="38" t="str">
        <f aca="false">IF(기본물량산출!$H10="설치",기본물량산출!E10/1000,"")</f>
        <v/>
      </c>
      <c r="E33" s="35" t="str">
        <f aca="false">IF(기본물량산출!$H10="설치",기본물량산출!G10,"")</f>
        <v/>
      </c>
      <c r="F33" s="39"/>
      <c r="G33" s="108" t="str">
        <f aca="false">IF(기본물량산출!$H10="설치",N(IFERROR(INDEX(부대기준!$P$5:$Q$10,MATCH(D33-0.000001,부대기준!$O$5:$O$10,1),IF($C$5="정부",1,2)),0)),"")</f>
        <v/>
      </c>
      <c r="H33" s="108" t="str">
        <f aca="false">IF(기본물량산출!$H10="설치",IF(N(F33)&lt;=0,0,N(IFERROR(INDEX(부대기준!$T$5:$U$8,MATCH(F33-0.000001,부대기준!$S$5:$S$8,1),IF($C$5="정부",1,2)),0))),"")</f>
        <v/>
      </c>
      <c r="I33" s="108" t="str">
        <f aca="false">IF(기본물량산출!$H10="설치",MAX(G33,H33),"")</f>
        <v/>
      </c>
      <c r="J33" s="8" t="str">
        <f aca="false">IF(기본물량산출!$H10="설치",E33*I33,"")</f>
        <v/>
      </c>
    </row>
    <row r="34" customFormat="false" ht="15" hidden="false" customHeight="true" outlineLevel="0" collapsed="false">
      <c r="A34" s="6" t="n">
        <f aca="false">IF(기본물량산출!$H11="설치",6,"")</f>
        <v>6</v>
      </c>
      <c r="B34" s="16" t="str">
        <f aca="false">IF(기본물량산출!$H11="설치",기본물량산출!B11,"")</f>
        <v>철골류(설치)</v>
      </c>
      <c r="C34" s="6" t="str">
        <f aca="false">IF(기본물량산출!$H11="설치","설치","")</f>
        <v>설치</v>
      </c>
      <c r="D34" s="38" t="n">
        <f aca="false">IF(기본물량산출!$H11="설치",기본물량산출!E11/1000,"")</f>
        <v>0.375</v>
      </c>
      <c r="E34" s="35" t="n">
        <f aca="false">IF(기본물량산출!$H11="설치",기본물량산출!G11,"")</f>
        <v>1.5</v>
      </c>
      <c r="F34" s="39"/>
      <c r="G34" s="108" t="n">
        <f aca="false">IF(기본물량산출!$H11="설치",N(IFERROR(INDEX(부대기준!$P$5:$Q$10,MATCH(D34-0.000001,부대기준!$O$5:$O$10,1),IF($C$5="정부",1,2)),0)),"")</f>
        <v>0</v>
      </c>
      <c r="H34" s="108" t="n">
        <f aca="false">IF(기본물량산출!$H11="설치",IF(N(F34)&lt;=0,0,N(IFERROR(INDEX(부대기준!$T$5:$U$8,MATCH(F34-0.000001,부대기준!$S$5:$S$8,1),IF($C$5="정부",1,2)),0))),"")</f>
        <v>0</v>
      </c>
      <c r="I34" s="108" t="n">
        <f aca="false">IF(기본물량산출!$H11="설치",MAX(G34,H34),"")</f>
        <v>0</v>
      </c>
      <c r="J34" s="8" t="n">
        <f aca="false">IF(기본물량산출!$H11="설치",E34*I34,"")</f>
        <v>0</v>
      </c>
    </row>
    <row r="35" customFormat="false" ht="15" hidden="false" customHeight="true" outlineLevel="0" collapsed="false">
      <c r="A35" s="6" t="str">
        <f aca="false">IF(기본물량산출!$H12="설치",7,"")</f>
        <v/>
      </c>
      <c r="B35" s="16" t="str">
        <f aca="false">IF(기본물량산출!$H12="설치",기본물량산출!B12,"")</f>
        <v/>
      </c>
      <c r="C35" s="6" t="str">
        <f aca="false">IF(기본물량산출!$H12="설치","설치","")</f>
        <v/>
      </c>
      <c r="D35" s="38" t="str">
        <f aca="false">IF(기본물량산출!$H12="설치",기본물량산출!E12/1000,"")</f>
        <v/>
      </c>
      <c r="E35" s="35" t="str">
        <f aca="false">IF(기본물량산출!$H12="설치",기본물량산출!G12,"")</f>
        <v/>
      </c>
      <c r="F35" s="39"/>
      <c r="G35" s="108" t="str">
        <f aca="false">IF(기본물량산출!$H12="설치",N(IFERROR(INDEX(부대기준!$P$5:$Q$10,MATCH(D35-0.000001,부대기준!$O$5:$O$10,1),IF($C$5="정부",1,2)),0)),"")</f>
        <v/>
      </c>
      <c r="H35" s="108" t="str">
        <f aca="false">IF(기본물량산출!$H12="설치",IF(N(F35)&lt;=0,0,N(IFERROR(INDEX(부대기준!$T$5:$U$8,MATCH(F35-0.000001,부대기준!$S$5:$S$8,1),IF($C$5="정부",1,2)),0))),"")</f>
        <v/>
      </c>
      <c r="I35" s="108" t="str">
        <f aca="false">IF(기본물량산출!$H12="설치",MAX(G35,H35),"")</f>
        <v/>
      </c>
      <c r="J35" s="8" t="str">
        <f aca="false">IF(기본물량산출!$H12="설치",E35*I35,"")</f>
        <v/>
      </c>
    </row>
    <row r="36" customFormat="false" ht="15" hidden="false" customHeight="true" outlineLevel="0" collapsed="false">
      <c r="A36" s="6" t="str">
        <f aca="false">IF(기본물량산출!$H13="설치",8,"")</f>
        <v/>
      </c>
      <c r="B36" s="16" t="str">
        <f aca="false">IF(기본물량산출!$H13="설치",기본물량산출!B13,"")</f>
        <v/>
      </c>
      <c r="C36" s="6" t="str">
        <f aca="false">IF(기본물량산출!$H13="설치","설치","")</f>
        <v/>
      </c>
      <c r="D36" s="38" t="str">
        <f aca="false">IF(기본물량산출!$H13="설치",기본물량산출!E13/1000,"")</f>
        <v/>
      </c>
      <c r="E36" s="35" t="str">
        <f aca="false">IF(기본물량산출!$H13="설치",기본물량산출!G13,"")</f>
        <v/>
      </c>
      <c r="F36" s="39"/>
      <c r="G36" s="108" t="str">
        <f aca="false">IF(기본물량산출!$H13="설치",N(IFERROR(INDEX(부대기준!$P$5:$Q$10,MATCH(D36-0.000001,부대기준!$O$5:$O$10,1),IF($C$5="정부",1,2)),0)),"")</f>
        <v/>
      </c>
      <c r="H36" s="108" t="str">
        <f aca="false">IF(기본물량산출!$H13="설치",IF(N(F36)&lt;=0,0,N(IFERROR(INDEX(부대기준!$T$5:$U$8,MATCH(F36-0.000001,부대기준!$S$5:$S$8,1),IF($C$5="정부",1,2)),0))),"")</f>
        <v/>
      </c>
      <c r="I36" s="108" t="str">
        <f aca="false">IF(기본물량산출!$H13="설치",MAX(G36,H36),"")</f>
        <v/>
      </c>
      <c r="J36" s="8" t="str">
        <f aca="false">IF(기본물량산출!$H13="설치",E36*I36,"")</f>
        <v/>
      </c>
    </row>
    <row r="37" customFormat="false" ht="15" hidden="false" customHeight="true" outlineLevel="0" collapsed="false">
      <c r="A37" s="10"/>
      <c r="B37" s="44" t="s">
        <v>160</v>
      </c>
      <c r="C37" s="10"/>
      <c r="D37" s="10"/>
      <c r="E37" s="46" t="n">
        <f aca="false">SUM(E29:E36)</f>
        <v>39.5</v>
      </c>
      <c r="F37" s="10"/>
      <c r="G37" s="10"/>
      <c r="H37" s="10"/>
      <c r="I37" s="10"/>
      <c r="J37" s="46" t="n">
        <f aca="false">SUM(J29:J36)</f>
        <v>19</v>
      </c>
    </row>
    <row r="39" customFormat="false" ht="15" hidden="false" customHeight="true" outlineLevel="0" collapsed="false">
      <c r="A39" s="3" t="s">
        <v>1077</v>
      </c>
    </row>
    <row r="40" customFormat="false" ht="15" hidden="false" customHeight="true" outlineLevel="0" collapsed="false">
      <c r="A40" s="29" t="s">
        <v>1078</v>
      </c>
    </row>
  </sheetData>
  <dataValidations count="2">
    <dataValidation allowBlank="true" errorStyle="stop" operator="between" showDropDown="false" showErrorMessage="false" showInputMessage="false" sqref="C4" type="list">
      <formula1>"2KM,4KM,6KM"</formula1>
      <formula2>0</formula2>
    </dataValidation>
    <dataValidation allowBlank="true" errorStyle="stop" operator="between" showDropDown="false" showErrorMessage="false" showInputMessage="false" sqref="C5" type="list">
      <formula1>"당사,정부"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0" min="9" style="1" width="34"/>
    <col collapsed="false" customWidth="true" hidden="false" outlineLevel="0" max="11" min="11" style="1" width="12"/>
    <col collapsed="false" customWidth="true" hidden="false" outlineLevel="0" max="12" min="12" style="1" width="36"/>
    <col collapsed="false" customWidth="true" hidden="false" outlineLevel="0" max="13" min="13" style="1" width="16"/>
    <col collapsed="false" customWidth="true" hidden="false" outlineLevel="0" max="18" min="14" style="1" width="12"/>
  </cols>
  <sheetData>
    <row r="1" customFormat="false" ht="21" hidden="false" customHeight="true" outlineLevel="0" collapsed="false">
      <c r="A1" s="71" t="s">
        <v>1079</v>
      </c>
    </row>
    <row r="2" customFormat="false" ht="15" hidden="false" customHeight="true" outlineLevel="0" collapsed="false">
      <c r="A2" s="3" t="s">
        <v>1080</v>
      </c>
    </row>
    <row r="3" customFormat="false" ht="15" hidden="false" customHeight="true" outlineLevel="0" collapsed="false">
      <c r="A3" s="3" t="s">
        <v>1081</v>
      </c>
    </row>
    <row r="5" customFormat="false" ht="15" hidden="false" customHeight="true" outlineLevel="0" collapsed="false">
      <c r="A5" s="50" t="s">
        <v>1082</v>
      </c>
      <c r="L5" s="50" t="s">
        <v>1083</v>
      </c>
    </row>
    <row r="6" customFormat="false" ht="39.75" hidden="false" customHeight="true" outlineLevel="0" collapsed="false">
      <c r="A6" s="31" t="s">
        <v>117</v>
      </c>
      <c r="B6" s="4" t="s">
        <v>1084</v>
      </c>
      <c r="C6" s="4" t="s">
        <v>1085</v>
      </c>
      <c r="D6" s="4" t="s">
        <v>5</v>
      </c>
      <c r="E6" s="4" t="s">
        <v>1086</v>
      </c>
      <c r="F6" s="31" t="s">
        <v>1087</v>
      </c>
      <c r="G6" s="4" t="s">
        <v>1088</v>
      </c>
      <c r="H6" s="4" t="s">
        <v>1089</v>
      </c>
      <c r="I6" s="4" t="s">
        <v>1090</v>
      </c>
      <c r="J6" s="4" t="s">
        <v>1091</v>
      </c>
      <c r="K6" s="4" t="s">
        <v>1092</v>
      </c>
      <c r="L6" s="7" t="s">
        <v>1093</v>
      </c>
      <c r="M6" s="37" t="n">
        <f aca="false">SUM(집계!$C$5:$C$9)</f>
        <v>6</v>
      </c>
    </row>
    <row r="7" customFormat="false" ht="29.25" hidden="false" customHeight="true" outlineLevel="0" collapsed="false">
      <c r="A7" s="6" t="n">
        <v>1</v>
      </c>
      <c r="B7" s="7" t="s">
        <v>1094</v>
      </c>
      <c r="C7" s="16"/>
      <c r="D7" s="6" t="str">
        <f aca="false">IF($M$16="조립식","M2","대")</f>
        <v>대</v>
      </c>
      <c r="E7" s="8"/>
      <c r="F7" s="109"/>
      <c r="G7" s="17" t="n">
        <f aca="false">IFERROR(N(IF($M$16="조립식",INDEX($N$22:$N$30,MATCH($M$13,$M$22:$M$30,1)),INDEX($P$22:$P$30,MATCH($M$13,$M$22:$M$30,1)))),0)</f>
        <v>3</v>
      </c>
      <c r="H7" s="8"/>
      <c r="I7" s="16" t="str">
        <f aca="false">$M$14&amp;", "&amp;$M$12&amp;"개월, 손율 "&amp;$M$15&amp;"%"</f>
        <v>1.5-3억, 1개월, 손율 14.7%</v>
      </c>
      <c r="J7" s="16" t="s">
        <v>1095</v>
      </c>
      <c r="K7" s="17" t="n">
        <f aca="false">G7*$M$17*$M$15/100</f>
        <v>2028600</v>
      </c>
      <c r="L7" s="7" t="s">
        <v>1096</v>
      </c>
      <c r="M7" s="40" t="n">
        <v>1.5</v>
      </c>
    </row>
    <row r="8" customFormat="false" ht="15" hidden="false" customHeight="true" outlineLevel="0" collapsed="false">
      <c r="A8" s="6" t="n">
        <v>2</v>
      </c>
      <c r="B8" s="7" t="s">
        <v>1097</v>
      </c>
      <c r="C8" s="16"/>
      <c r="D8" s="22" t="s">
        <v>79</v>
      </c>
      <c r="E8" s="8"/>
      <c r="F8" s="109"/>
      <c r="G8" s="17" t="n">
        <f aca="false">IFERROR(N(IF($M$16="조립식",INDEX($O$22:$O$30,MATCH($M$13,$M$22:$M$30,1)),INDEX($Q$22:$Q$30,MATCH($M$13,$M$22:$M$30,1)))),0)</f>
        <v>2</v>
      </c>
      <c r="H8" s="8"/>
      <c r="I8" s="16" t="str">
        <f aca="false">$M$14&amp;", "&amp;$M$12&amp;"개월, 손율 "&amp;$M$15&amp;"%"</f>
        <v>1.5-3억, 1개월, 손율 14.7%</v>
      </c>
      <c r="J8" s="16" t="s">
        <v>1098</v>
      </c>
      <c r="K8" s="17" t="n">
        <f aca="false">G8*$M$18*$M$15/100</f>
        <v>940800</v>
      </c>
      <c r="L8" s="7" t="s">
        <v>1099</v>
      </c>
      <c r="M8" s="36" t="n">
        <f aca="false">ROUNDUP(M6*M7,0)</f>
        <v>9</v>
      </c>
    </row>
    <row r="9" customFormat="false" ht="15" hidden="false" customHeight="true" outlineLevel="0" collapsed="false">
      <c r="A9" s="6" t="n">
        <v>3</v>
      </c>
      <c r="B9" s="7" t="s">
        <v>81</v>
      </c>
      <c r="C9" s="16"/>
      <c r="D9" s="22" t="s">
        <v>79</v>
      </c>
      <c r="E9" s="8"/>
      <c r="F9" s="109"/>
      <c r="G9" s="17" t="n">
        <f aca="false">IFERROR(N(INDEX($R$22:$R$30,MATCH($M$13,$M$22:$M$30,1))),0)</f>
        <v>1</v>
      </c>
      <c r="H9" s="8"/>
      <c r="I9" s="16" t="str">
        <f aca="false">$M$14&amp;", "&amp;$M$12&amp;"개월, 손율 "&amp;$M$15&amp;"%"</f>
        <v>1.5-3억, 1개월, 손율 14.7%</v>
      </c>
      <c r="J9" s="7" t="s">
        <v>1100</v>
      </c>
      <c r="K9" s="17" t="n">
        <f aca="false">G9*$M$19*$M$15/100</f>
        <v>1536150</v>
      </c>
      <c r="L9" s="7" t="s">
        <v>1101</v>
      </c>
      <c r="M9" s="110" t="n">
        <v>21.5</v>
      </c>
    </row>
    <row r="10" customFormat="false" ht="15" hidden="false" customHeight="true" outlineLevel="0" collapsed="false">
      <c r="A10" s="6" t="n">
        <v>4</v>
      </c>
      <c r="B10" s="7" t="s">
        <v>1102</v>
      </c>
      <c r="C10" s="7" t="s">
        <v>1103</v>
      </c>
      <c r="D10" s="6" t="s">
        <v>24</v>
      </c>
      <c r="E10" s="8"/>
      <c r="F10" s="109"/>
      <c r="G10" s="17" t="n">
        <f aca="false">ROUNDUP($F$64,0)</f>
        <v>173</v>
      </c>
      <c r="H10" s="8"/>
      <c r="I10" s="16" t="str">
        <f aca="false">"강관비계매기("&amp;$M$12&amp;"개월)"</f>
        <v>강관비계매기(1개월)</v>
      </c>
      <c r="J10" s="16" t="s">
        <v>1104</v>
      </c>
      <c r="K10" s="17"/>
      <c r="L10" s="7" t="s">
        <v>1105</v>
      </c>
      <c r="M10" s="36" t="n">
        <f aca="false">MAX(1,ROUNDUP(M8/M9,0))</f>
        <v>1</v>
      </c>
    </row>
    <row r="11" customFormat="false" ht="15" hidden="false" customHeight="true" outlineLevel="0" collapsed="false">
      <c r="A11" s="6" t="n">
        <v>5</v>
      </c>
      <c r="B11" s="16"/>
      <c r="C11" s="7" t="s">
        <v>1106</v>
      </c>
      <c r="D11" s="6" t="s">
        <v>85</v>
      </c>
      <c r="E11" s="8"/>
      <c r="F11" s="109"/>
      <c r="G11" s="17" t="n">
        <f aca="false">$I$64</f>
        <v>95</v>
      </c>
      <c r="H11" s="8"/>
      <c r="I11" s="16" t="str">
        <f aca="false">"안전발판 400x1829("&amp;$M$12&amp;"개월)"</f>
        <v>안전발판 400x1829(1개월)</v>
      </c>
      <c r="J11" s="16" t="s">
        <v>1104</v>
      </c>
      <c r="K11" s="17"/>
      <c r="L11" s="7" t="s">
        <v>1107</v>
      </c>
      <c r="M11" s="93"/>
    </row>
    <row r="12" customFormat="false" ht="15" hidden="false" customHeight="true" outlineLevel="0" collapsed="false">
      <c r="A12" s="6" t="n">
        <v>6</v>
      </c>
      <c r="B12" s="7" t="s">
        <v>86</v>
      </c>
      <c r="C12" s="16"/>
      <c r="D12" s="6" t="s">
        <v>85</v>
      </c>
      <c r="E12" s="8" t="n">
        <f aca="false">SUMIF(배관집계!$B$7:$B$32,"설치",배관집계!$O$7:$O$32)</f>
        <v>5.13410721</v>
      </c>
      <c r="F12" s="109" t="n">
        <v>5</v>
      </c>
      <c r="G12" s="17" t="n">
        <f aca="false">ROUND(E12/F12,0)</f>
        <v>1</v>
      </c>
      <c r="H12" s="8"/>
      <c r="I12" s="16" t="s">
        <v>1108</v>
      </c>
      <c r="J12" s="7" t="s">
        <v>1109</v>
      </c>
      <c r="K12" s="17"/>
      <c r="L12" s="7" t="s">
        <v>1110</v>
      </c>
      <c r="M12" s="36" t="n">
        <f aca="false">IF(M11&lt;&gt;"",M11,M10)</f>
        <v>1</v>
      </c>
    </row>
    <row r="13" customFormat="false" ht="15" hidden="false" customHeight="true" outlineLevel="0" collapsed="false">
      <c r="A13" s="6" t="n">
        <v>7</v>
      </c>
      <c r="B13" s="16" t="str">
        <f aca="false">"PIPE 적치대 손료("&amp;IF($M$12&lt;3,"3개월미만",$M$12&amp;"개월")&amp;")"</f>
        <v>PIPE 적치대 손료(3개월미만)</v>
      </c>
      <c r="C13" s="16"/>
      <c r="D13" s="6" t="s">
        <v>89</v>
      </c>
      <c r="E13" s="8" t="n">
        <f aca="false">SUMIFS(배관집계!$O$7:$O$32,배관집계!$B$7:$B$32,"설치",배관집계!$G$7:$G$32,"&lt;100")</f>
        <v>0.38539999</v>
      </c>
      <c r="F13" s="109" t="n">
        <v>10</v>
      </c>
      <c r="G13" s="17" t="n">
        <f aca="false">IF(E13&gt;0,ROUNDUP(E13/F13,0),0)</f>
        <v>1</v>
      </c>
      <c r="H13" s="8"/>
      <c r="I13" s="16" t="s">
        <v>1111</v>
      </c>
      <c r="J13" s="16" t="s">
        <v>1112</v>
      </c>
      <c r="K13" s="17"/>
      <c r="L13" s="7" t="s">
        <v>1113</v>
      </c>
      <c r="M13" s="33" t="n">
        <v>200000000</v>
      </c>
    </row>
    <row r="14" customFormat="false" ht="15" hidden="false" customHeight="true" outlineLevel="0" collapsed="false">
      <c r="A14" s="6" t="n">
        <v>8</v>
      </c>
      <c r="B14" s="16" t="str">
        <f aca="false">"제작용정반 손료("&amp;IF($M$12&lt;3,"3개월미만",$M$12&amp;"개월")&amp;")"</f>
        <v>제작용정반 손료(3개월미만)</v>
      </c>
      <c r="C14" s="16"/>
      <c r="D14" s="6" t="s">
        <v>89</v>
      </c>
      <c r="E14" s="8" t="n">
        <f aca="false">SUMPRODUCT((제작물량산출!$G$6:$L$6="현장")*제작물량산출!$G$10:$L$10)/1000</f>
        <v>0</v>
      </c>
      <c r="F14" s="109" t="n">
        <v>30</v>
      </c>
      <c r="G14" s="17" t="n">
        <f aca="false">IF(E14&gt;0,ROUNDUP(E14/F14,0),0)</f>
        <v>0</v>
      </c>
      <c r="H14" s="8"/>
      <c r="I14" s="16" t="s">
        <v>1114</v>
      </c>
      <c r="J14" s="7" t="s">
        <v>1115</v>
      </c>
      <c r="K14" s="17"/>
      <c r="L14" s="7" t="s">
        <v>1116</v>
      </c>
      <c r="M14" s="6" t="str">
        <f aca="false">INDEX($L$22:$L$30,MATCH(M13,$M$22:$M$30,1))</f>
        <v>1.5-3억</v>
      </c>
    </row>
    <row r="15" customFormat="false" ht="29.25" hidden="false" customHeight="true" outlineLevel="0" collapsed="false">
      <c r="A15" s="6" t="n">
        <v>9</v>
      </c>
      <c r="B15" s="16" t="str">
        <f aca="false">"SCRAP BOX 손료("&amp;IF($M$12&lt;3,"3개월미만",$M$12&amp;"개월")&amp;")"</f>
        <v>SCRAP BOX 손료(3개월미만)</v>
      </c>
      <c r="C15" s="16"/>
      <c r="D15" s="6" t="s">
        <v>89</v>
      </c>
      <c r="E15" s="25" t="n">
        <v>0</v>
      </c>
      <c r="F15" s="109" t="n">
        <v>30</v>
      </c>
      <c r="G15" s="17" t="n">
        <f aca="false">MAX(1,ROUNDUP(N(E15)/F15,0))</f>
        <v>1</v>
      </c>
      <c r="H15" s="8"/>
      <c r="I15" s="16" t="s">
        <v>1117</v>
      </c>
      <c r="J15" s="16" t="s">
        <v>1118</v>
      </c>
      <c r="K15" s="17"/>
      <c r="L15" s="7" t="s">
        <v>1119</v>
      </c>
      <c r="M15" s="85" t="n">
        <f aca="false">INDEX($M$34:$M$59,MATCH(M12,$L$34:$L$59,1))</f>
        <v>14.7</v>
      </c>
    </row>
    <row r="16" customFormat="false" ht="15" hidden="false" customHeight="true" outlineLevel="0" collapsed="false">
      <c r="A16" s="6" t="n">
        <v>10</v>
      </c>
      <c r="B16" s="16" t="str">
        <f aca="false">"PIPE 제작용 JIG 손료("&amp;IF($M$12&lt;3,"3개월미만",$M$12&amp;"개월")&amp;")"</f>
        <v>PIPE 제작용 JIG 손료(3개월미만)</v>
      </c>
      <c r="C16" s="16"/>
      <c r="D16" s="6" t="s">
        <v>89</v>
      </c>
      <c r="E16" s="8" t="n">
        <f aca="false">SUMIF(배관집계!$B$7:$B$32,"설치",배관집계!$O$7:$O$32)</f>
        <v>5.13410721</v>
      </c>
      <c r="F16" s="109" t="n">
        <v>10</v>
      </c>
      <c r="G16" s="17" t="n">
        <f aca="false">IF(E16&gt;0,ROUNDUP(E16/F16,0),0)</f>
        <v>1</v>
      </c>
      <c r="H16" s="8"/>
      <c r="I16" s="16" t="s">
        <v>1120</v>
      </c>
      <c r="J16" s="7" t="s">
        <v>1121</v>
      </c>
      <c r="K16" s="17"/>
      <c r="L16" s="7" t="s">
        <v>1122</v>
      </c>
      <c r="M16" s="6" t="str">
        <f aca="false">IF(AND(M13&gt;=50000000000,M12&gt;=12),"조립식","컨테이너형")</f>
        <v>컨테이너형</v>
      </c>
    </row>
    <row r="17" customFormat="false" ht="15" hidden="false" customHeight="true" outlineLevel="0" collapsed="false">
      <c r="A17" s="6" t="n">
        <v>11</v>
      </c>
      <c r="B17" s="7" t="s">
        <v>93</v>
      </c>
      <c r="C17" s="16"/>
      <c r="D17" s="6" t="s">
        <v>38</v>
      </c>
      <c r="E17" s="8"/>
      <c r="F17" s="109"/>
      <c r="G17" s="17"/>
      <c r="H17" s="8" t="n">
        <f aca="false">부대운반SCRAP!$C$12</f>
        <v>97.9809529999999</v>
      </c>
      <c r="I17" s="16"/>
      <c r="J17" s="16" t="s">
        <v>1123</v>
      </c>
      <c r="K17" s="17"/>
      <c r="L17" s="7" t="s">
        <v>1124</v>
      </c>
      <c r="M17" s="33" t="n">
        <v>4600000</v>
      </c>
    </row>
    <row r="18" customFormat="false" ht="15" hidden="false" customHeight="true" outlineLevel="0" collapsed="false">
      <c r="A18" s="6" t="n">
        <v>12</v>
      </c>
      <c r="B18" s="16" t="s">
        <v>94</v>
      </c>
      <c r="C18" s="16"/>
      <c r="D18" s="6" t="s">
        <v>11</v>
      </c>
      <c r="E18" s="8"/>
      <c r="F18" s="109"/>
      <c r="G18" s="17"/>
      <c r="H18" s="8" t="n">
        <f aca="false">부대운반SCRAP!$C$13</f>
        <v>0.0979809529999999</v>
      </c>
      <c r="I18" s="16"/>
      <c r="J18" s="16"/>
      <c r="K18" s="17"/>
      <c r="L18" s="7" t="s">
        <v>1125</v>
      </c>
      <c r="M18" s="33" t="n">
        <v>3200000</v>
      </c>
    </row>
    <row r="19" customFormat="false" ht="15" hidden="false" customHeight="true" outlineLevel="0" collapsed="false">
      <c r="A19" s="6" t="n">
        <v>13</v>
      </c>
      <c r="B19" s="7" t="s">
        <v>95</v>
      </c>
      <c r="C19" s="16"/>
      <c r="D19" s="6" t="s">
        <v>11</v>
      </c>
      <c r="E19" s="8"/>
      <c r="F19" s="109"/>
      <c r="G19" s="17"/>
      <c r="H19" s="8" t="n">
        <f aca="false">$C$27</f>
        <v>44.63410721</v>
      </c>
      <c r="I19" s="16" t="s">
        <v>1126</v>
      </c>
      <c r="J19" s="16" t="s">
        <v>1127</v>
      </c>
      <c r="K19" s="17"/>
      <c r="L19" s="7" t="s">
        <v>1128</v>
      </c>
      <c r="M19" s="33" t="n">
        <v>10450000</v>
      </c>
    </row>
    <row r="20" customFormat="false" ht="15" hidden="false" customHeight="true" outlineLevel="0" collapsed="false">
      <c r="L20" s="50" t="s">
        <v>1129</v>
      </c>
    </row>
    <row r="21" customFormat="false" ht="33.75" hidden="false" customHeight="true" outlineLevel="0" collapsed="false">
      <c r="A21" s="3" t="s">
        <v>1130</v>
      </c>
      <c r="L21" s="4" t="s">
        <v>1131</v>
      </c>
      <c r="M21" s="4" t="s">
        <v>1132</v>
      </c>
      <c r="N21" s="4" t="s">
        <v>1133</v>
      </c>
      <c r="O21" s="4" t="s">
        <v>1134</v>
      </c>
      <c r="P21" s="4" t="s">
        <v>1135</v>
      </c>
      <c r="Q21" s="4" t="s">
        <v>1136</v>
      </c>
      <c r="R21" s="4" t="s">
        <v>1137</v>
      </c>
    </row>
    <row r="22" customFormat="false" ht="15" hidden="false" customHeight="true" outlineLevel="0" collapsed="false">
      <c r="L22" s="19" t="s">
        <v>1138</v>
      </c>
      <c r="M22" s="33" t="n">
        <v>0</v>
      </c>
      <c r="N22" s="19" t="n">
        <v>50</v>
      </c>
      <c r="O22" s="19" t="n">
        <v>40</v>
      </c>
      <c r="P22" s="19" t="n">
        <v>3</v>
      </c>
      <c r="Q22" s="19" t="n">
        <v>2</v>
      </c>
      <c r="R22" s="19" t="n">
        <v>1</v>
      </c>
    </row>
    <row r="23" customFormat="false" ht="15" hidden="false" customHeight="true" outlineLevel="0" collapsed="false">
      <c r="A23" s="50" t="s">
        <v>1139</v>
      </c>
      <c r="L23" s="19" t="s">
        <v>1140</v>
      </c>
      <c r="M23" s="33" t="n">
        <v>150000000</v>
      </c>
      <c r="N23" s="19" t="n">
        <v>75</v>
      </c>
      <c r="O23" s="19" t="n">
        <v>50</v>
      </c>
      <c r="P23" s="19" t="n">
        <v>3</v>
      </c>
      <c r="Q23" s="19" t="n">
        <v>2</v>
      </c>
      <c r="R23" s="19" t="n">
        <v>1</v>
      </c>
    </row>
    <row r="24" customFormat="false" ht="15" hidden="false" customHeight="true" outlineLevel="0" collapsed="false">
      <c r="B24" s="7" t="s">
        <v>10</v>
      </c>
      <c r="C24" s="35" t="n">
        <f aca="false">SUMIFS(기본물량산출!$G$6:$G$13,기본물량산출!$H$6:$H$13,"설치",기본물량산출!$J$6:$J$13,"강재류")</f>
        <v>39.5</v>
      </c>
      <c r="D24" s="6" t="s">
        <v>11</v>
      </c>
      <c r="L24" s="19" t="s">
        <v>1141</v>
      </c>
      <c r="M24" s="33" t="n">
        <v>300000000</v>
      </c>
      <c r="N24" s="19" t="n">
        <v>100</v>
      </c>
      <c r="O24" s="19" t="n">
        <v>60</v>
      </c>
      <c r="P24" s="19" t="n">
        <v>5</v>
      </c>
      <c r="Q24" s="19" t="n">
        <v>3</v>
      </c>
      <c r="R24" s="19" t="n">
        <v>2</v>
      </c>
    </row>
    <row r="25" customFormat="false" ht="15" hidden="false" customHeight="true" outlineLevel="0" collapsed="false">
      <c r="B25" s="7" t="s">
        <v>13</v>
      </c>
      <c r="C25" s="35" t="n">
        <f aca="false">SUMIFS(기본물량산출!$G$6:$G$13,기본물량산출!$H$6:$H$13,"설치",기본물량산출!$J$6:$J$13,"강재 STAND")</f>
        <v>0</v>
      </c>
      <c r="D25" s="6" t="s">
        <v>11</v>
      </c>
      <c r="L25" s="19" t="s">
        <v>1142</v>
      </c>
      <c r="M25" s="33" t="n">
        <v>900000000</v>
      </c>
      <c r="N25" s="19" t="n">
        <v>130</v>
      </c>
      <c r="O25" s="19" t="n">
        <v>80</v>
      </c>
      <c r="P25" s="19" t="n">
        <v>5</v>
      </c>
      <c r="Q25" s="19" t="n">
        <v>3</v>
      </c>
      <c r="R25" s="19" t="n">
        <v>2</v>
      </c>
    </row>
    <row r="26" customFormat="false" ht="15" hidden="false" customHeight="true" outlineLevel="0" collapsed="false">
      <c r="B26" s="7" t="s">
        <v>14</v>
      </c>
      <c r="C26" s="35" t="n">
        <f aca="false">SUMIF(배관집계!$B$7:$B$32,"설치",배관집계!$O$7:$O$32)</f>
        <v>5.13410721</v>
      </c>
      <c r="D26" s="6" t="s">
        <v>11</v>
      </c>
      <c r="L26" s="19" t="s">
        <v>1143</v>
      </c>
      <c r="M26" s="33" t="n">
        <v>3000000000</v>
      </c>
      <c r="N26" s="19" t="n">
        <v>200</v>
      </c>
      <c r="O26" s="19" t="n">
        <v>100</v>
      </c>
      <c r="P26" s="19" t="n">
        <v>6</v>
      </c>
      <c r="Q26" s="19" t="n">
        <v>4</v>
      </c>
      <c r="R26" s="19" t="n">
        <v>2</v>
      </c>
    </row>
    <row r="27" customFormat="false" ht="15" hidden="false" customHeight="true" outlineLevel="0" collapsed="false">
      <c r="B27" s="5" t="s">
        <v>221</v>
      </c>
      <c r="C27" s="46" t="n">
        <f aca="false">SUM(C24:C26)</f>
        <v>44.63410721</v>
      </c>
      <c r="D27" s="10" t="s">
        <v>11</v>
      </c>
      <c r="L27" s="19" t="s">
        <v>1144</v>
      </c>
      <c r="M27" s="33" t="n">
        <v>9000000000</v>
      </c>
      <c r="N27" s="19" t="n">
        <v>300</v>
      </c>
      <c r="O27" s="19" t="n">
        <v>120</v>
      </c>
      <c r="P27" s="19" t="n">
        <v>9</v>
      </c>
      <c r="Q27" s="19" t="n">
        <v>5</v>
      </c>
      <c r="R27" s="19" t="n">
        <v>3</v>
      </c>
    </row>
    <row r="28" customFormat="false" ht="15" hidden="false" customHeight="true" outlineLevel="0" collapsed="false">
      <c r="B28" s="7" t="s">
        <v>1145</v>
      </c>
      <c r="C28" s="57" t="n">
        <f aca="false">$C$27*0.02</f>
        <v>0.8926821442</v>
      </c>
      <c r="D28" s="6" t="s">
        <v>99</v>
      </c>
      <c r="L28" s="19" t="s">
        <v>1146</v>
      </c>
      <c r="M28" s="33" t="n">
        <v>15000000000</v>
      </c>
      <c r="N28" s="19" t="n">
        <v>440</v>
      </c>
      <c r="O28" s="19" t="n">
        <v>130</v>
      </c>
      <c r="P28" s="19" t="n">
        <v>13</v>
      </c>
      <c r="Q28" s="19" t="n">
        <v>5</v>
      </c>
      <c r="R28" s="19" t="n">
        <v>4</v>
      </c>
    </row>
    <row r="29" customFormat="false" ht="15" hidden="false" customHeight="true" outlineLevel="0" collapsed="false">
      <c r="B29" s="7" t="s">
        <v>1147</v>
      </c>
      <c r="C29" s="57" t="n">
        <f aca="false">$C$27*0.84</f>
        <v>37.4926500564</v>
      </c>
      <c r="D29" s="22" t="s">
        <v>1148</v>
      </c>
      <c r="L29" s="19" t="s">
        <v>1149</v>
      </c>
      <c r="M29" s="33" t="n">
        <v>30000000000</v>
      </c>
      <c r="N29" s="19" t="n">
        <v>490</v>
      </c>
      <c r="O29" s="19" t="n">
        <v>135</v>
      </c>
      <c r="P29" s="19" t="n">
        <v>15</v>
      </c>
      <c r="Q29" s="19" t="n">
        <v>5</v>
      </c>
      <c r="R29" s="19" t="n">
        <v>4</v>
      </c>
    </row>
    <row r="30" customFormat="false" ht="15" hidden="false" customHeight="true" outlineLevel="0" collapsed="false">
      <c r="B30" s="7" t="s">
        <v>1150</v>
      </c>
      <c r="C30" s="57" t="n">
        <f aca="false">$C$27*19.5</f>
        <v>870.365090595</v>
      </c>
      <c r="D30" s="6" t="s">
        <v>38</v>
      </c>
      <c r="L30" s="19" t="s">
        <v>1151</v>
      </c>
      <c r="M30" s="33" t="n">
        <v>50000000000</v>
      </c>
      <c r="N30" s="19" t="n">
        <v>520</v>
      </c>
      <c r="O30" s="19" t="n">
        <v>140</v>
      </c>
      <c r="P30" s="19" t="s">
        <v>9</v>
      </c>
      <c r="Q30" s="19" t="s">
        <v>9</v>
      </c>
      <c r="R30" s="19" t="s">
        <v>9</v>
      </c>
    </row>
    <row r="31" customFormat="false" ht="15" hidden="false" customHeight="true" outlineLevel="0" collapsed="false">
      <c r="A31" s="3" t="s">
        <v>1152</v>
      </c>
      <c r="L31" s="29" t="s">
        <v>1153</v>
      </c>
    </row>
    <row r="32" customFormat="false" ht="15" hidden="false" customHeight="true" outlineLevel="0" collapsed="false">
      <c r="L32" s="50" t="s">
        <v>1154</v>
      </c>
    </row>
    <row r="33" customFormat="false" ht="21.75" hidden="false" customHeight="true" outlineLevel="0" collapsed="false">
      <c r="L33" s="4" t="s">
        <v>1155</v>
      </c>
      <c r="M33" s="4" t="s">
        <v>1156</v>
      </c>
    </row>
    <row r="34" customFormat="false" ht="15" hidden="false" customHeight="true" outlineLevel="0" collapsed="false">
      <c r="A34" s="50" t="s">
        <v>1157</v>
      </c>
      <c r="L34" s="19" t="n">
        <v>1</v>
      </c>
      <c r="M34" s="110" t="n">
        <v>14.7</v>
      </c>
    </row>
    <row r="35" customFormat="false" ht="15" hidden="false" customHeight="true" outlineLevel="0" collapsed="false">
      <c r="L35" s="19" t="n">
        <v>2</v>
      </c>
      <c r="M35" s="110" t="n">
        <v>16.3</v>
      </c>
    </row>
    <row r="36" customFormat="false" ht="15" hidden="false" customHeight="true" outlineLevel="0" collapsed="false">
      <c r="B36" s="7" t="s">
        <v>1158</v>
      </c>
      <c r="C36" s="111" t="n">
        <v>0.1829</v>
      </c>
      <c r="D36" s="3" t="s">
        <v>1159</v>
      </c>
      <c r="L36" s="19" t="n">
        <v>3</v>
      </c>
      <c r="M36" s="110" t="n">
        <v>18</v>
      </c>
    </row>
    <row r="37" customFormat="false" ht="15" hidden="false" customHeight="true" outlineLevel="0" collapsed="false">
      <c r="L37" s="19" t="n">
        <v>4</v>
      </c>
      <c r="M37" s="110" t="n">
        <v>19.7</v>
      </c>
    </row>
    <row r="38" customFormat="false" ht="33.75" hidden="false" customHeight="true" outlineLevel="0" collapsed="false">
      <c r="A38" s="31" t="s">
        <v>117</v>
      </c>
      <c r="B38" s="31" t="s">
        <v>1160</v>
      </c>
      <c r="C38" s="31" t="s">
        <v>1161</v>
      </c>
      <c r="D38" s="31" t="s">
        <v>1162</v>
      </c>
      <c r="E38" s="4" t="s">
        <v>1163</v>
      </c>
      <c r="F38" s="4" t="s">
        <v>1164</v>
      </c>
      <c r="G38" s="4" t="s">
        <v>1165</v>
      </c>
      <c r="H38" s="4" t="s">
        <v>1166</v>
      </c>
      <c r="I38" s="4" t="s">
        <v>1167</v>
      </c>
      <c r="J38" s="4" t="s">
        <v>233</v>
      </c>
      <c r="L38" s="19" t="n">
        <v>5</v>
      </c>
      <c r="M38" s="110" t="n">
        <v>21.4</v>
      </c>
    </row>
    <row r="39" customFormat="false" ht="26.25" hidden="false" customHeight="true" outlineLevel="0" collapsed="false">
      <c r="A39" s="6" t="n">
        <v>1</v>
      </c>
      <c r="B39" s="16" t="s">
        <v>1168</v>
      </c>
      <c r="C39" s="110" t="n">
        <v>14.1</v>
      </c>
      <c r="D39" s="110" t="n">
        <v>12.2</v>
      </c>
      <c r="E39" s="19" t="n">
        <v>1</v>
      </c>
      <c r="F39" s="15" t="n">
        <f aca="false">IF(AND(N(C39)&gt;0,N(D39)&gt;0),C39*D39*IF(N(E39)=0,1,E39),0)</f>
        <v>172.02</v>
      </c>
      <c r="G39" s="19" t="n">
        <v>3</v>
      </c>
      <c r="H39" s="19" t="n">
        <v>400</v>
      </c>
      <c r="I39" s="17" t="n">
        <f aca="false">IF(F39&gt;0,ROUNDUP(F39*N(G39)*$C$36,0),0)</f>
        <v>95</v>
      </c>
      <c r="J39" s="32" t="s">
        <v>1169</v>
      </c>
      <c r="L39" s="19" t="n">
        <v>6</v>
      </c>
      <c r="M39" s="110" t="n">
        <v>23</v>
      </c>
    </row>
    <row r="40" customFormat="false" ht="15" hidden="false" customHeight="true" outlineLevel="0" collapsed="false">
      <c r="A40" s="6" t="n">
        <v>2</v>
      </c>
      <c r="B40" s="16" t="s">
        <v>1170</v>
      </c>
      <c r="C40" s="39"/>
      <c r="D40" s="39"/>
      <c r="E40" s="21"/>
      <c r="F40" s="15" t="n">
        <f aca="false">IF(AND(N(C40)&gt;0,N(D40)&gt;0),C40*D40*IF(N(E40)=0,1,E40),0)</f>
        <v>0</v>
      </c>
      <c r="G40" s="21"/>
      <c r="H40" s="21"/>
      <c r="I40" s="17" t="n">
        <f aca="false">IF(F40&gt;0,ROUNDUP(F40*N(G40)*$C$36,0),0)</f>
        <v>0</v>
      </c>
      <c r="J40" s="59"/>
      <c r="L40" s="19" t="n">
        <v>7</v>
      </c>
      <c r="M40" s="110" t="n">
        <v>24.9</v>
      </c>
    </row>
    <row r="41" customFormat="false" ht="15" hidden="false" customHeight="true" outlineLevel="0" collapsed="false">
      <c r="A41" s="6" t="n">
        <v>3</v>
      </c>
      <c r="B41" s="16" t="s">
        <v>1171</v>
      </c>
      <c r="C41" s="39"/>
      <c r="D41" s="39"/>
      <c r="E41" s="21"/>
      <c r="F41" s="15" t="n">
        <f aca="false">IF(AND(N(C41)&gt;0,N(D41)&gt;0),C41*D41*IF(N(E41)=0,1,E41),0)</f>
        <v>0</v>
      </c>
      <c r="G41" s="21"/>
      <c r="H41" s="21"/>
      <c r="I41" s="17" t="n">
        <f aca="false">IF(F41&gt;0,ROUNDUP(F41*N(G41)*$C$36,0),0)</f>
        <v>0</v>
      </c>
      <c r="J41" s="59"/>
      <c r="L41" s="19" t="n">
        <v>8</v>
      </c>
      <c r="M41" s="110" t="n">
        <v>26.7</v>
      </c>
    </row>
    <row r="42" customFormat="false" ht="15" hidden="false" customHeight="true" outlineLevel="0" collapsed="false">
      <c r="A42" s="6" t="n">
        <v>4</v>
      </c>
      <c r="B42" s="16" t="s">
        <v>1172</v>
      </c>
      <c r="C42" s="39"/>
      <c r="D42" s="39"/>
      <c r="E42" s="21"/>
      <c r="F42" s="15" t="n">
        <f aca="false">IF(AND(N(C42)&gt;0,N(D42)&gt;0),C42*D42*IF(N(E42)=0,1,E42),0)</f>
        <v>0</v>
      </c>
      <c r="G42" s="21"/>
      <c r="H42" s="21"/>
      <c r="I42" s="17" t="n">
        <f aca="false">IF(F42&gt;0,ROUNDUP(F42*N(G42)*$C$36,0),0)</f>
        <v>0</v>
      </c>
      <c r="J42" s="59"/>
      <c r="L42" s="19" t="n">
        <v>9</v>
      </c>
      <c r="M42" s="110" t="n">
        <v>28.5</v>
      </c>
    </row>
    <row r="43" customFormat="false" ht="15" hidden="false" customHeight="true" outlineLevel="0" collapsed="false">
      <c r="A43" s="6" t="n">
        <v>5</v>
      </c>
      <c r="B43" s="16" t="s">
        <v>1173</v>
      </c>
      <c r="C43" s="39"/>
      <c r="D43" s="39"/>
      <c r="E43" s="21"/>
      <c r="F43" s="15" t="n">
        <f aca="false">IF(AND(N(C43)&gt;0,N(D43)&gt;0),C43*D43*IF(N(E43)=0,1,E43),0)</f>
        <v>0</v>
      </c>
      <c r="G43" s="21"/>
      <c r="H43" s="21"/>
      <c r="I43" s="17" t="n">
        <f aca="false">IF(F43&gt;0,ROUNDUP(F43*N(G43)*$C$36,0),0)</f>
        <v>0</v>
      </c>
      <c r="J43" s="59"/>
      <c r="L43" s="19" t="n">
        <v>10</v>
      </c>
      <c r="M43" s="110" t="n">
        <v>30.4</v>
      </c>
    </row>
    <row r="44" customFormat="false" ht="15" hidden="false" customHeight="true" outlineLevel="0" collapsed="false">
      <c r="A44" s="6" t="n">
        <v>6</v>
      </c>
      <c r="B44" s="16" t="s">
        <v>1174</v>
      </c>
      <c r="C44" s="39"/>
      <c r="D44" s="39"/>
      <c r="E44" s="21"/>
      <c r="F44" s="15" t="n">
        <f aca="false">IF(AND(N(C44)&gt;0,N(D44)&gt;0),C44*D44*IF(N(E44)=0,1,E44),0)</f>
        <v>0</v>
      </c>
      <c r="G44" s="21"/>
      <c r="H44" s="21"/>
      <c r="I44" s="17" t="n">
        <f aca="false">IF(F44&gt;0,ROUNDUP(F44*N(G44)*$C$36,0),0)</f>
        <v>0</v>
      </c>
      <c r="J44" s="59"/>
      <c r="L44" s="19" t="n">
        <v>11</v>
      </c>
      <c r="M44" s="110" t="n">
        <v>32.2</v>
      </c>
    </row>
    <row r="45" customFormat="false" ht="15" hidden="false" customHeight="true" outlineLevel="0" collapsed="false">
      <c r="A45" s="6" t="n">
        <v>7</v>
      </c>
      <c r="B45" s="16" t="s">
        <v>1175</v>
      </c>
      <c r="C45" s="39"/>
      <c r="D45" s="39"/>
      <c r="E45" s="21"/>
      <c r="F45" s="15" t="n">
        <f aca="false">IF(AND(N(C45)&gt;0,N(D45)&gt;0),C45*D45*IF(N(E45)=0,1,E45),0)</f>
        <v>0</v>
      </c>
      <c r="G45" s="21"/>
      <c r="H45" s="21"/>
      <c r="I45" s="17" t="n">
        <f aca="false">IF(F45&gt;0,ROUNDUP(F45*N(G45)*$C$36,0),0)</f>
        <v>0</v>
      </c>
      <c r="J45" s="59"/>
      <c r="L45" s="19" t="n">
        <v>12</v>
      </c>
      <c r="M45" s="110" t="n">
        <v>34</v>
      </c>
    </row>
    <row r="46" customFormat="false" ht="15" hidden="false" customHeight="true" outlineLevel="0" collapsed="false">
      <c r="A46" s="6" t="n">
        <v>8</v>
      </c>
      <c r="B46" s="16" t="s">
        <v>1176</v>
      </c>
      <c r="C46" s="39"/>
      <c r="D46" s="39"/>
      <c r="E46" s="21"/>
      <c r="F46" s="15" t="n">
        <f aca="false">IF(AND(N(C46)&gt;0,N(D46)&gt;0),C46*D46*IF(N(E46)=0,1,E46),0)</f>
        <v>0</v>
      </c>
      <c r="G46" s="21"/>
      <c r="H46" s="21"/>
      <c r="I46" s="17" t="n">
        <f aca="false">IF(F46&gt;0,ROUNDUP(F46*N(G46)*$C$36,0),0)</f>
        <v>0</v>
      </c>
      <c r="J46" s="59"/>
      <c r="L46" s="19" t="n">
        <v>13</v>
      </c>
      <c r="M46" s="110" t="n">
        <v>35.9</v>
      </c>
    </row>
    <row r="47" customFormat="false" ht="15" hidden="false" customHeight="true" outlineLevel="0" collapsed="false">
      <c r="A47" s="6" t="n">
        <v>9</v>
      </c>
      <c r="B47" s="16" t="s">
        <v>1177</v>
      </c>
      <c r="C47" s="39"/>
      <c r="D47" s="39"/>
      <c r="E47" s="21"/>
      <c r="F47" s="15" t="n">
        <f aca="false">IF(AND(N(C47)&gt;0,N(D47)&gt;0),C47*D47*IF(N(E47)=0,1,E47),0)</f>
        <v>0</v>
      </c>
      <c r="G47" s="21"/>
      <c r="H47" s="21"/>
      <c r="I47" s="17" t="n">
        <f aca="false">IF(F47&gt;0,ROUNDUP(F47*N(G47)*$C$36,0),0)</f>
        <v>0</v>
      </c>
      <c r="J47" s="59"/>
      <c r="L47" s="19" t="n">
        <v>14</v>
      </c>
      <c r="M47" s="110" t="n">
        <v>37.7</v>
      </c>
    </row>
    <row r="48" customFormat="false" ht="15" hidden="false" customHeight="true" outlineLevel="0" collapsed="false">
      <c r="A48" s="6" t="n">
        <v>10</v>
      </c>
      <c r="B48" s="16" t="s">
        <v>1178</v>
      </c>
      <c r="C48" s="39"/>
      <c r="D48" s="39"/>
      <c r="E48" s="21"/>
      <c r="F48" s="15" t="n">
        <f aca="false">IF(AND(N(C48)&gt;0,N(D48)&gt;0),C48*D48*IF(N(E48)=0,1,E48),0)</f>
        <v>0</v>
      </c>
      <c r="G48" s="21"/>
      <c r="H48" s="21"/>
      <c r="I48" s="17" t="n">
        <f aca="false">IF(F48&gt;0,ROUNDUP(F48*N(G48)*$C$36,0),0)</f>
        <v>0</v>
      </c>
      <c r="J48" s="59"/>
      <c r="L48" s="19" t="n">
        <v>15</v>
      </c>
      <c r="M48" s="110" t="n">
        <v>39.5</v>
      </c>
    </row>
    <row r="49" customFormat="false" ht="15" hidden="false" customHeight="true" outlineLevel="0" collapsed="false">
      <c r="A49" s="6" t="n">
        <v>11</v>
      </c>
      <c r="B49" s="16" t="s">
        <v>1179</v>
      </c>
      <c r="C49" s="39"/>
      <c r="D49" s="39"/>
      <c r="E49" s="21"/>
      <c r="F49" s="15" t="n">
        <f aca="false">IF(AND(N(C49)&gt;0,N(D49)&gt;0),C49*D49*IF(N(E49)=0,1,E49),0)</f>
        <v>0</v>
      </c>
      <c r="G49" s="21"/>
      <c r="H49" s="21"/>
      <c r="I49" s="17" t="n">
        <f aca="false">IF(F49&gt;0,ROUNDUP(F49*N(G49)*$C$36,0),0)</f>
        <v>0</v>
      </c>
      <c r="J49" s="59"/>
      <c r="L49" s="19" t="n">
        <v>16</v>
      </c>
      <c r="M49" s="110" t="n">
        <v>41.4</v>
      </c>
    </row>
    <row r="50" customFormat="false" ht="15" hidden="false" customHeight="true" outlineLevel="0" collapsed="false">
      <c r="A50" s="6" t="n">
        <v>12</v>
      </c>
      <c r="B50" s="16" t="s">
        <v>1180</v>
      </c>
      <c r="C50" s="39"/>
      <c r="D50" s="39"/>
      <c r="E50" s="21"/>
      <c r="F50" s="15" t="n">
        <f aca="false">IF(AND(N(C50)&gt;0,N(D50)&gt;0),C50*D50*IF(N(E50)=0,1,E50),0)</f>
        <v>0</v>
      </c>
      <c r="G50" s="21"/>
      <c r="H50" s="21"/>
      <c r="I50" s="17" t="n">
        <f aca="false">IF(F50&gt;0,ROUNDUP(F50*N(G50)*$C$36,0),0)</f>
        <v>0</v>
      </c>
      <c r="J50" s="59"/>
      <c r="L50" s="19" t="n">
        <v>17</v>
      </c>
      <c r="M50" s="110" t="n">
        <v>43.2</v>
      </c>
    </row>
    <row r="51" customFormat="false" ht="15" hidden="false" customHeight="true" outlineLevel="0" collapsed="false">
      <c r="A51" s="6" t="n">
        <v>13</v>
      </c>
      <c r="B51" s="16" t="s">
        <v>1181</v>
      </c>
      <c r="C51" s="39"/>
      <c r="D51" s="39"/>
      <c r="E51" s="21"/>
      <c r="F51" s="15" t="n">
        <f aca="false">IF(AND(N(C51)&gt;0,N(D51)&gt;0),C51*D51*IF(N(E51)=0,1,E51),0)</f>
        <v>0</v>
      </c>
      <c r="G51" s="21"/>
      <c r="H51" s="21"/>
      <c r="I51" s="17" t="n">
        <f aca="false">IF(F51&gt;0,ROUNDUP(F51*N(G51)*$C$36,0),0)</f>
        <v>0</v>
      </c>
      <c r="J51" s="59"/>
      <c r="L51" s="19" t="n">
        <v>18</v>
      </c>
      <c r="M51" s="110" t="n">
        <v>45</v>
      </c>
    </row>
    <row r="52" customFormat="false" ht="15" hidden="false" customHeight="true" outlineLevel="0" collapsed="false">
      <c r="A52" s="6" t="n">
        <v>14</v>
      </c>
      <c r="B52" s="16" t="s">
        <v>1182</v>
      </c>
      <c r="C52" s="39"/>
      <c r="D52" s="39"/>
      <c r="E52" s="21"/>
      <c r="F52" s="15" t="n">
        <f aca="false">IF(AND(N(C52)&gt;0,N(D52)&gt;0),C52*D52*IF(N(E52)=0,1,E52),0)</f>
        <v>0</v>
      </c>
      <c r="G52" s="21"/>
      <c r="H52" s="21"/>
      <c r="I52" s="17" t="n">
        <f aca="false">IF(F52&gt;0,ROUNDUP(F52*N(G52)*$C$36,0),0)</f>
        <v>0</v>
      </c>
      <c r="J52" s="59"/>
      <c r="L52" s="19" t="n">
        <v>19</v>
      </c>
      <c r="M52" s="110" t="n">
        <v>46.9</v>
      </c>
    </row>
    <row r="53" customFormat="false" ht="15" hidden="false" customHeight="true" outlineLevel="0" collapsed="false">
      <c r="A53" s="6" t="n">
        <v>15</v>
      </c>
      <c r="B53" s="16" t="s">
        <v>1183</v>
      </c>
      <c r="C53" s="39"/>
      <c r="D53" s="39"/>
      <c r="E53" s="21"/>
      <c r="F53" s="15" t="n">
        <f aca="false">IF(AND(N(C53)&gt;0,N(D53)&gt;0),C53*D53*IF(N(E53)=0,1,E53),0)</f>
        <v>0</v>
      </c>
      <c r="G53" s="21"/>
      <c r="H53" s="21"/>
      <c r="I53" s="17" t="n">
        <f aca="false">IF(F53&gt;0,ROUNDUP(F53*N(G53)*$C$36,0),0)</f>
        <v>0</v>
      </c>
      <c r="J53" s="59"/>
      <c r="L53" s="19" t="n">
        <v>20</v>
      </c>
      <c r="M53" s="110" t="n">
        <v>48.7</v>
      </c>
    </row>
    <row r="54" customFormat="false" ht="15" hidden="false" customHeight="true" outlineLevel="0" collapsed="false">
      <c r="A54" s="6" t="n">
        <v>16</v>
      </c>
      <c r="B54" s="16" t="s">
        <v>1184</v>
      </c>
      <c r="C54" s="39"/>
      <c r="D54" s="39"/>
      <c r="E54" s="21"/>
      <c r="F54" s="15" t="n">
        <f aca="false">IF(AND(N(C54)&gt;0,N(D54)&gt;0),C54*D54*IF(N(E54)=0,1,E54),0)</f>
        <v>0</v>
      </c>
      <c r="G54" s="21"/>
      <c r="H54" s="21"/>
      <c r="I54" s="17" t="n">
        <f aca="false">IF(F54&gt;0,ROUNDUP(F54*N(G54)*$C$36,0),0)</f>
        <v>0</v>
      </c>
      <c r="J54" s="59"/>
      <c r="L54" s="19" t="n">
        <v>21</v>
      </c>
      <c r="M54" s="110" t="n">
        <v>50.5</v>
      </c>
    </row>
    <row r="55" customFormat="false" ht="15" hidden="false" customHeight="true" outlineLevel="0" collapsed="false">
      <c r="A55" s="6" t="n">
        <v>17</v>
      </c>
      <c r="B55" s="16" t="s">
        <v>1185</v>
      </c>
      <c r="C55" s="39"/>
      <c r="D55" s="39"/>
      <c r="E55" s="21"/>
      <c r="F55" s="15" t="n">
        <f aca="false">IF(AND(N(C55)&gt;0,N(D55)&gt;0),C55*D55*IF(N(E55)=0,1,E55),0)</f>
        <v>0</v>
      </c>
      <c r="G55" s="21"/>
      <c r="H55" s="21"/>
      <c r="I55" s="17" t="n">
        <f aca="false">IF(F55&gt;0,ROUNDUP(F55*N(G55)*$C$36,0),0)</f>
        <v>0</v>
      </c>
      <c r="J55" s="59"/>
      <c r="L55" s="19" t="n">
        <v>22</v>
      </c>
      <c r="M55" s="110" t="n">
        <v>52.4</v>
      </c>
    </row>
    <row r="56" customFormat="false" ht="15" hidden="false" customHeight="true" outlineLevel="0" collapsed="false">
      <c r="A56" s="6" t="n">
        <v>18</v>
      </c>
      <c r="B56" s="16" t="s">
        <v>1186</v>
      </c>
      <c r="C56" s="39"/>
      <c r="D56" s="39"/>
      <c r="E56" s="21"/>
      <c r="F56" s="15" t="n">
        <f aca="false">IF(AND(N(C56)&gt;0,N(D56)&gt;0),C56*D56*IF(N(E56)=0,1,E56),0)</f>
        <v>0</v>
      </c>
      <c r="G56" s="21"/>
      <c r="H56" s="21"/>
      <c r="I56" s="17" t="n">
        <f aca="false">IF(F56&gt;0,ROUNDUP(F56*N(G56)*$C$36,0),0)</f>
        <v>0</v>
      </c>
      <c r="J56" s="59"/>
      <c r="L56" s="19" t="n">
        <v>23</v>
      </c>
      <c r="M56" s="110" t="n">
        <v>54.2</v>
      </c>
    </row>
    <row r="57" customFormat="false" ht="15" hidden="false" customHeight="true" outlineLevel="0" collapsed="false">
      <c r="A57" s="6" t="n">
        <v>19</v>
      </c>
      <c r="B57" s="16" t="s">
        <v>1187</v>
      </c>
      <c r="C57" s="39"/>
      <c r="D57" s="39"/>
      <c r="E57" s="21"/>
      <c r="F57" s="15" t="n">
        <f aca="false">IF(AND(N(C57)&gt;0,N(D57)&gt;0),C57*D57*IF(N(E57)=0,1,E57),0)</f>
        <v>0</v>
      </c>
      <c r="G57" s="21"/>
      <c r="H57" s="21"/>
      <c r="I57" s="17" t="n">
        <f aca="false">IF(F57&gt;0,ROUNDUP(F57*N(G57)*$C$36,0),0)</f>
        <v>0</v>
      </c>
      <c r="J57" s="59"/>
      <c r="L57" s="19" t="n">
        <v>24</v>
      </c>
      <c r="M57" s="110" t="n">
        <v>56</v>
      </c>
    </row>
    <row r="58" customFormat="false" ht="15" hidden="false" customHeight="true" outlineLevel="0" collapsed="false">
      <c r="A58" s="6" t="n">
        <v>20</v>
      </c>
      <c r="B58" s="16" t="s">
        <v>1188</v>
      </c>
      <c r="C58" s="39"/>
      <c r="D58" s="39"/>
      <c r="E58" s="21"/>
      <c r="F58" s="15" t="n">
        <f aca="false">IF(AND(N(C58)&gt;0,N(D58)&gt;0),C58*D58*IF(N(E58)=0,1,E58),0)</f>
        <v>0</v>
      </c>
      <c r="G58" s="21"/>
      <c r="H58" s="21"/>
      <c r="I58" s="17" t="n">
        <f aca="false">IF(F58&gt;0,ROUNDUP(F58*N(G58)*$C$36,0),0)</f>
        <v>0</v>
      </c>
      <c r="J58" s="59"/>
      <c r="L58" s="19" t="n">
        <v>36</v>
      </c>
      <c r="M58" s="110" t="n">
        <v>78</v>
      </c>
    </row>
    <row r="59" customFormat="false" ht="15" hidden="false" customHeight="true" outlineLevel="0" collapsed="false">
      <c r="A59" s="6" t="n">
        <v>21</v>
      </c>
      <c r="B59" s="16" t="s">
        <v>1189</v>
      </c>
      <c r="C59" s="39"/>
      <c r="D59" s="39"/>
      <c r="E59" s="21"/>
      <c r="F59" s="15" t="n">
        <f aca="false">IF(AND(N(C59)&gt;0,N(D59)&gt;0),C59*D59*IF(N(E59)=0,1,E59),0)</f>
        <v>0</v>
      </c>
      <c r="G59" s="21"/>
      <c r="H59" s="21"/>
      <c r="I59" s="17" t="n">
        <f aca="false">IF(F59&gt;0,ROUNDUP(F59*N(G59)*$C$36,0),0)</f>
        <v>0</v>
      </c>
      <c r="J59" s="59"/>
      <c r="L59" s="19" t="n">
        <v>48</v>
      </c>
      <c r="M59" s="110" t="n">
        <v>100</v>
      </c>
    </row>
    <row r="60" customFormat="false" ht="15" hidden="false" customHeight="true" outlineLevel="0" collapsed="false">
      <c r="A60" s="6" t="n">
        <v>22</v>
      </c>
      <c r="B60" s="16" t="s">
        <v>1190</v>
      </c>
      <c r="C60" s="39"/>
      <c r="D60" s="39"/>
      <c r="E60" s="21"/>
      <c r="F60" s="15" t="n">
        <f aca="false">IF(AND(N(C60)&gt;0,N(D60)&gt;0),C60*D60*IF(N(E60)=0,1,E60),0)</f>
        <v>0</v>
      </c>
      <c r="G60" s="21"/>
      <c r="H60" s="21"/>
      <c r="I60" s="17" t="n">
        <f aca="false">IF(F60&gt;0,ROUNDUP(F60*N(G60)*$C$36,0),0)</f>
        <v>0</v>
      </c>
      <c r="J60" s="59"/>
    </row>
    <row r="61" customFormat="false" ht="15" hidden="false" customHeight="true" outlineLevel="0" collapsed="false">
      <c r="A61" s="6" t="n">
        <v>23</v>
      </c>
      <c r="B61" s="16" t="s">
        <v>1191</v>
      </c>
      <c r="C61" s="39"/>
      <c r="D61" s="39"/>
      <c r="E61" s="21"/>
      <c r="F61" s="15" t="n">
        <f aca="false">IF(AND(N(C61)&gt;0,N(D61)&gt;0),C61*D61*IF(N(E61)=0,1,E61),0)</f>
        <v>0</v>
      </c>
      <c r="G61" s="21"/>
      <c r="H61" s="21"/>
      <c r="I61" s="17" t="n">
        <f aca="false">IF(F61&gt;0,ROUNDUP(F61*N(G61)*$C$36,0),0)</f>
        <v>0</v>
      </c>
      <c r="J61" s="59"/>
    </row>
    <row r="62" customFormat="false" ht="15" hidden="false" customHeight="true" outlineLevel="0" collapsed="false">
      <c r="A62" s="6" t="n">
        <v>24</v>
      </c>
      <c r="B62" s="16" t="s">
        <v>1192</v>
      </c>
      <c r="C62" s="39"/>
      <c r="D62" s="39"/>
      <c r="E62" s="21"/>
      <c r="F62" s="15" t="n">
        <f aca="false">IF(AND(N(C62)&gt;0,N(D62)&gt;0),C62*D62*IF(N(E62)=0,1,E62),0)</f>
        <v>0</v>
      </c>
      <c r="G62" s="21"/>
      <c r="H62" s="21"/>
      <c r="I62" s="17" t="n">
        <f aca="false">IF(F62&gt;0,ROUNDUP(F62*N(G62)*$C$36,0),0)</f>
        <v>0</v>
      </c>
      <c r="J62" s="59"/>
    </row>
    <row r="63" customFormat="false" ht="15" hidden="false" customHeight="true" outlineLevel="0" collapsed="false">
      <c r="A63" s="6" t="n">
        <v>25</v>
      </c>
      <c r="B63" s="16" t="s">
        <v>1193</v>
      </c>
      <c r="C63" s="39"/>
      <c r="D63" s="39"/>
      <c r="E63" s="21"/>
      <c r="F63" s="15" t="n">
        <f aca="false">IF(AND(N(C63)&gt;0,N(D63)&gt;0),C63*D63*IF(N(E63)=0,1,E63),0)</f>
        <v>0</v>
      </c>
      <c r="G63" s="21"/>
      <c r="H63" s="21"/>
      <c r="I63" s="17" t="n">
        <f aca="false">IF(F63&gt;0,ROUNDUP(F63*N(G63)*$C$36,0),0)</f>
        <v>0</v>
      </c>
      <c r="J63" s="59"/>
    </row>
    <row r="64" customFormat="false" ht="15" hidden="false" customHeight="true" outlineLevel="0" collapsed="false">
      <c r="A64" s="10"/>
      <c r="B64" s="11" t="s">
        <v>1194</v>
      </c>
      <c r="C64" s="10"/>
      <c r="D64" s="10"/>
      <c r="E64" s="10"/>
      <c r="F64" s="60" t="n">
        <f aca="false">SUM(F39:F63)</f>
        <v>172.02</v>
      </c>
      <c r="G64" s="10"/>
      <c r="H64" s="10"/>
      <c r="I64" s="45" t="n">
        <f aca="false">SUM(I39:I63)</f>
        <v>95</v>
      </c>
      <c r="J64" s="10"/>
    </row>
    <row r="66" customFormat="false" ht="15" hidden="false" customHeight="true" outlineLevel="0" collapsed="false">
      <c r="A66" s="3" t="s">
        <v>1195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3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3"/>
    <col collapsed="false" customWidth="true" hidden="false" outlineLevel="0" max="8" min="8" style="1" width="11"/>
    <col collapsed="false" customWidth="true" hidden="false" outlineLevel="0" max="9" min="9" style="1" width="28"/>
    <col collapsed="false" customWidth="true" hidden="false" outlineLevel="0" max="10" min="10" style="1" width="12"/>
    <col collapsed="false" customWidth="true" hidden="false" outlineLevel="0" max="11" min="11" style="1" width="3"/>
    <col collapsed="false" customWidth="true" hidden="false" outlineLevel="0" max="12" min="12" style="1" width="22"/>
    <col collapsed="false" customWidth="true" hidden="false" outlineLevel="0" max="13" min="13" style="1" width="9"/>
    <col collapsed="false" customWidth="true" hidden="false" outlineLevel="0" max="14" min="14" style="1" width="3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3"/>
    <col collapsed="false" customWidth="true" hidden="false" outlineLevel="0" max="21" min="19" style="1" width="12"/>
  </cols>
  <sheetData>
    <row r="1" customFormat="false" ht="19.5" hidden="false" customHeight="true" outlineLevel="0" collapsed="false">
      <c r="A1" s="49" t="s">
        <v>1196</v>
      </c>
    </row>
    <row r="2" customFormat="false" ht="15" hidden="false" customHeight="true" outlineLevel="0" collapsed="false">
      <c r="A2" s="3" t="s">
        <v>1197</v>
      </c>
    </row>
    <row r="3" customFormat="false" ht="15" hidden="false" customHeight="true" outlineLevel="0" collapsed="false">
      <c r="A3" s="50" t="s">
        <v>1198</v>
      </c>
      <c r="E3" s="50" t="s">
        <v>1199</v>
      </c>
      <c r="H3" s="50" t="s">
        <v>1200</v>
      </c>
      <c r="L3" s="50" t="s">
        <v>1201</v>
      </c>
      <c r="O3" s="50" t="s">
        <v>1202</v>
      </c>
      <c r="S3" s="50" t="s">
        <v>1203</v>
      </c>
    </row>
    <row r="4" customFormat="false" ht="24" hidden="false" customHeight="true" outlineLevel="0" collapsed="false">
      <c r="A4" s="4" t="s">
        <v>192</v>
      </c>
      <c r="B4" s="4" t="s">
        <v>172</v>
      </c>
      <c r="C4" s="4" t="s">
        <v>1204</v>
      </c>
      <c r="E4" s="4" t="s">
        <v>172</v>
      </c>
      <c r="F4" s="4" t="s">
        <v>1204</v>
      </c>
      <c r="H4" s="4" t="s">
        <v>1205</v>
      </c>
      <c r="I4" s="4" t="s">
        <v>172</v>
      </c>
      <c r="J4" s="4" t="s">
        <v>1206</v>
      </c>
      <c r="L4" s="4" t="s">
        <v>1207</v>
      </c>
      <c r="M4" s="4" t="s">
        <v>475</v>
      </c>
      <c r="O4" s="4" t="s">
        <v>1208</v>
      </c>
      <c r="P4" s="4" t="s">
        <v>1209</v>
      </c>
      <c r="Q4" s="4" t="s">
        <v>1210</v>
      </c>
      <c r="S4" s="4" t="s">
        <v>1211</v>
      </c>
      <c r="T4" s="4" t="s">
        <v>1209</v>
      </c>
      <c r="U4" s="4" t="s">
        <v>1210</v>
      </c>
    </row>
    <row r="5" customFormat="false" ht="15" hidden="false" customHeight="true" outlineLevel="0" collapsed="false">
      <c r="A5" s="42" t="s">
        <v>1212</v>
      </c>
      <c r="B5" s="42" t="s">
        <v>1213</v>
      </c>
      <c r="C5" s="105" t="s">
        <v>1214</v>
      </c>
      <c r="E5" s="42" t="s">
        <v>209</v>
      </c>
      <c r="F5" s="40" t="n">
        <v>12.54</v>
      </c>
      <c r="H5" s="42" t="s">
        <v>1215</v>
      </c>
      <c r="I5" s="42" t="s">
        <v>1216</v>
      </c>
      <c r="J5" s="40" t="n">
        <v>4.5</v>
      </c>
      <c r="L5" s="7" t="s">
        <v>484</v>
      </c>
      <c r="M5" s="40" t="n">
        <v>0.4</v>
      </c>
      <c r="O5" s="110" t="n">
        <v>0</v>
      </c>
      <c r="P5" s="70" t="n">
        <v>0</v>
      </c>
      <c r="Q5" s="70" t="n">
        <v>0</v>
      </c>
      <c r="S5" s="109" t="n">
        <v>0</v>
      </c>
      <c r="T5" s="70" t="n">
        <v>0</v>
      </c>
      <c r="U5" s="70" t="n">
        <v>0</v>
      </c>
    </row>
    <row r="6" customFormat="false" ht="15" hidden="false" customHeight="true" outlineLevel="0" collapsed="false">
      <c r="A6" s="32"/>
      <c r="B6" s="32" t="s">
        <v>1217</v>
      </c>
      <c r="C6" s="40" t="n">
        <v>1.95</v>
      </c>
      <c r="E6" s="42" t="s">
        <v>1218</v>
      </c>
      <c r="F6" s="40" t="n">
        <v>19.47</v>
      </c>
      <c r="H6" s="32"/>
      <c r="I6" s="42" t="s">
        <v>1219</v>
      </c>
      <c r="J6" s="40" t="n">
        <v>6</v>
      </c>
      <c r="L6" s="7" t="s">
        <v>1220</v>
      </c>
      <c r="M6" s="69" t="n">
        <v>0.026</v>
      </c>
      <c r="O6" s="110" t="n">
        <v>0.4</v>
      </c>
      <c r="P6" s="70" t="n">
        <v>0.2</v>
      </c>
      <c r="Q6" s="70" t="n">
        <v>0</v>
      </c>
      <c r="S6" s="109" t="n">
        <v>9</v>
      </c>
      <c r="T6" s="70" t="n">
        <v>0.2</v>
      </c>
      <c r="U6" s="70" t="n">
        <v>0</v>
      </c>
    </row>
    <row r="7" customFormat="false" ht="15" hidden="false" customHeight="true" outlineLevel="0" collapsed="false">
      <c r="A7" s="32"/>
      <c r="B7" s="42" t="s">
        <v>1221</v>
      </c>
      <c r="C7" s="40" t="n">
        <v>0.36</v>
      </c>
      <c r="E7" s="32" t="s">
        <v>1222</v>
      </c>
      <c r="F7" s="40" t="n">
        <v>13.86</v>
      </c>
      <c r="H7" s="42" t="s">
        <v>1223</v>
      </c>
      <c r="I7" s="42" t="s">
        <v>1224</v>
      </c>
      <c r="J7" s="40" t="n">
        <v>2.4</v>
      </c>
      <c r="L7" s="16" t="s">
        <v>1225</v>
      </c>
      <c r="M7" s="109" t="n">
        <v>8</v>
      </c>
      <c r="O7" s="110" t="n">
        <v>0.7</v>
      </c>
      <c r="P7" s="70" t="n">
        <v>0.3</v>
      </c>
      <c r="Q7" s="70" t="n">
        <v>0</v>
      </c>
      <c r="S7" s="109" t="n">
        <v>16</v>
      </c>
      <c r="T7" s="70" t="n">
        <v>0.3</v>
      </c>
      <c r="U7" s="70" t="n">
        <v>0.1</v>
      </c>
    </row>
    <row r="8" customFormat="false" ht="15" hidden="false" customHeight="true" outlineLevel="0" collapsed="false">
      <c r="A8" s="32"/>
      <c r="B8" s="42" t="s">
        <v>1226</v>
      </c>
      <c r="C8" s="40" t="n">
        <v>1.95</v>
      </c>
      <c r="E8" s="42" t="s">
        <v>1227</v>
      </c>
      <c r="F8" s="40" t="n">
        <v>17.16</v>
      </c>
      <c r="H8" s="32"/>
      <c r="I8" s="42" t="s">
        <v>1011</v>
      </c>
      <c r="J8" s="40" t="n">
        <v>5.4</v>
      </c>
      <c r="L8" s="7" t="s">
        <v>1228</v>
      </c>
      <c r="M8" s="110" t="n">
        <v>0.3</v>
      </c>
      <c r="O8" s="110" t="n">
        <v>5</v>
      </c>
      <c r="P8" s="70" t="n">
        <v>0.5</v>
      </c>
      <c r="Q8" s="70" t="n">
        <v>0</v>
      </c>
      <c r="S8" s="109" t="n">
        <v>20</v>
      </c>
      <c r="T8" s="112" t="s">
        <v>1229</v>
      </c>
      <c r="U8" s="70" t="n">
        <v>0.2</v>
      </c>
    </row>
    <row r="9" customFormat="false" ht="15" hidden="false" customHeight="true" outlineLevel="0" collapsed="false">
      <c r="A9" s="32"/>
      <c r="B9" s="32" t="s">
        <v>1230</v>
      </c>
      <c r="C9" s="40" t="n">
        <v>1.95</v>
      </c>
      <c r="E9" s="42" t="s">
        <v>1231</v>
      </c>
      <c r="F9" s="40" t="n">
        <v>24.09</v>
      </c>
      <c r="H9" s="32"/>
      <c r="I9" s="42" t="s">
        <v>1015</v>
      </c>
      <c r="J9" s="40" t="n">
        <v>6.6</v>
      </c>
      <c r="L9" s="16" t="s">
        <v>1232</v>
      </c>
      <c r="M9" s="70" t="n">
        <v>0.7</v>
      </c>
      <c r="O9" s="110" t="n">
        <v>15</v>
      </c>
      <c r="P9" s="70" t="n">
        <v>0.7</v>
      </c>
      <c r="Q9" s="70" t="n">
        <v>0.3</v>
      </c>
    </row>
    <row r="10" customFormat="false" ht="15" hidden="false" customHeight="true" outlineLevel="0" collapsed="false">
      <c r="A10" s="32"/>
      <c r="B10" s="42" t="s">
        <v>1233</v>
      </c>
      <c r="C10" s="40" t="n">
        <v>1.95</v>
      </c>
      <c r="E10" s="42" t="s">
        <v>1234</v>
      </c>
      <c r="F10" s="40" t="n">
        <v>11.55</v>
      </c>
      <c r="H10" s="32"/>
      <c r="I10" s="42" t="s">
        <v>1235</v>
      </c>
      <c r="J10" s="40" t="n">
        <v>7.8</v>
      </c>
      <c r="L10" s="16" t="s">
        <v>1236</v>
      </c>
      <c r="M10" s="70" t="n">
        <v>0.3</v>
      </c>
      <c r="O10" s="110" t="n">
        <v>30</v>
      </c>
      <c r="P10" s="112" t="s">
        <v>1229</v>
      </c>
      <c r="Q10" s="70" t="n">
        <v>0.5</v>
      </c>
    </row>
    <row r="11" customFormat="false" ht="15" hidden="false" customHeight="true" outlineLevel="0" collapsed="false">
      <c r="A11" s="32"/>
      <c r="B11" s="42" t="s">
        <v>1237</v>
      </c>
      <c r="C11" s="40" t="n">
        <v>1.95</v>
      </c>
      <c r="E11" s="42" t="s">
        <v>1218</v>
      </c>
      <c r="F11" s="40" t="n">
        <v>19.47</v>
      </c>
      <c r="H11" s="32"/>
      <c r="I11" s="32" t="s">
        <v>1238</v>
      </c>
      <c r="J11" s="40" t="n">
        <v>5.4</v>
      </c>
      <c r="L11" s="7" t="s">
        <v>1239</v>
      </c>
      <c r="M11" s="69" t="n">
        <v>0.333333333333333</v>
      </c>
    </row>
    <row r="12" customFormat="false" ht="15" hidden="false" customHeight="true" outlineLevel="0" collapsed="false">
      <c r="A12" s="32"/>
      <c r="B12" s="32" t="s">
        <v>1240</v>
      </c>
      <c r="C12" s="40" t="n">
        <v>1.95</v>
      </c>
      <c r="E12" s="42" t="s">
        <v>442</v>
      </c>
      <c r="F12" s="40" t="n">
        <v>17.49</v>
      </c>
      <c r="H12" s="32"/>
      <c r="I12" s="32" t="s">
        <v>1241</v>
      </c>
      <c r="J12" s="40" t="n">
        <v>2.4</v>
      </c>
      <c r="O12" s="3" t="s">
        <v>1242</v>
      </c>
    </row>
    <row r="13" customFormat="false" ht="15" hidden="false" customHeight="true" outlineLevel="0" collapsed="false">
      <c r="A13" s="32"/>
      <c r="B13" s="32" t="s">
        <v>1243</v>
      </c>
      <c r="C13" s="40" t="n">
        <v>0.36</v>
      </c>
      <c r="E13" s="42" t="s">
        <v>1244</v>
      </c>
      <c r="F13" s="40" t="n">
        <v>29.04</v>
      </c>
      <c r="H13" s="32"/>
      <c r="I13" s="32" t="s">
        <v>1245</v>
      </c>
      <c r="J13" s="40" t="n">
        <v>2.4</v>
      </c>
    </row>
    <row r="14" customFormat="false" ht="15" hidden="false" customHeight="true" outlineLevel="0" collapsed="false">
      <c r="A14" s="32"/>
      <c r="B14" s="32" t="s">
        <v>1246</v>
      </c>
      <c r="C14" s="40" t="n">
        <v>0.36</v>
      </c>
      <c r="E14" s="42" t="s">
        <v>1247</v>
      </c>
      <c r="F14" s="40" t="n">
        <v>28.05</v>
      </c>
      <c r="H14" s="32"/>
      <c r="I14" s="32" t="s">
        <v>1248</v>
      </c>
      <c r="J14" s="40" t="n">
        <v>2.4</v>
      </c>
    </row>
    <row r="15" customFormat="false" ht="15" hidden="false" customHeight="true" outlineLevel="0" collapsed="false">
      <c r="A15" s="32"/>
      <c r="B15" s="42" t="s">
        <v>1249</v>
      </c>
      <c r="C15" s="40" t="n">
        <v>1.95</v>
      </c>
      <c r="E15" s="32" t="s">
        <v>1250</v>
      </c>
      <c r="F15" s="40" t="n">
        <v>10.89</v>
      </c>
      <c r="H15" s="42" t="s">
        <v>1251</v>
      </c>
      <c r="I15" s="42" t="s">
        <v>1252</v>
      </c>
      <c r="J15" s="40" t="n">
        <v>1.2</v>
      </c>
    </row>
    <row r="16" customFormat="false" ht="15" hidden="false" customHeight="true" outlineLevel="0" collapsed="false">
      <c r="A16" s="32"/>
      <c r="B16" s="32" t="s">
        <v>1253</v>
      </c>
      <c r="C16" s="40" t="n">
        <v>0.36</v>
      </c>
      <c r="E16" s="42" t="s">
        <v>424</v>
      </c>
      <c r="F16" s="40" t="n">
        <v>9.9</v>
      </c>
      <c r="H16" s="32"/>
      <c r="I16" s="42" t="s">
        <v>1018</v>
      </c>
      <c r="J16" s="40" t="n">
        <v>2.7</v>
      </c>
    </row>
    <row r="17" customFormat="false" ht="15" hidden="false" customHeight="true" outlineLevel="0" collapsed="false">
      <c r="A17" s="32"/>
      <c r="B17" s="42" t="s">
        <v>1254</v>
      </c>
      <c r="C17" s="40" t="n">
        <v>0.36</v>
      </c>
      <c r="E17" s="32" t="s">
        <v>1255</v>
      </c>
      <c r="F17" s="40" t="n">
        <v>23.43</v>
      </c>
      <c r="H17" s="32"/>
      <c r="I17" s="42" t="s">
        <v>1017</v>
      </c>
      <c r="J17" s="40" t="n">
        <v>3.3</v>
      </c>
    </row>
    <row r="18" customFormat="false" ht="15" hidden="false" customHeight="true" outlineLevel="0" collapsed="false">
      <c r="A18" s="32"/>
      <c r="B18" s="42" t="s">
        <v>1256</v>
      </c>
      <c r="C18" s="40" t="n">
        <v>1.95</v>
      </c>
      <c r="H18" s="32"/>
      <c r="I18" s="42" t="s">
        <v>1257</v>
      </c>
      <c r="J18" s="40" t="n">
        <v>3.9</v>
      </c>
    </row>
    <row r="19" customFormat="false" ht="15" hidden="false" customHeight="true" outlineLevel="0" collapsed="false">
      <c r="A19" s="32"/>
      <c r="B19" s="32" t="s">
        <v>1258</v>
      </c>
      <c r="C19" s="105" t="s">
        <v>1214</v>
      </c>
      <c r="E19" s="3" t="s">
        <v>1259</v>
      </c>
      <c r="H19" s="32"/>
      <c r="I19" s="32" t="s">
        <v>1260</v>
      </c>
      <c r="J19" s="40" t="n">
        <v>2.7</v>
      </c>
    </row>
    <row r="20" customFormat="false" ht="15" hidden="false" customHeight="true" outlineLevel="0" collapsed="false">
      <c r="A20" s="32"/>
      <c r="B20" s="42" t="s">
        <v>1261</v>
      </c>
      <c r="C20" s="40" t="n">
        <v>1.95</v>
      </c>
      <c r="H20" s="32"/>
      <c r="I20" s="32" t="s">
        <v>1262</v>
      </c>
      <c r="J20" s="40" t="n">
        <v>1.2</v>
      </c>
    </row>
    <row r="21" customFormat="false" ht="15" hidden="false" customHeight="true" outlineLevel="0" collapsed="false">
      <c r="A21" s="32"/>
      <c r="B21" s="42" t="s">
        <v>1263</v>
      </c>
      <c r="C21" s="40" t="n">
        <v>1.95</v>
      </c>
      <c r="H21" s="32"/>
      <c r="I21" s="32" t="s">
        <v>1264</v>
      </c>
      <c r="J21" s="40" t="n">
        <v>1.2</v>
      </c>
    </row>
    <row r="22" customFormat="false" ht="15" hidden="false" customHeight="true" outlineLevel="0" collapsed="false">
      <c r="A22" s="32"/>
      <c r="B22" s="42" t="s">
        <v>1265</v>
      </c>
      <c r="C22" s="40" t="n">
        <v>0.36</v>
      </c>
      <c r="H22" s="32"/>
      <c r="I22" s="32" t="s">
        <v>1266</v>
      </c>
      <c r="J22" s="40" t="n">
        <v>1.2</v>
      </c>
    </row>
    <row r="23" customFormat="false" ht="15" hidden="false" customHeight="true" outlineLevel="0" collapsed="false">
      <c r="A23" s="42" t="s">
        <v>1267</v>
      </c>
      <c r="B23" s="32" t="s">
        <v>1268</v>
      </c>
      <c r="C23" s="40" t="n">
        <v>1.95</v>
      </c>
      <c r="H23" s="42" t="s">
        <v>1269</v>
      </c>
      <c r="I23" s="42" t="s">
        <v>1270</v>
      </c>
      <c r="J23" s="40" t="n">
        <v>3.6</v>
      </c>
    </row>
    <row r="24" customFormat="false" ht="15" hidden="false" customHeight="true" outlineLevel="0" collapsed="false">
      <c r="A24" s="32"/>
      <c r="B24" s="32" t="s">
        <v>1271</v>
      </c>
      <c r="C24" s="40" t="n">
        <v>0.55</v>
      </c>
      <c r="H24" s="32"/>
      <c r="I24" s="42" t="s">
        <v>1013</v>
      </c>
      <c r="J24" s="40" t="n">
        <v>8.1</v>
      </c>
    </row>
    <row r="25" customFormat="false" ht="15" hidden="false" customHeight="true" outlineLevel="0" collapsed="false">
      <c r="A25" s="42" t="s">
        <v>1272</v>
      </c>
      <c r="B25" s="32" t="s">
        <v>1273</v>
      </c>
      <c r="C25" s="40" t="n">
        <v>0.36</v>
      </c>
      <c r="H25" s="32"/>
      <c r="I25" s="42" t="s">
        <v>1274</v>
      </c>
      <c r="J25" s="40" t="n">
        <v>9.9</v>
      </c>
    </row>
    <row r="26" customFormat="false" ht="15" hidden="false" customHeight="true" outlineLevel="0" collapsed="false">
      <c r="A26" s="32"/>
      <c r="B26" s="32" t="s">
        <v>1275</v>
      </c>
      <c r="C26" s="40" t="n">
        <v>0.36</v>
      </c>
      <c r="H26" s="32"/>
      <c r="I26" s="42" t="s">
        <v>1276</v>
      </c>
      <c r="J26" s="40" t="n">
        <v>11.7</v>
      </c>
    </row>
    <row r="27" customFormat="false" ht="15" hidden="false" customHeight="true" outlineLevel="0" collapsed="false">
      <c r="A27" s="32"/>
      <c r="B27" s="32" t="s">
        <v>1277</v>
      </c>
      <c r="C27" s="40" t="n">
        <v>1.95</v>
      </c>
      <c r="H27" s="32"/>
      <c r="I27" s="32" t="s">
        <v>1278</v>
      </c>
      <c r="J27" s="40" t="n">
        <v>8.1</v>
      </c>
    </row>
    <row r="28" customFormat="false" ht="15" hidden="false" customHeight="true" outlineLevel="0" collapsed="false">
      <c r="A28" s="32"/>
      <c r="B28" s="42" t="s">
        <v>921</v>
      </c>
      <c r="C28" s="40" t="n">
        <v>0.36</v>
      </c>
      <c r="H28" s="32"/>
      <c r="I28" s="32" t="s">
        <v>1279</v>
      </c>
      <c r="J28" s="40" t="n">
        <v>3.6</v>
      </c>
    </row>
    <row r="29" customFormat="false" ht="15" hidden="false" customHeight="true" outlineLevel="0" collapsed="false">
      <c r="A29" s="32"/>
      <c r="B29" s="32" t="s">
        <v>1280</v>
      </c>
      <c r="C29" s="40" t="n">
        <v>0.36</v>
      </c>
      <c r="H29" s="32"/>
      <c r="I29" s="32" t="s">
        <v>1281</v>
      </c>
      <c r="J29" s="40" t="n">
        <v>3.6</v>
      </c>
    </row>
    <row r="30" customFormat="false" ht="15" hidden="false" customHeight="true" outlineLevel="0" collapsed="false">
      <c r="A30" s="32"/>
      <c r="B30" s="32" t="s">
        <v>1282</v>
      </c>
      <c r="C30" s="40" t="n">
        <v>0.36</v>
      </c>
      <c r="H30" s="32"/>
      <c r="I30" s="32" t="s">
        <v>1283</v>
      </c>
      <c r="J30" s="40" t="n">
        <v>3.6</v>
      </c>
    </row>
    <row r="31" customFormat="false" ht="15" hidden="false" customHeight="true" outlineLevel="0" collapsed="false">
      <c r="A31" s="32"/>
      <c r="B31" s="32" t="s">
        <v>1284</v>
      </c>
      <c r="C31" s="40" t="n">
        <v>1.95</v>
      </c>
    </row>
    <row r="32" customFormat="false" ht="15" hidden="false" customHeight="true" outlineLevel="0" collapsed="false">
      <c r="A32" s="32"/>
      <c r="B32" s="42" t="s">
        <v>1285</v>
      </c>
      <c r="C32" s="40" t="n">
        <v>0.36</v>
      </c>
    </row>
    <row r="33" customFormat="false" ht="15" hidden="false" customHeight="true" outlineLevel="0" collapsed="false">
      <c r="A33" s="42" t="s">
        <v>10</v>
      </c>
      <c r="B33" s="32" t="s">
        <v>1286</v>
      </c>
      <c r="C33" s="40" t="n">
        <v>11.94</v>
      </c>
    </row>
    <row r="34" customFormat="false" ht="15" hidden="false" customHeight="true" outlineLevel="0" collapsed="false">
      <c r="A34" s="32"/>
      <c r="B34" s="32" t="s">
        <v>1287</v>
      </c>
      <c r="C34" s="105" t="s">
        <v>1288</v>
      </c>
    </row>
    <row r="35" customFormat="false" ht="15" hidden="false" customHeight="true" outlineLevel="0" collapsed="false">
      <c r="A35" s="32"/>
      <c r="B35" s="42" t="s">
        <v>10</v>
      </c>
      <c r="C35" s="40" t="n">
        <v>1.95</v>
      </c>
    </row>
    <row r="36" customFormat="false" ht="15" hidden="false" customHeight="true" outlineLevel="0" collapsed="false">
      <c r="A36" s="32"/>
      <c r="B36" s="42" t="s">
        <v>13</v>
      </c>
      <c r="C36" s="40" t="n">
        <v>1.95</v>
      </c>
    </row>
    <row r="37" customFormat="false" ht="15" hidden="false" customHeight="true" outlineLevel="0" collapsed="false">
      <c r="A37" s="32"/>
      <c r="B37" s="32" t="s">
        <v>1289</v>
      </c>
      <c r="C37" s="40" t="n">
        <v>1.95</v>
      </c>
    </row>
    <row r="38" customFormat="false" ht="15" hidden="false" customHeight="true" outlineLevel="0" collapsed="false">
      <c r="A38" s="32"/>
      <c r="B38" s="32" t="s">
        <v>1290</v>
      </c>
      <c r="C38" s="105" t="s">
        <v>1288</v>
      </c>
    </row>
    <row r="39" customFormat="false" ht="15" hidden="false" customHeight="true" outlineLevel="0" collapsed="false">
      <c r="A39" s="32" t="s">
        <v>1291</v>
      </c>
      <c r="B39" s="32" t="s">
        <v>1292</v>
      </c>
      <c r="C39" s="40" t="n">
        <v>0.36</v>
      </c>
    </row>
    <row r="40" customFormat="false" ht="15" hidden="false" customHeight="true" outlineLevel="0" collapsed="false">
      <c r="A40" s="32"/>
      <c r="B40" s="32" t="s">
        <v>1293</v>
      </c>
      <c r="C40" s="105" t="s">
        <v>1214</v>
      </c>
    </row>
    <row r="41" customFormat="false" ht="15" hidden="false" customHeight="true" outlineLevel="0" collapsed="false">
      <c r="A41" s="42" t="s">
        <v>1294</v>
      </c>
      <c r="B41" s="42" t="s">
        <v>1215</v>
      </c>
      <c r="C41" s="105" t="s">
        <v>1295</v>
      </c>
    </row>
    <row r="42" customFormat="false" ht="15" hidden="false" customHeight="true" outlineLevel="0" collapsed="false">
      <c r="A42" s="42" t="s">
        <v>1296</v>
      </c>
      <c r="B42" s="42" t="s">
        <v>999</v>
      </c>
      <c r="C42" s="40" t="n">
        <v>11.94</v>
      </c>
    </row>
    <row r="43" customFormat="false" ht="15" hidden="false" customHeight="true" outlineLevel="0" collapsed="false">
      <c r="A43" s="32"/>
      <c r="B43" s="42" t="s">
        <v>1297</v>
      </c>
      <c r="C43" s="40" t="n">
        <v>14.72</v>
      </c>
    </row>
    <row r="44" customFormat="false" ht="15" hidden="false" customHeight="true" outlineLevel="0" collapsed="false">
      <c r="A44" s="42" t="s">
        <v>1298</v>
      </c>
      <c r="B44" s="42" t="s">
        <v>1299</v>
      </c>
      <c r="C44" s="40" t="n">
        <v>1.95</v>
      </c>
    </row>
    <row r="45" customFormat="false" ht="15" hidden="false" customHeight="true" outlineLevel="0" collapsed="false">
      <c r="A45" s="32"/>
      <c r="B45" s="32" t="s">
        <v>1300</v>
      </c>
      <c r="C45" s="105" t="s">
        <v>1288</v>
      </c>
    </row>
    <row r="46" customFormat="false" ht="15" hidden="false" customHeight="true" outlineLevel="0" collapsed="false">
      <c r="A46" s="32"/>
      <c r="B46" s="32" t="s">
        <v>1301</v>
      </c>
      <c r="C46" s="40" t="n">
        <v>1.95</v>
      </c>
    </row>
    <row r="47" customFormat="false" ht="15" hidden="false" customHeight="true" outlineLevel="0" collapsed="false">
      <c r="A47" s="42" t="s">
        <v>1302</v>
      </c>
      <c r="B47" s="42" t="s">
        <v>1303</v>
      </c>
      <c r="C47" s="40" t="n">
        <v>12.54</v>
      </c>
    </row>
    <row r="48" customFormat="false" ht="15" hidden="false" customHeight="true" outlineLevel="0" collapsed="false">
      <c r="A48" s="32"/>
      <c r="B48" s="42" t="s">
        <v>1304</v>
      </c>
      <c r="C48" s="40" t="n">
        <v>1.95</v>
      </c>
    </row>
    <row r="49" customFormat="false" ht="15" hidden="false" customHeight="true" outlineLevel="0" collapsed="false">
      <c r="A49" s="32"/>
      <c r="B49" s="42" t="s">
        <v>1305</v>
      </c>
      <c r="C49" s="40" t="n">
        <v>11.94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7" min="5" style="1" width="12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4" min="10" style="1" width="11"/>
    <col collapsed="false" customWidth="true" hidden="false" outlineLevel="0" max="16" min="15" style="1" width="10"/>
    <col collapsed="false" customWidth="true" hidden="false" outlineLevel="0" max="17" min="17" style="1" width="11"/>
    <col collapsed="false" customWidth="true" hidden="false" outlineLevel="0" max="18" min="18" style="1" width="14"/>
    <col collapsed="false" customWidth="true" hidden="false" outlineLevel="0" max="21" min="19" style="1" width="11"/>
    <col collapsed="false" customWidth="true" hidden="false" outlineLevel="0" max="22" min="22" style="1" width="9"/>
  </cols>
  <sheetData>
    <row r="1" customFormat="false" ht="21" hidden="false" customHeight="true" outlineLevel="0" collapsed="false">
      <c r="A1" s="71" t="s">
        <v>1306</v>
      </c>
    </row>
    <row r="2" customFormat="false" ht="15" hidden="false" customHeight="true" outlineLevel="0" collapsed="false">
      <c r="A2" s="3" t="s">
        <v>1307</v>
      </c>
    </row>
    <row r="3" customFormat="false" ht="15" hidden="false" customHeight="true" outlineLevel="0" collapsed="false">
      <c r="A3" s="3" t="s">
        <v>1308</v>
      </c>
    </row>
    <row r="4" customFormat="false" ht="15" hidden="false" customHeight="true" outlineLevel="0" collapsed="false">
      <c r="A4" s="50" t="s">
        <v>1309</v>
      </c>
    </row>
    <row r="6" customFormat="false" ht="43.5" hidden="false" customHeight="true" outlineLevel="0" collapsed="false">
      <c r="A6" s="31" t="s">
        <v>117</v>
      </c>
      <c r="B6" s="4" t="s">
        <v>1310</v>
      </c>
      <c r="C6" s="4" t="s">
        <v>680</v>
      </c>
      <c r="D6" s="4" t="s">
        <v>1311</v>
      </c>
      <c r="E6" s="31" t="s">
        <v>1312</v>
      </c>
      <c r="F6" s="31" t="s">
        <v>1313</v>
      </c>
      <c r="G6" s="31" t="s">
        <v>1314</v>
      </c>
      <c r="H6" s="4" t="s">
        <v>1315</v>
      </c>
      <c r="I6" s="31" t="s">
        <v>1316</v>
      </c>
      <c r="J6" s="31" t="s">
        <v>1317</v>
      </c>
      <c r="K6" s="31" t="s">
        <v>1318</v>
      </c>
      <c r="L6" s="31" t="s">
        <v>1319</v>
      </c>
      <c r="M6" s="31" t="s">
        <v>1320</v>
      </c>
      <c r="N6" s="31" t="s">
        <v>1321</v>
      </c>
      <c r="O6" s="31" t="s">
        <v>1322</v>
      </c>
      <c r="P6" s="31" t="s">
        <v>1323</v>
      </c>
      <c r="Q6" s="4" t="s">
        <v>1324</v>
      </c>
      <c r="R6" s="31" t="s">
        <v>1325</v>
      </c>
    </row>
    <row r="7" customFormat="false" ht="15" hidden="false" customHeight="true" outlineLevel="0" collapsed="false">
      <c r="A7" s="6" t="n">
        <v>1</v>
      </c>
      <c r="B7" s="20" t="s">
        <v>702</v>
      </c>
      <c r="C7" s="19" t="n">
        <v>15</v>
      </c>
      <c r="D7" s="113" t="n">
        <f aca="false">IF($C7="","",IFERROR(IF($B7="옥내",INDEX(보온기준!$AG$5:$AG$19,MATCH($C7,보온기준!$AE$5:$AE$19,0)),INDEX(보온기준!$AF$5:$AF$19,MATCH($C7,보온기준!$AE$5:$AE$19,0))),""))</f>
        <v>50</v>
      </c>
      <c r="E7" s="8" t="n">
        <f aca="false">IF($C7="","",SUMIFS(배관기본물량!$R$7:$R$126,배관기본물량!$I$7:$I$126,$C7,배관기본물량!$B$7:$B$126,"설치",배관기본물량!$C$7:$C$126,$B7,배관기본물량!$W$7:$W$126,"○",배관기본물량!$AD$7:$AD$126,"PIPE"))</f>
        <v>1.837</v>
      </c>
      <c r="F7" s="114" t="n">
        <f aca="false">IF($C7="","",SUMIFS(배관기본물량!$L$7:$L$126,배관기본물량!$I$7:$I$126,$C7,배관기본물량!$B$7:$B$126,"설치",배관기본물량!$C$7:$C$126,$B7,배관기본물량!$W$7:$W$126,"○",배관기본물량!$AD$7:$AD$126,"90EL"))</f>
        <v>6</v>
      </c>
      <c r="G7" s="114" t="n">
        <f aca="false">IF($C7="","",SUMIFS(배관기본물량!$L$7:$L$126,배관기본물량!$I$7:$I$126,$C7,배관기본물량!$B$7:$B$126,"설치",배관기본물량!$C$7:$C$126,$B7,배관기본물량!$W$7:$W$126,"○",배관기본물량!$AD$7:$AD$126,"45EL"))</f>
        <v>0</v>
      </c>
      <c r="H7" s="52" t="n">
        <f aca="false">IF($C7="","",SUMIFS(배관기본물량!$AF$7:$AF$126,배관기본물량!$I$7:$I$126,$C7,배관기본물량!$B$7:$B$126,"설치",배관기본물량!$C$7:$C$126,$B7,배관기본물량!$W$7:$W$126,"○"))</f>
        <v>0</v>
      </c>
      <c r="I7" s="114" t="n">
        <f aca="false">IF($C7="","",SUMIFS(배관기본물량!$L$7:$L$126,배관기본물량!$I$7:$I$126,$C7,배관기본물량!$B$7:$B$126,"설치",배관기본물량!$C$7:$C$126,$B7,배관기본물량!$W$7:$W$126,"○",배관기본물량!$AD$7:$AD$126,"TEE"))</f>
        <v>0</v>
      </c>
      <c r="J7" s="114" t="n">
        <f aca="false">IF($C7="","",MAX(0,ROUND((O7-2*P7)/2,0)))</f>
        <v>0</v>
      </c>
      <c r="K7" s="114" t="n">
        <f aca="false">IF($C7="","",SUMIFS(배관기본물량!$L$7:$L$126,배관기본물량!$I$7:$I$126,$C7,배관기본물량!$B$7:$B$126,"설치",배관기본물량!$C$7:$C$126,$B7,배관기본물량!$W$7:$W$126,"○",배관기본물량!$AD$7:$AD$126,"GLOBE"))</f>
        <v>4</v>
      </c>
      <c r="L7" s="114" t="n">
        <f aca="false">IF($C7="","",SUMIFS(배관기본물량!$L$7:$L$126,배관기본물량!$I$7:$I$126,$C7,배관기본물량!$B$7:$B$126,"설치",배관기본물량!$C$7:$C$126,$B7,배관기본물량!$W$7:$W$126,"○",배관기본물량!$AD$7:$AD$126,"GATE"))</f>
        <v>0</v>
      </c>
      <c r="M7" s="114" t="n">
        <f aca="false">IF($C7="","",SUMIFS(배관기본물량!$L$7:$L$126,배관기본물량!$I$7:$I$126,$C7,배관기본물량!$B$7:$B$126,"설치",배관기본물량!$C$7:$C$126,$B7,배관기본물량!$W$7:$W$126,"○",배관기본물량!$AD$7:$AD$126,"BFLY"))</f>
        <v>0</v>
      </c>
      <c r="N7" s="114" t="n">
        <f aca="false">IF($C7="","",IF(N(E7)=0,0,ROUNDUP(E7/IFERROR(INDEX(보온기준!$C$5:$C$22,MATCH($C7,보온기준!$A$5:$A$22,0)),10^9),0)))</f>
        <v>1</v>
      </c>
      <c r="O7" s="114" t="n">
        <f aca="false">IF($C7="","",SUMIFS(배관기본물량!$L$7:$L$126,배관기본물량!$I$7:$I$126,$C7,배관기본물량!$B$7:$B$126,"설치",배관기본물량!$C$7:$C$126,$B7,배관기본물량!$W$7:$W$126,"○",배관기본물량!$AD$7:$AD$126,"FLANGE"))</f>
        <v>6</v>
      </c>
      <c r="P7" s="114" t="n">
        <f aca="false">IF($C7="","",K7+L7+M7)</f>
        <v>4</v>
      </c>
      <c r="Q7" s="114" t="n">
        <f aca="false">IF($C7="","",ROUND((O7-2*P7)/2,0))</f>
        <v>-1</v>
      </c>
      <c r="R7" s="16" t="str">
        <f aca="false">IF($C7="","","P"&amp;$D7&amp;"T"&amp;$C7&amp;"A")</f>
        <v>P50T15A</v>
      </c>
    </row>
    <row r="8" customFormat="false" ht="15" hidden="false" customHeight="true" outlineLevel="0" collapsed="false">
      <c r="A8" s="6" t="n">
        <v>2</v>
      </c>
      <c r="B8" s="20" t="s">
        <v>702</v>
      </c>
      <c r="C8" s="19" t="n">
        <v>50</v>
      </c>
      <c r="D8" s="113" t="n">
        <f aca="false">IF($C8="","",IFERROR(IF($B8="옥내",INDEX(보온기준!$AG$5:$AG$19,MATCH($C8,보온기준!$AE$5:$AE$19,0)),INDEX(보온기준!$AF$5:$AF$19,MATCH($C8,보온기준!$AE$5:$AE$19,0))),""))</f>
        <v>50</v>
      </c>
      <c r="E8" s="8" t="n">
        <f aca="false">IF($C8="","",SUMIFS(배관기본물량!$R$7:$R$126,배관기본물량!$I$7:$I$126,$C8,배관기본물량!$B$7:$B$126,"설치",배관기본물량!$C$7:$C$126,$B8,배관기본물량!$W$7:$W$126,"○",배관기본물량!$AD$7:$AD$126,"PIPE"))</f>
        <v>17.658</v>
      </c>
      <c r="F8" s="114" t="n">
        <f aca="false">IF($C8="","",SUMIFS(배관기본물량!$L$7:$L$126,배관기본물량!$I$7:$I$126,$C8,배관기본물량!$B$7:$B$126,"설치",배관기본물량!$C$7:$C$126,$B8,배관기본물량!$W$7:$W$126,"○",배관기본물량!$AD$7:$AD$126,"90EL"))</f>
        <v>10</v>
      </c>
      <c r="G8" s="114" t="n">
        <f aca="false">IF($C8="","",SUMIFS(배관기본물량!$L$7:$L$126,배관기본물량!$I$7:$I$126,$C8,배관기본물량!$B$7:$B$126,"설치",배관기본물량!$C$7:$C$126,$B8,배관기본물량!$W$7:$W$126,"○",배관기본물량!$AD$7:$AD$126,"45EL"))</f>
        <v>3</v>
      </c>
      <c r="H8" s="52" t="n">
        <f aca="false">IF($C8="","",SUMIFS(배관기본물량!$AF$7:$AF$126,배관기본물량!$I$7:$I$126,$C8,배관기본물량!$B$7:$B$126,"설치",배관기본물량!$C$7:$C$126,$B8,배관기본물량!$W$7:$W$126,"○"))</f>
        <v>0</v>
      </c>
      <c r="I8" s="114" t="n">
        <f aca="false">IF($C8="","",SUMIFS(배관기본물량!$L$7:$L$126,배관기본물량!$I$7:$I$126,$C8,배관기본물량!$B$7:$B$126,"설치",배관기본물량!$C$7:$C$126,$B8,배관기본물량!$W$7:$W$126,"○",배관기본물량!$AD$7:$AD$126,"TEE"))</f>
        <v>0</v>
      </c>
      <c r="J8" s="114" t="n">
        <f aca="false">IF($C8="","",MAX(0,ROUND((O8-2*P8)/2,0)))</f>
        <v>0</v>
      </c>
      <c r="K8" s="114" t="n">
        <f aca="false">IF($C8="","",SUMIFS(배관기본물량!$L$7:$L$126,배관기본물량!$I$7:$I$126,$C8,배관기본물량!$B$7:$B$126,"설치",배관기본물량!$C$7:$C$126,$B8,배관기본물량!$W$7:$W$126,"○",배관기본물량!$AD$7:$AD$126,"GLOBE"))</f>
        <v>0</v>
      </c>
      <c r="L8" s="114" t="n">
        <f aca="false">IF($C8="","",SUMIFS(배관기본물량!$L$7:$L$126,배관기본물량!$I$7:$I$126,$C8,배관기본물량!$B$7:$B$126,"설치",배관기본물량!$C$7:$C$126,$B8,배관기본물량!$W$7:$W$126,"○",배관기본물량!$AD$7:$AD$126,"GATE"))</f>
        <v>3</v>
      </c>
      <c r="M8" s="114" t="n">
        <f aca="false">IF($C8="","",SUMIFS(배관기본물량!$L$7:$L$126,배관기본물량!$I$7:$I$126,$C8,배관기본물량!$B$7:$B$126,"설치",배관기본물량!$C$7:$C$126,$B8,배관기본물량!$W$7:$W$126,"○",배관기본물량!$AD$7:$AD$126,"BFLY"))</f>
        <v>0</v>
      </c>
      <c r="N8" s="114" t="n">
        <f aca="false">IF($C8="","",IF(N(E8)=0,0,ROUNDUP(E8/IFERROR(INDEX(보온기준!$C$5:$C$22,MATCH($C8,보온기준!$A$5:$A$22,0)),10^9),0)))</f>
        <v>4</v>
      </c>
      <c r="O8" s="114" t="n">
        <f aca="false">IF($C8="","",SUMIFS(배관기본물량!$L$7:$L$126,배관기본물량!$I$7:$I$126,$C8,배관기본물량!$B$7:$B$126,"설치",배관기본물량!$C$7:$C$126,$B8,배관기본물량!$W$7:$W$126,"○",배관기본물량!$AD$7:$AD$126,"FLANGE"))</f>
        <v>6</v>
      </c>
      <c r="P8" s="114" t="n">
        <f aca="false">IF($C8="","",K8+L8+M8)</f>
        <v>3</v>
      </c>
      <c r="Q8" s="114" t="n">
        <f aca="false">IF($C8="","",ROUND((O8-2*P8)/2,0))</f>
        <v>0</v>
      </c>
      <c r="R8" s="16" t="str">
        <f aca="false">IF($C8="","","P"&amp;$D8&amp;"T"&amp;$C8&amp;"A")</f>
        <v>P50T50A</v>
      </c>
    </row>
    <row r="9" customFormat="false" ht="15" hidden="false" customHeight="true" outlineLevel="0" collapsed="false">
      <c r="A9" s="6" t="n">
        <v>3</v>
      </c>
      <c r="B9" s="20" t="s">
        <v>702</v>
      </c>
      <c r="C9" s="19" t="n">
        <v>80</v>
      </c>
      <c r="D9" s="113" t="n">
        <f aca="false">IF($C9="","",IFERROR(IF($B9="옥내",INDEX(보온기준!$AG$5:$AG$19,MATCH($C9,보온기준!$AE$5:$AE$19,0)),INDEX(보온기준!$AF$5:$AF$19,MATCH($C9,보온기준!$AE$5:$AE$19,0))),""))</f>
        <v>50</v>
      </c>
      <c r="E9" s="8" t="n">
        <f aca="false">IF($C9="","",SUMIFS(배관기본물량!$R$7:$R$126,배관기본물량!$I$7:$I$126,$C9,배관기본물량!$B$7:$B$126,"설치",배관기본물량!$C$7:$C$126,$B9,배관기본물량!$W$7:$W$126,"○",배관기본물량!$AD$7:$AD$126,"PIPE"))</f>
        <v>6.18</v>
      </c>
      <c r="F9" s="114" t="n">
        <f aca="false">IF($C9="","",SUMIFS(배관기본물량!$L$7:$L$126,배관기본물량!$I$7:$I$126,$C9,배관기본물량!$B$7:$B$126,"설치",배관기본물량!$C$7:$C$126,$B9,배관기본물량!$W$7:$W$126,"○",배관기본물량!$AD$7:$AD$126,"90EL"))</f>
        <v>2</v>
      </c>
      <c r="G9" s="114" t="n">
        <f aca="false">IF($C9="","",SUMIFS(배관기본물량!$L$7:$L$126,배관기본물량!$I$7:$I$126,$C9,배관기본물량!$B$7:$B$126,"설치",배관기본물량!$C$7:$C$126,$B9,배관기본물량!$W$7:$W$126,"○",배관기본물량!$AD$7:$AD$126,"45EL"))</f>
        <v>0</v>
      </c>
      <c r="H9" s="52" t="n">
        <f aca="false">IF($C9="","",SUMIFS(배관기본물량!$AF$7:$AF$126,배관기본물량!$I$7:$I$126,$C9,배관기본물량!$B$7:$B$126,"설치",배관기본물량!$C$7:$C$126,$B9,배관기본물량!$W$7:$W$126,"○"))</f>
        <v>0.104803530923756</v>
      </c>
      <c r="I9" s="114" t="n">
        <f aca="false">IF($C9="","",SUMIFS(배관기본물량!$L$7:$L$126,배관기본물량!$I$7:$I$126,$C9,배관기본물량!$B$7:$B$126,"설치",배관기본물량!$C$7:$C$126,$B9,배관기본물량!$W$7:$W$126,"○",배관기본물량!$AD$7:$AD$126,"TEE"))</f>
        <v>1</v>
      </c>
      <c r="J9" s="114" t="n">
        <f aca="false">IF($C9="","",MAX(0,ROUND((O9-2*P9)/2,0)))</f>
        <v>0</v>
      </c>
      <c r="K9" s="114" t="n">
        <f aca="false">IF($C9="","",SUMIFS(배관기본물량!$L$7:$L$126,배관기본물량!$I$7:$I$126,$C9,배관기본물량!$B$7:$B$126,"설치",배관기본물량!$C$7:$C$126,$B9,배관기본물량!$W$7:$W$126,"○",배관기본물량!$AD$7:$AD$126,"GLOBE"))</f>
        <v>0</v>
      </c>
      <c r="L9" s="114" t="n">
        <f aca="false">IF($C9="","",SUMIFS(배관기본물량!$L$7:$L$126,배관기본물량!$I$7:$I$126,$C9,배관기본물량!$B$7:$B$126,"설치",배관기본물량!$C$7:$C$126,$B9,배관기본물량!$W$7:$W$126,"○",배관기본물량!$AD$7:$AD$126,"GATE"))</f>
        <v>1</v>
      </c>
      <c r="M9" s="114" t="n">
        <f aca="false">IF($C9="","",SUMIFS(배관기본물량!$L$7:$L$126,배관기본물량!$I$7:$I$126,$C9,배관기본물량!$B$7:$B$126,"설치",배관기본물량!$C$7:$C$126,$B9,배관기본물량!$W$7:$W$126,"○",배관기본물량!$AD$7:$AD$126,"BFLY"))</f>
        <v>0</v>
      </c>
      <c r="N9" s="114" t="n">
        <f aca="false">IF($C9="","",IF(N(E9)=0,0,ROUNDUP(E9/IFERROR(INDEX(보온기준!$C$5:$C$22,MATCH($C9,보온기준!$A$5:$A$22,0)),10^9),0)))</f>
        <v>2</v>
      </c>
      <c r="O9" s="114" t="n">
        <f aca="false">IF($C9="","",SUMIFS(배관기본물량!$L$7:$L$126,배관기본물량!$I$7:$I$126,$C9,배관기본물량!$B$7:$B$126,"설치",배관기본물량!$C$7:$C$126,$B9,배관기본물량!$W$7:$W$126,"○",배관기본물량!$AD$7:$AD$126,"FLANGE"))</f>
        <v>1</v>
      </c>
      <c r="P9" s="114" t="n">
        <f aca="false">IF($C9="","",K9+L9+M9)</f>
        <v>1</v>
      </c>
      <c r="Q9" s="114" t="n">
        <f aca="false">IF($C9="","",ROUND((O9-2*P9)/2,0))</f>
        <v>-1</v>
      </c>
      <c r="R9" s="16" t="str">
        <f aca="false">IF($C9="","","P"&amp;$D9&amp;"T"&amp;$C9&amp;"A")</f>
        <v>P50T80A</v>
      </c>
    </row>
    <row r="10" customFormat="false" ht="15" hidden="false" customHeight="true" outlineLevel="0" collapsed="false">
      <c r="A10" s="6" t="n">
        <v>4</v>
      </c>
      <c r="B10" s="20" t="s">
        <v>702</v>
      </c>
      <c r="C10" s="19" t="n">
        <v>150</v>
      </c>
      <c r="D10" s="113" t="n">
        <f aca="false">IF($C10="","",IFERROR(IF($B10="옥내",INDEX(보온기준!$AG$5:$AG$19,MATCH($C10,보온기준!$AE$5:$AE$19,0)),INDEX(보온기준!$AF$5:$AF$19,MATCH($C10,보온기준!$AE$5:$AE$19,0))),""))</f>
        <v>30</v>
      </c>
      <c r="E10" s="8" t="n">
        <f aca="false">IF($C10="","",SUMIFS(배관기본물량!$R$7:$R$126,배관기본물량!$I$7:$I$126,$C10,배관기본물량!$B$7:$B$126,"설치",배관기본물량!$C$7:$C$126,$B10,배관기본물량!$W$7:$W$126,"○",배관기본물량!$AD$7:$AD$126,"PIPE"))</f>
        <v>20.701</v>
      </c>
      <c r="F10" s="114" t="n">
        <f aca="false">IF($C10="","",SUMIFS(배관기본물량!$L$7:$L$126,배관기본물량!$I$7:$I$126,$C10,배관기본물량!$B$7:$B$126,"설치",배관기본물량!$C$7:$C$126,$B10,배관기본물량!$W$7:$W$126,"○",배관기본물량!$AD$7:$AD$126,"90EL"))</f>
        <v>8</v>
      </c>
      <c r="G10" s="114" t="n">
        <f aca="false">IF($C10="","",SUMIFS(배관기본물량!$L$7:$L$126,배관기본물량!$I$7:$I$126,$C10,배관기본물량!$B$7:$B$126,"설치",배관기본물량!$C$7:$C$126,$B10,배관기본물량!$W$7:$W$126,"○",배관기본물량!$AD$7:$AD$126,"45EL"))</f>
        <v>2</v>
      </c>
      <c r="H10" s="52" t="n">
        <f aca="false">IF($C10="","",SUMIFS(배관기본물량!$AF$7:$AF$126,배관기본물량!$I$7:$I$126,$C10,배관기본물량!$B$7:$B$126,"설치",배관기본물량!$C$7:$C$126,$B10,배관기본물량!$W$7:$W$126,"○"))</f>
        <v>0</v>
      </c>
      <c r="I10" s="114" t="n">
        <f aca="false">IF($C10="","",SUMIFS(배관기본물량!$L$7:$L$126,배관기본물량!$I$7:$I$126,$C10,배관기본물량!$B$7:$B$126,"설치",배관기본물량!$C$7:$C$126,$B10,배관기본물량!$W$7:$W$126,"○",배관기본물량!$AD$7:$AD$126,"TEE"))</f>
        <v>0</v>
      </c>
      <c r="J10" s="114" t="n">
        <f aca="false">IF($C10="","",MAX(0,ROUND((O10-2*P10)/2,0)))</f>
        <v>3</v>
      </c>
      <c r="K10" s="114" t="n">
        <f aca="false">IF($C10="","",SUMIFS(배관기본물량!$L$7:$L$126,배관기본물량!$I$7:$I$126,$C10,배관기본물량!$B$7:$B$126,"설치",배관기본물량!$C$7:$C$126,$B10,배관기본물량!$W$7:$W$126,"○",배관기본물량!$AD$7:$AD$126,"GLOBE"))</f>
        <v>0</v>
      </c>
      <c r="L10" s="114" t="n">
        <f aca="false">IF($C10="","",SUMIFS(배관기본물량!$L$7:$L$126,배관기본물량!$I$7:$I$126,$C10,배관기본물량!$B$7:$B$126,"설치",배관기본물량!$C$7:$C$126,$B10,배관기본물량!$W$7:$W$126,"○",배관기본물량!$AD$7:$AD$126,"GATE"))</f>
        <v>2</v>
      </c>
      <c r="M10" s="114" t="n">
        <f aca="false">IF($C10="","",SUMIFS(배관기본물량!$L$7:$L$126,배관기본물량!$I$7:$I$126,$C10,배관기본물량!$B$7:$B$126,"설치",배관기본물량!$C$7:$C$126,$B10,배관기본물량!$W$7:$W$126,"○",배관기본물량!$AD$7:$AD$126,"BFLY"))</f>
        <v>0</v>
      </c>
      <c r="N10" s="114" t="n">
        <f aca="false">IF($C10="","",IF(N(E10)=0,0,ROUNDUP(E10/IFERROR(INDEX(보온기준!$C$5:$C$22,MATCH($C10,보온기준!$A$5:$A$22,0)),10^9),0)))</f>
        <v>3</v>
      </c>
      <c r="O10" s="114" t="n">
        <f aca="false">IF($C10="","",SUMIFS(배관기본물량!$L$7:$L$126,배관기본물량!$I$7:$I$126,$C10,배관기본물량!$B$7:$B$126,"설치",배관기본물량!$C$7:$C$126,$B10,배관기본물량!$W$7:$W$126,"○",배관기본물량!$AD$7:$AD$126,"FLANGE"))</f>
        <v>10</v>
      </c>
      <c r="P10" s="114" t="n">
        <f aca="false">IF($C10="","",K10+L10+M10)</f>
        <v>2</v>
      </c>
      <c r="Q10" s="114" t="n">
        <f aca="false">IF($C10="","",ROUND((O10-2*P10)/2,0))</f>
        <v>3</v>
      </c>
      <c r="R10" s="16" t="str">
        <f aca="false">IF($C10="","","P"&amp;$D10&amp;"T"&amp;$C10&amp;"A")</f>
        <v>P30T150A</v>
      </c>
    </row>
    <row r="11" customFormat="false" ht="15" hidden="false" customHeight="true" outlineLevel="0" collapsed="false">
      <c r="A11" s="6" t="n">
        <v>5</v>
      </c>
      <c r="B11" s="20" t="s">
        <v>702</v>
      </c>
      <c r="C11" s="19" t="n">
        <v>200</v>
      </c>
      <c r="D11" s="113" t="n">
        <f aca="false">IF($C11="","",IFERROR(IF($B11="옥내",INDEX(보온기준!$AG$5:$AG$19,MATCH($C11,보온기준!$AE$5:$AE$19,0)),INDEX(보온기준!$AF$5:$AF$19,MATCH($C11,보온기준!$AE$5:$AE$19,0))),""))</f>
        <v>30</v>
      </c>
      <c r="E11" s="8" t="n">
        <f aca="false">IF($C11="","",SUMIFS(배관기본물량!$R$7:$R$126,배관기본물량!$I$7:$I$126,$C11,배관기본물량!$B$7:$B$126,"설치",배관기본물량!$C$7:$C$126,$B11,배관기본물량!$W$7:$W$126,"○",배관기본물량!$AD$7:$AD$126,"PIPE"))</f>
        <v>9.1142</v>
      </c>
      <c r="F11" s="114" t="n">
        <f aca="false">IF($C11="","",SUMIFS(배관기본물량!$L$7:$L$126,배관기본물량!$I$7:$I$126,$C11,배관기본물량!$B$7:$B$126,"설치",배관기본물량!$C$7:$C$126,$B11,배관기본물량!$W$7:$W$126,"○",배관기본물량!$AD$7:$AD$126,"90EL"))</f>
        <v>2</v>
      </c>
      <c r="G11" s="114" t="n">
        <f aca="false">IF($C11="","",SUMIFS(배관기본물량!$L$7:$L$126,배관기본물량!$I$7:$I$126,$C11,배관기본물량!$B$7:$B$126,"설치",배관기본물량!$C$7:$C$126,$B11,배관기본물량!$W$7:$W$126,"○",배관기본물량!$AD$7:$AD$126,"45EL"))</f>
        <v>0</v>
      </c>
      <c r="H11" s="52" t="n">
        <f aca="false">IF($C11="","",SUMIFS(배관기본물량!$AF$7:$AF$126,배관기본물량!$I$7:$I$126,$C11,배관기본물량!$B$7:$B$126,"설치",배관기본물량!$C$7:$C$126,$B11,배관기본물량!$W$7:$W$126,"○"))</f>
        <v>0.723822947387088</v>
      </c>
      <c r="I11" s="114" t="n">
        <f aca="false">IF($C11="","",SUMIFS(배관기본물량!$L$7:$L$126,배관기본물량!$I$7:$I$126,$C11,배관기본물량!$B$7:$B$126,"설치",배관기본물량!$C$7:$C$126,$B11,배관기본물량!$W$7:$W$126,"○",배관기본물량!$AD$7:$AD$126,"TEE"))</f>
        <v>0</v>
      </c>
      <c r="J11" s="114" t="n">
        <f aca="false">IF($C11="","",MAX(0,ROUND((O11-2*P11)/2,0)))</f>
        <v>1</v>
      </c>
      <c r="K11" s="114" t="n">
        <f aca="false">IF($C11="","",SUMIFS(배관기본물량!$L$7:$L$126,배관기본물량!$I$7:$I$126,$C11,배관기본물량!$B$7:$B$126,"설치",배관기본물량!$C$7:$C$126,$B11,배관기본물량!$W$7:$W$126,"○",배관기본물량!$AD$7:$AD$126,"GLOBE"))</f>
        <v>0</v>
      </c>
      <c r="L11" s="114" t="n">
        <f aca="false">IF($C11="","",SUMIFS(배관기본물량!$L$7:$L$126,배관기본물량!$I$7:$I$126,$C11,배관기본물량!$B$7:$B$126,"설치",배관기본물량!$C$7:$C$126,$B11,배관기본물량!$W$7:$W$126,"○",배관기본물량!$AD$7:$AD$126,"GATE"))</f>
        <v>1</v>
      </c>
      <c r="M11" s="114" t="n">
        <f aca="false">IF($C11="","",SUMIFS(배관기본물량!$L$7:$L$126,배관기본물량!$I$7:$I$126,$C11,배관기본물량!$B$7:$B$126,"설치",배관기본물량!$C$7:$C$126,$B11,배관기본물량!$W$7:$W$126,"○",배관기본물량!$AD$7:$AD$126,"BFLY"))</f>
        <v>0</v>
      </c>
      <c r="N11" s="114" t="n">
        <f aca="false">IF($C11="","",IF(N(E11)=0,0,ROUNDUP(E11/IFERROR(INDEX(보온기준!$C$5:$C$22,MATCH($C11,보온기준!$A$5:$A$22,0)),10^9),0)))</f>
        <v>2</v>
      </c>
      <c r="O11" s="114" t="n">
        <f aca="false">IF($C11="","",SUMIFS(배관기본물량!$L$7:$L$126,배관기본물량!$I$7:$I$126,$C11,배관기본물량!$B$7:$B$126,"설치",배관기본물량!$C$7:$C$126,$B11,배관기본물량!$W$7:$W$126,"○",배관기본물량!$AD$7:$AD$126,"FLANGE"))</f>
        <v>4</v>
      </c>
      <c r="P11" s="114" t="n">
        <f aca="false">IF($C11="","",K11+L11+M11)</f>
        <v>1</v>
      </c>
      <c r="Q11" s="114" t="n">
        <f aca="false">IF($C11="","",ROUND((O11-2*P11)/2,0))</f>
        <v>1</v>
      </c>
      <c r="R11" s="16" t="str">
        <f aca="false">IF($C11="","","P"&amp;$D11&amp;"T"&amp;$C11&amp;"A")</f>
        <v>P30T200A</v>
      </c>
    </row>
    <row r="12" customFormat="false" ht="15" hidden="false" customHeight="true" outlineLevel="0" collapsed="false">
      <c r="A12" s="6" t="n">
        <v>6</v>
      </c>
      <c r="B12" s="20" t="s">
        <v>702</v>
      </c>
      <c r="C12" s="19" t="n">
        <v>250</v>
      </c>
      <c r="D12" s="113" t="n">
        <f aca="false">IF($C12="","",IFERROR(IF($B12="옥내",INDEX(보온기준!$AG$5:$AG$19,MATCH($C12,보온기준!$AE$5:$AE$19,0)),INDEX(보온기준!$AF$5:$AF$19,MATCH($C12,보온기준!$AE$5:$AE$19,0))),""))</f>
        <v>30</v>
      </c>
      <c r="E12" s="8" t="n">
        <f aca="false">IF($C12="","",SUMIFS(배관기본물량!$R$7:$R$126,배관기본물량!$I$7:$I$126,$C12,배관기본물량!$B$7:$B$126,"설치",배관기본물량!$C$7:$C$126,$B12,배관기본물량!$W$7:$W$126,"○",배관기본물량!$AD$7:$AD$126,"PIPE"))</f>
        <v>8.666</v>
      </c>
      <c r="F12" s="114" t="n">
        <f aca="false">IF($C12="","",SUMIFS(배관기본물량!$L$7:$L$126,배관기본물량!$I$7:$I$126,$C12,배관기본물량!$B$7:$B$126,"설치",배관기본물량!$C$7:$C$126,$B12,배관기본물량!$W$7:$W$126,"○",배관기본물량!$AD$7:$AD$126,"90EL"))</f>
        <v>1</v>
      </c>
      <c r="G12" s="114" t="n">
        <f aca="false">IF($C12="","",SUMIFS(배관기본물량!$L$7:$L$126,배관기본물량!$I$7:$I$126,$C12,배관기본물량!$B$7:$B$126,"설치",배관기본물량!$C$7:$C$126,$B12,배관기본물량!$W$7:$W$126,"○",배관기본물량!$AD$7:$AD$126,"45EL"))</f>
        <v>2</v>
      </c>
      <c r="H12" s="52" t="n">
        <f aca="false">IF($C12="","",SUMIFS(배관기본물량!$AF$7:$AF$126,배관기본물량!$I$7:$I$126,$C12,배관기본물량!$B$7:$B$126,"설치",배관기본물량!$C$7:$C$126,$B12,배관기본물량!$W$7:$W$126,"○"))</f>
        <v>1.53152641862502</v>
      </c>
      <c r="I12" s="114" t="n">
        <f aca="false">IF($C12="","",SUMIFS(배관기본물량!$L$7:$L$126,배관기본물량!$I$7:$I$126,$C12,배관기본물량!$B$7:$B$126,"설치",배관기본물량!$C$7:$C$126,$B12,배관기본물량!$W$7:$W$126,"○",배관기본물량!$AD$7:$AD$126,"TEE"))</f>
        <v>0</v>
      </c>
      <c r="J12" s="114" t="n">
        <f aca="false">IF($C12="","",MAX(0,ROUND((O12-2*P12)/2,0)))</f>
        <v>1</v>
      </c>
      <c r="K12" s="114" t="n">
        <f aca="false">IF($C12="","",SUMIFS(배관기본물량!$L$7:$L$126,배관기본물량!$I$7:$I$126,$C12,배관기본물량!$B$7:$B$126,"설치",배관기본물량!$C$7:$C$126,$B12,배관기본물량!$W$7:$W$126,"○",배관기본물량!$AD$7:$AD$126,"GLOBE"))</f>
        <v>0</v>
      </c>
      <c r="L12" s="114" t="n">
        <f aca="false">IF($C12="","",SUMIFS(배관기본물량!$L$7:$L$126,배관기본물량!$I$7:$I$126,$C12,배관기본물량!$B$7:$B$126,"설치",배관기본물량!$C$7:$C$126,$B12,배관기본물량!$W$7:$W$126,"○",배관기본물량!$AD$7:$AD$126,"GATE"))</f>
        <v>0</v>
      </c>
      <c r="M12" s="114" t="n">
        <f aca="false">IF($C12="","",SUMIFS(배관기본물량!$L$7:$L$126,배관기본물량!$I$7:$I$126,$C12,배관기본물량!$B$7:$B$126,"설치",배관기본물량!$C$7:$C$126,$B12,배관기본물량!$W$7:$W$126,"○",배관기본물량!$AD$7:$AD$126,"BFLY"))</f>
        <v>0</v>
      </c>
      <c r="N12" s="114" t="n">
        <f aca="false">IF($C12="","",IF(N(E12)=0,0,ROUNDUP(E12/IFERROR(INDEX(보온기준!$C$5:$C$22,MATCH($C12,보온기준!$A$5:$A$22,0)),10^9),0)))</f>
        <v>1</v>
      </c>
      <c r="O12" s="114" t="n">
        <f aca="false">IF($C12="","",SUMIFS(배관기본물량!$L$7:$L$126,배관기본물량!$I$7:$I$126,$C12,배관기본물량!$B$7:$B$126,"설치",배관기본물량!$C$7:$C$126,$B12,배관기본물량!$W$7:$W$126,"○",배관기본물량!$AD$7:$AD$126,"FLANGE"))</f>
        <v>2</v>
      </c>
      <c r="P12" s="114" t="n">
        <f aca="false">IF($C12="","",K12+L12+M12)</f>
        <v>0</v>
      </c>
      <c r="Q12" s="114" t="n">
        <f aca="false">IF($C12="","",ROUND((O12-2*P12)/2,0))</f>
        <v>1</v>
      </c>
      <c r="R12" s="16" t="str">
        <f aca="false">IF($C12="","","P"&amp;$D12&amp;"T"&amp;$C12&amp;"A")</f>
        <v>P30T250A</v>
      </c>
    </row>
    <row r="13" customFormat="false" ht="15" hidden="false" customHeight="true" outlineLevel="0" collapsed="false">
      <c r="A13" s="6" t="n">
        <v>7</v>
      </c>
      <c r="B13" s="20" t="s">
        <v>702</v>
      </c>
      <c r="C13" s="19" t="n">
        <v>300</v>
      </c>
      <c r="D13" s="113" t="n">
        <f aca="false">IF($C13="","",IFERROR(IF($B13="옥내",INDEX(보온기준!$AG$5:$AG$19,MATCH($C13,보온기준!$AE$5:$AE$19,0)),INDEX(보온기준!$AF$5:$AF$19,MATCH($C13,보온기준!$AE$5:$AE$19,0))),""))</f>
        <v>0</v>
      </c>
      <c r="E13" s="8" t="n">
        <f aca="false">IF($C13="","",SUMIFS(배관기본물량!$R$7:$R$126,배관기본물량!$I$7:$I$126,$C13,배관기본물량!$B$7:$B$126,"설치",배관기본물량!$C$7:$C$126,$B13,배관기본물량!$W$7:$W$126,"○",배관기본물량!$AD$7:$AD$126,"PIPE"))</f>
        <v>0</v>
      </c>
      <c r="F13" s="114" t="n">
        <f aca="false">IF($C13="","",SUMIFS(배관기본물량!$L$7:$L$126,배관기본물량!$I$7:$I$126,$C13,배관기본물량!$B$7:$B$126,"설치",배관기본물량!$C$7:$C$126,$B13,배관기본물량!$W$7:$W$126,"○",배관기본물량!$AD$7:$AD$126,"90EL"))</f>
        <v>0</v>
      </c>
      <c r="G13" s="114" t="n">
        <f aca="false">IF($C13="","",SUMIFS(배관기본물량!$L$7:$L$126,배관기본물량!$I$7:$I$126,$C13,배관기본물량!$B$7:$B$126,"설치",배관기본물량!$C$7:$C$126,$B13,배관기본물량!$W$7:$W$126,"○",배관기본물량!$AD$7:$AD$126,"45EL"))</f>
        <v>0</v>
      </c>
      <c r="H13" s="52" t="n">
        <f aca="false">IF($C13="","",SUMIFS(배관기본물량!$AF$7:$AF$126,배관기본물량!$I$7:$I$126,$C13,배관기본물량!$B$7:$B$126,"설치",배관기본물량!$C$7:$C$126,$B13,배관기본물량!$W$7:$W$126,"○"))</f>
        <v>0</v>
      </c>
      <c r="I13" s="114" t="n">
        <f aca="false">IF($C13="","",SUMIFS(배관기본물량!$L$7:$L$126,배관기본물량!$I$7:$I$126,$C13,배관기본물량!$B$7:$B$126,"설치",배관기본물량!$C$7:$C$126,$B13,배관기본물량!$W$7:$W$126,"○",배관기본물량!$AD$7:$AD$126,"TEE"))</f>
        <v>0</v>
      </c>
      <c r="J13" s="114" t="n">
        <f aca="false">IF($C13="","",MAX(0,ROUND((O13-2*P13)/2,0)))</f>
        <v>0</v>
      </c>
      <c r="K13" s="114" t="n">
        <f aca="false">IF($C13="","",SUMIFS(배관기본물량!$L$7:$L$126,배관기본물량!$I$7:$I$126,$C13,배관기본물량!$B$7:$B$126,"설치",배관기본물량!$C$7:$C$126,$B13,배관기본물량!$W$7:$W$126,"○",배관기본물량!$AD$7:$AD$126,"GLOBE"))</f>
        <v>0</v>
      </c>
      <c r="L13" s="114" t="n">
        <f aca="false">IF($C13="","",SUMIFS(배관기본물량!$L$7:$L$126,배관기본물량!$I$7:$I$126,$C13,배관기본물량!$B$7:$B$126,"설치",배관기본물량!$C$7:$C$126,$B13,배관기본물량!$W$7:$W$126,"○",배관기본물량!$AD$7:$AD$126,"GATE"))</f>
        <v>0</v>
      </c>
      <c r="M13" s="114" t="n">
        <f aca="false">IF($C13="","",SUMIFS(배관기본물량!$L$7:$L$126,배관기본물량!$I$7:$I$126,$C13,배관기본물량!$B$7:$B$126,"설치",배관기본물량!$C$7:$C$126,$B13,배관기본물량!$W$7:$W$126,"○",배관기본물량!$AD$7:$AD$126,"BFLY"))</f>
        <v>0</v>
      </c>
      <c r="N13" s="114" t="n">
        <f aca="false">IF($C13="","",IF(N(E13)=0,0,ROUNDUP(E13/IFERROR(INDEX(보온기준!$C$5:$C$22,MATCH($C13,보온기준!$A$5:$A$22,0)),10^9),0)))</f>
        <v>0</v>
      </c>
      <c r="O13" s="114" t="n">
        <f aca="false">IF($C13="","",SUMIFS(배관기본물량!$L$7:$L$126,배관기본물량!$I$7:$I$126,$C13,배관기본물량!$B$7:$B$126,"설치",배관기본물량!$C$7:$C$126,$B13,배관기본물량!$W$7:$W$126,"○",배관기본물량!$AD$7:$AD$126,"FLANGE"))</f>
        <v>0</v>
      </c>
      <c r="P13" s="114" t="n">
        <f aca="false">IF($C13="","",K13+L13+M13)</f>
        <v>0</v>
      </c>
      <c r="Q13" s="114" t="n">
        <f aca="false">IF($C13="","",ROUND((O13-2*P13)/2,0))</f>
        <v>0</v>
      </c>
      <c r="R13" s="16" t="str">
        <f aca="false">IF($C13="","","P"&amp;$D13&amp;"T"&amp;$C13&amp;"A")</f>
        <v>P0T300A</v>
      </c>
    </row>
    <row r="14" customFormat="false" ht="15" hidden="false" customHeight="true" outlineLevel="0" collapsed="false">
      <c r="A14" s="6"/>
      <c r="B14" s="21"/>
      <c r="C14" s="21"/>
      <c r="D14" s="6" t="str">
        <f aca="false">IF($C14="","",IFERROR(IF($B14="옥내",INDEX(보온기준!$AG$5:$AG$19,MATCH($C14,보온기준!$AE$5:$AE$19,0)),INDEX(보온기준!$AF$5:$AF$19,MATCH($C14,보온기준!$AE$5:$AE$19,0))),""))</f>
        <v/>
      </c>
      <c r="E14" s="8" t="str">
        <f aca="false">IF($C14="","",SUMIFS(배관기본물량!$R$7:$R$126,배관기본물량!$I$7:$I$126,$C14,배관기본물량!$B$7:$B$126,"설치",배관기본물량!$C$7:$C$126,$B14,배관기본물량!$W$7:$W$126,"○",배관기본물량!$AD$7:$AD$126,"PIPE"))</f>
        <v/>
      </c>
      <c r="F14" s="114" t="str">
        <f aca="false">IF($C14="","",SUMIFS(배관기본물량!$L$7:$L$126,배관기본물량!$I$7:$I$126,$C14,배관기본물량!$B$7:$B$126,"설치",배관기본물량!$C$7:$C$126,$B14,배관기본물량!$W$7:$W$126,"○",배관기본물량!$AD$7:$AD$126,"90EL"))</f>
        <v/>
      </c>
      <c r="G14" s="114" t="str">
        <f aca="false">IF($C14="","",SUMIFS(배관기본물량!$L$7:$L$126,배관기본물량!$I$7:$I$126,$C14,배관기본물량!$B$7:$B$126,"설치",배관기본물량!$C$7:$C$126,$B14,배관기본물량!$W$7:$W$126,"○",배관기본물량!$AD$7:$AD$126,"45EL"))</f>
        <v/>
      </c>
      <c r="H14" s="52" t="str">
        <f aca="false">IF($C14="","",SUMIFS(배관기본물량!$AF$7:$AF$126,배관기본물량!$I$7:$I$126,$C14,배관기본물량!$B$7:$B$126,"설치",배관기본물량!$C$7:$C$126,$B14,배관기본물량!$W$7:$W$126,"○"))</f>
        <v/>
      </c>
      <c r="I14" s="114" t="str">
        <f aca="false">IF($C14="","",SUMIFS(배관기본물량!$L$7:$L$126,배관기본물량!$I$7:$I$126,$C14,배관기본물량!$B$7:$B$126,"설치",배관기본물량!$C$7:$C$126,$B14,배관기본물량!$W$7:$W$126,"○",배관기본물량!$AD$7:$AD$126,"TEE"))</f>
        <v/>
      </c>
      <c r="J14" s="114" t="str">
        <f aca="false">IF($C14="","",MAX(0,ROUND((O14-2*P14)/2,0)))</f>
        <v/>
      </c>
      <c r="K14" s="114" t="str">
        <f aca="false">IF($C14="","",SUMIFS(배관기본물량!$L$7:$L$126,배관기본물량!$I$7:$I$126,$C14,배관기본물량!$B$7:$B$126,"설치",배관기본물량!$C$7:$C$126,$B14,배관기본물량!$W$7:$W$126,"○",배관기본물량!$AD$7:$AD$126,"GLOBE"))</f>
        <v/>
      </c>
      <c r="L14" s="114" t="str">
        <f aca="false">IF($C14="","",SUMIFS(배관기본물량!$L$7:$L$126,배관기본물량!$I$7:$I$126,$C14,배관기본물량!$B$7:$B$126,"설치",배관기본물량!$C$7:$C$126,$B14,배관기본물량!$W$7:$W$126,"○",배관기본물량!$AD$7:$AD$126,"GATE"))</f>
        <v/>
      </c>
      <c r="M14" s="114" t="str">
        <f aca="false">IF($C14="","",SUMIFS(배관기본물량!$L$7:$L$126,배관기본물량!$I$7:$I$126,$C14,배관기본물량!$B$7:$B$126,"설치",배관기본물량!$C$7:$C$126,$B14,배관기본물량!$W$7:$W$126,"○",배관기본물량!$AD$7:$AD$126,"BFLY"))</f>
        <v/>
      </c>
      <c r="N14" s="114" t="str">
        <f aca="false">IF($C14="","",IF(N(E14)=0,0,ROUNDUP(E14/IFERROR(INDEX(보온기준!$C$5:$C$22,MATCH($C14,보온기준!$A$5:$A$22,0)),10^9),0)))</f>
        <v/>
      </c>
      <c r="O14" s="114" t="str">
        <f aca="false">IF($C14="","",SUMIFS(배관기본물량!$L$7:$L$126,배관기본물량!$I$7:$I$126,$C14,배관기본물량!$B$7:$B$126,"설치",배관기본물량!$C$7:$C$126,$B14,배관기본물량!$W$7:$W$126,"○",배관기본물량!$AD$7:$AD$126,"FLANGE"))</f>
        <v/>
      </c>
      <c r="P14" s="114" t="str">
        <f aca="false">IF($C14="","",K14+L14+M14)</f>
        <v/>
      </c>
      <c r="Q14" s="114" t="str">
        <f aca="false">IF($C14="","",ROUND((O14-2*P14)/2,0))</f>
        <v/>
      </c>
      <c r="R14" s="16" t="str">
        <f aca="false">IF($C14="","","P"&amp;$D14&amp;"T"&amp;$C14&amp;"A")</f>
        <v/>
      </c>
    </row>
    <row r="15" customFormat="false" ht="15" hidden="false" customHeight="true" outlineLevel="0" collapsed="false">
      <c r="A15" s="6"/>
      <c r="B15" s="21"/>
      <c r="C15" s="21"/>
      <c r="D15" s="6" t="str">
        <f aca="false">IF($C15="","",IFERROR(IF($B15="옥내",INDEX(보온기준!$AG$5:$AG$19,MATCH($C15,보온기준!$AE$5:$AE$19,0)),INDEX(보온기준!$AF$5:$AF$19,MATCH($C15,보온기준!$AE$5:$AE$19,0))),""))</f>
        <v/>
      </c>
      <c r="E15" s="8" t="str">
        <f aca="false">IF($C15="","",SUMIFS(배관기본물량!$R$7:$R$126,배관기본물량!$I$7:$I$126,$C15,배관기본물량!$B$7:$B$126,"설치",배관기본물량!$C$7:$C$126,$B15,배관기본물량!$W$7:$W$126,"○",배관기본물량!$AD$7:$AD$126,"PIPE"))</f>
        <v/>
      </c>
      <c r="F15" s="114" t="str">
        <f aca="false">IF($C15="","",SUMIFS(배관기본물량!$L$7:$L$126,배관기본물량!$I$7:$I$126,$C15,배관기본물량!$B$7:$B$126,"설치",배관기본물량!$C$7:$C$126,$B15,배관기본물량!$W$7:$W$126,"○",배관기본물량!$AD$7:$AD$126,"90EL"))</f>
        <v/>
      </c>
      <c r="G15" s="114" t="str">
        <f aca="false">IF($C15="","",SUMIFS(배관기본물량!$L$7:$L$126,배관기본물량!$I$7:$I$126,$C15,배관기본물량!$B$7:$B$126,"설치",배관기본물량!$C$7:$C$126,$B15,배관기본물량!$W$7:$W$126,"○",배관기본물량!$AD$7:$AD$126,"45EL"))</f>
        <v/>
      </c>
      <c r="H15" s="52" t="str">
        <f aca="false">IF($C15="","",SUMIFS(배관기본물량!$AF$7:$AF$126,배관기본물량!$I$7:$I$126,$C15,배관기본물량!$B$7:$B$126,"설치",배관기본물량!$C$7:$C$126,$B15,배관기본물량!$W$7:$W$126,"○"))</f>
        <v/>
      </c>
      <c r="I15" s="114" t="str">
        <f aca="false">IF($C15="","",SUMIFS(배관기본물량!$L$7:$L$126,배관기본물량!$I$7:$I$126,$C15,배관기본물량!$B$7:$B$126,"설치",배관기본물량!$C$7:$C$126,$B15,배관기본물량!$W$7:$W$126,"○",배관기본물량!$AD$7:$AD$126,"TEE"))</f>
        <v/>
      </c>
      <c r="J15" s="114" t="str">
        <f aca="false">IF($C15="","",MAX(0,ROUND((O15-2*P15)/2,0)))</f>
        <v/>
      </c>
      <c r="K15" s="114" t="str">
        <f aca="false">IF($C15="","",SUMIFS(배관기본물량!$L$7:$L$126,배관기본물량!$I$7:$I$126,$C15,배관기본물량!$B$7:$B$126,"설치",배관기본물량!$C$7:$C$126,$B15,배관기본물량!$W$7:$W$126,"○",배관기본물량!$AD$7:$AD$126,"GLOBE"))</f>
        <v/>
      </c>
      <c r="L15" s="114" t="str">
        <f aca="false">IF($C15="","",SUMIFS(배관기본물량!$L$7:$L$126,배관기본물량!$I$7:$I$126,$C15,배관기본물량!$B$7:$B$126,"설치",배관기본물량!$C$7:$C$126,$B15,배관기본물량!$W$7:$W$126,"○",배관기본물량!$AD$7:$AD$126,"GATE"))</f>
        <v/>
      </c>
      <c r="M15" s="114" t="str">
        <f aca="false">IF($C15="","",SUMIFS(배관기본물량!$L$7:$L$126,배관기본물량!$I$7:$I$126,$C15,배관기본물량!$B$7:$B$126,"설치",배관기본물량!$C$7:$C$126,$B15,배관기본물량!$W$7:$W$126,"○",배관기본물량!$AD$7:$AD$126,"BFLY"))</f>
        <v/>
      </c>
      <c r="N15" s="114" t="str">
        <f aca="false">IF($C15="","",IF(N(E15)=0,0,ROUNDUP(E15/IFERROR(INDEX(보온기준!$C$5:$C$22,MATCH($C15,보온기준!$A$5:$A$22,0)),10^9),0)))</f>
        <v/>
      </c>
      <c r="O15" s="114" t="str">
        <f aca="false">IF($C15="","",SUMIFS(배관기본물량!$L$7:$L$126,배관기본물량!$I$7:$I$126,$C15,배관기본물량!$B$7:$B$126,"설치",배관기본물량!$C$7:$C$126,$B15,배관기본물량!$W$7:$W$126,"○",배관기본물량!$AD$7:$AD$126,"FLANGE"))</f>
        <v/>
      </c>
      <c r="P15" s="114" t="str">
        <f aca="false">IF($C15="","",K15+L15+M15)</f>
        <v/>
      </c>
      <c r="Q15" s="114" t="str">
        <f aca="false">IF($C15="","",ROUND((O15-2*P15)/2,0))</f>
        <v/>
      </c>
      <c r="R15" s="16" t="str">
        <f aca="false">IF($C15="","","P"&amp;$D15&amp;"T"&amp;$C15&amp;"A")</f>
        <v/>
      </c>
    </row>
    <row r="16" customFormat="false" ht="15" hidden="false" customHeight="true" outlineLevel="0" collapsed="false">
      <c r="A16" s="6"/>
      <c r="B16" s="21"/>
      <c r="C16" s="21"/>
      <c r="D16" s="6" t="str">
        <f aca="false">IF($C16="","",IFERROR(IF($B16="옥내",INDEX(보온기준!$AG$5:$AG$19,MATCH($C16,보온기준!$AE$5:$AE$19,0)),INDEX(보온기준!$AF$5:$AF$19,MATCH($C16,보온기준!$AE$5:$AE$19,0))),""))</f>
        <v/>
      </c>
      <c r="E16" s="8" t="str">
        <f aca="false">IF($C16="","",SUMIFS(배관기본물량!$R$7:$R$126,배관기본물량!$I$7:$I$126,$C16,배관기본물량!$B$7:$B$126,"설치",배관기본물량!$C$7:$C$126,$B16,배관기본물량!$W$7:$W$126,"○",배관기본물량!$AD$7:$AD$126,"PIPE"))</f>
        <v/>
      </c>
      <c r="F16" s="114" t="str">
        <f aca="false">IF($C16="","",SUMIFS(배관기본물량!$L$7:$L$126,배관기본물량!$I$7:$I$126,$C16,배관기본물량!$B$7:$B$126,"설치",배관기본물량!$C$7:$C$126,$B16,배관기본물량!$W$7:$W$126,"○",배관기본물량!$AD$7:$AD$126,"90EL"))</f>
        <v/>
      </c>
      <c r="G16" s="114" t="str">
        <f aca="false">IF($C16="","",SUMIFS(배관기본물량!$L$7:$L$126,배관기본물량!$I$7:$I$126,$C16,배관기본물량!$B$7:$B$126,"설치",배관기본물량!$C$7:$C$126,$B16,배관기본물량!$W$7:$W$126,"○",배관기본물량!$AD$7:$AD$126,"45EL"))</f>
        <v/>
      </c>
      <c r="H16" s="52" t="str">
        <f aca="false">IF($C16="","",SUMIFS(배관기본물량!$AF$7:$AF$126,배관기본물량!$I$7:$I$126,$C16,배관기본물량!$B$7:$B$126,"설치",배관기본물량!$C$7:$C$126,$B16,배관기본물량!$W$7:$W$126,"○"))</f>
        <v/>
      </c>
      <c r="I16" s="114" t="str">
        <f aca="false">IF($C16="","",SUMIFS(배관기본물량!$L$7:$L$126,배관기본물량!$I$7:$I$126,$C16,배관기본물량!$B$7:$B$126,"설치",배관기본물량!$C$7:$C$126,$B16,배관기본물량!$W$7:$W$126,"○",배관기본물량!$AD$7:$AD$126,"TEE"))</f>
        <v/>
      </c>
      <c r="J16" s="114" t="str">
        <f aca="false">IF($C16="","",MAX(0,ROUND((O16-2*P16)/2,0)))</f>
        <v/>
      </c>
      <c r="K16" s="114" t="str">
        <f aca="false">IF($C16="","",SUMIFS(배관기본물량!$L$7:$L$126,배관기본물량!$I$7:$I$126,$C16,배관기본물량!$B$7:$B$126,"설치",배관기본물량!$C$7:$C$126,$B16,배관기본물량!$W$7:$W$126,"○",배관기본물량!$AD$7:$AD$126,"GLOBE"))</f>
        <v/>
      </c>
      <c r="L16" s="114" t="str">
        <f aca="false">IF($C16="","",SUMIFS(배관기본물량!$L$7:$L$126,배관기본물량!$I$7:$I$126,$C16,배관기본물량!$B$7:$B$126,"설치",배관기본물량!$C$7:$C$126,$B16,배관기본물량!$W$7:$W$126,"○",배관기본물량!$AD$7:$AD$126,"GATE"))</f>
        <v/>
      </c>
      <c r="M16" s="114" t="str">
        <f aca="false">IF($C16="","",SUMIFS(배관기본물량!$L$7:$L$126,배관기본물량!$I$7:$I$126,$C16,배관기본물량!$B$7:$B$126,"설치",배관기본물량!$C$7:$C$126,$B16,배관기본물량!$W$7:$W$126,"○",배관기본물량!$AD$7:$AD$126,"BFLY"))</f>
        <v/>
      </c>
      <c r="N16" s="114" t="str">
        <f aca="false">IF($C16="","",IF(N(E16)=0,0,ROUNDUP(E16/IFERROR(INDEX(보온기준!$C$5:$C$22,MATCH($C16,보온기준!$A$5:$A$22,0)),10^9),0)))</f>
        <v/>
      </c>
      <c r="O16" s="114" t="str">
        <f aca="false">IF($C16="","",SUMIFS(배관기본물량!$L$7:$L$126,배관기본물량!$I$7:$I$126,$C16,배관기본물량!$B$7:$B$126,"설치",배관기본물량!$C$7:$C$126,$B16,배관기본물량!$W$7:$W$126,"○",배관기본물량!$AD$7:$AD$126,"FLANGE"))</f>
        <v/>
      </c>
      <c r="P16" s="114" t="str">
        <f aca="false">IF($C16="","",K16+L16+M16)</f>
        <v/>
      </c>
      <c r="Q16" s="114" t="str">
        <f aca="false">IF($C16="","",ROUND((O16-2*P16)/2,0))</f>
        <v/>
      </c>
      <c r="R16" s="16" t="str">
        <f aca="false">IF($C16="","","P"&amp;$D16&amp;"T"&amp;$C16&amp;"A")</f>
        <v/>
      </c>
    </row>
    <row r="17" customFormat="false" ht="15" hidden="false" customHeight="true" outlineLevel="0" collapsed="false">
      <c r="A17" s="6"/>
      <c r="B17" s="21"/>
      <c r="C17" s="21"/>
      <c r="D17" s="6" t="str">
        <f aca="false">IF($C17="","",IFERROR(IF($B17="옥내",INDEX(보온기준!$AG$5:$AG$19,MATCH($C17,보온기준!$AE$5:$AE$19,0)),INDEX(보온기준!$AF$5:$AF$19,MATCH($C17,보온기준!$AE$5:$AE$19,0))),""))</f>
        <v/>
      </c>
      <c r="E17" s="8" t="str">
        <f aca="false">IF($C17="","",SUMIFS(배관기본물량!$R$7:$R$126,배관기본물량!$I$7:$I$126,$C17,배관기본물량!$B$7:$B$126,"설치",배관기본물량!$C$7:$C$126,$B17,배관기본물량!$W$7:$W$126,"○",배관기본물량!$AD$7:$AD$126,"PIPE"))</f>
        <v/>
      </c>
      <c r="F17" s="114" t="str">
        <f aca="false">IF($C17="","",SUMIFS(배관기본물량!$L$7:$L$126,배관기본물량!$I$7:$I$126,$C17,배관기본물량!$B$7:$B$126,"설치",배관기본물량!$C$7:$C$126,$B17,배관기본물량!$W$7:$W$126,"○",배관기본물량!$AD$7:$AD$126,"90EL"))</f>
        <v/>
      </c>
      <c r="G17" s="114" t="str">
        <f aca="false">IF($C17="","",SUMIFS(배관기본물량!$L$7:$L$126,배관기본물량!$I$7:$I$126,$C17,배관기본물량!$B$7:$B$126,"설치",배관기본물량!$C$7:$C$126,$B17,배관기본물량!$W$7:$W$126,"○",배관기본물량!$AD$7:$AD$126,"45EL"))</f>
        <v/>
      </c>
      <c r="H17" s="52" t="str">
        <f aca="false">IF($C17="","",SUMIFS(배관기본물량!$AF$7:$AF$126,배관기본물량!$I$7:$I$126,$C17,배관기본물량!$B$7:$B$126,"설치",배관기본물량!$C$7:$C$126,$B17,배관기본물량!$W$7:$W$126,"○"))</f>
        <v/>
      </c>
      <c r="I17" s="114" t="str">
        <f aca="false">IF($C17="","",SUMIFS(배관기본물량!$L$7:$L$126,배관기본물량!$I$7:$I$126,$C17,배관기본물량!$B$7:$B$126,"설치",배관기본물량!$C$7:$C$126,$B17,배관기본물량!$W$7:$W$126,"○",배관기본물량!$AD$7:$AD$126,"TEE"))</f>
        <v/>
      </c>
      <c r="J17" s="114" t="str">
        <f aca="false">IF($C17="","",MAX(0,ROUND((O17-2*P17)/2,0)))</f>
        <v/>
      </c>
      <c r="K17" s="114" t="str">
        <f aca="false">IF($C17="","",SUMIFS(배관기본물량!$L$7:$L$126,배관기본물량!$I$7:$I$126,$C17,배관기본물량!$B$7:$B$126,"설치",배관기본물량!$C$7:$C$126,$B17,배관기본물량!$W$7:$W$126,"○",배관기본물량!$AD$7:$AD$126,"GLOBE"))</f>
        <v/>
      </c>
      <c r="L17" s="114" t="str">
        <f aca="false">IF($C17="","",SUMIFS(배관기본물량!$L$7:$L$126,배관기본물량!$I$7:$I$126,$C17,배관기본물량!$B$7:$B$126,"설치",배관기본물량!$C$7:$C$126,$B17,배관기본물량!$W$7:$W$126,"○",배관기본물량!$AD$7:$AD$126,"GATE"))</f>
        <v/>
      </c>
      <c r="M17" s="114" t="str">
        <f aca="false">IF($C17="","",SUMIFS(배관기본물량!$L$7:$L$126,배관기본물량!$I$7:$I$126,$C17,배관기본물량!$B$7:$B$126,"설치",배관기본물량!$C$7:$C$126,$B17,배관기본물량!$W$7:$W$126,"○",배관기본물량!$AD$7:$AD$126,"BFLY"))</f>
        <v/>
      </c>
      <c r="N17" s="114" t="str">
        <f aca="false">IF($C17="","",IF(N(E17)=0,0,ROUNDUP(E17/IFERROR(INDEX(보온기준!$C$5:$C$22,MATCH($C17,보온기준!$A$5:$A$22,0)),10^9),0)))</f>
        <v/>
      </c>
      <c r="O17" s="114" t="str">
        <f aca="false">IF($C17="","",SUMIFS(배관기본물량!$L$7:$L$126,배관기본물량!$I$7:$I$126,$C17,배관기본물량!$B$7:$B$126,"설치",배관기본물량!$C$7:$C$126,$B17,배관기본물량!$W$7:$W$126,"○",배관기본물량!$AD$7:$AD$126,"FLANGE"))</f>
        <v/>
      </c>
      <c r="P17" s="114" t="str">
        <f aca="false">IF($C17="","",K17+L17+M17)</f>
        <v/>
      </c>
      <c r="Q17" s="114" t="str">
        <f aca="false">IF($C17="","",ROUND((O17-2*P17)/2,0))</f>
        <v/>
      </c>
      <c r="R17" s="16" t="str">
        <f aca="false">IF($C17="","","P"&amp;$D17&amp;"T"&amp;$C17&amp;"A")</f>
        <v/>
      </c>
    </row>
    <row r="18" customFormat="false" ht="15" hidden="false" customHeight="true" outlineLevel="0" collapsed="false">
      <c r="A18" s="6"/>
      <c r="B18" s="21"/>
      <c r="C18" s="21"/>
      <c r="D18" s="6" t="str">
        <f aca="false">IF($C18="","",IFERROR(IF($B18="옥내",INDEX(보온기준!$AG$5:$AG$19,MATCH($C18,보온기준!$AE$5:$AE$19,0)),INDEX(보온기준!$AF$5:$AF$19,MATCH($C18,보온기준!$AE$5:$AE$19,0))),""))</f>
        <v/>
      </c>
      <c r="E18" s="8" t="str">
        <f aca="false">IF($C18="","",SUMIFS(배관기본물량!$R$7:$R$126,배관기본물량!$I$7:$I$126,$C18,배관기본물량!$B$7:$B$126,"설치",배관기본물량!$C$7:$C$126,$B18,배관기본물량!$W$7:$W$126,"○",배관기본물량!$AD$7:$AD$126,"PIPE"))</f>
        <v/>
      </c>
      <c r="F18" s="114" t="str">
        <f aca="false">IF($C18="","",SUMIFS(배관기본물량!$L$7:$L$126,배관기본물량!$I$7:$I$126,$C18,배관기본물량!$B$7:$B$126,"설치",배관기본물량!$C$7:$C$126,$B18,배관기본물량!$W$7:$W$126,"○",배관기본물량!$AD$7:$AD$126,"90EL"))</f>
        <v/>
      </c>
      <c r="G18" s="114" t="str">
        <f aca="false">IF($C18="","",SUMIFS(배관기본물량!$L$7:$L$126,배관기본물량!$I$7:$I$126,$C18,배관기본물량!$B$7:$B$126,"설치",배관기본물량!$C$7:$C$126,$B18,배관기본물량!$W$7:$W$126,"○",배관기본물량!$AD$7:$AD$126,"45EL"))</f>
        <v/>
      </c>
      <c r="H18" s="52" t="str">
        <f aca="false">IF($C18="","",SUMIFS(배관기본물량!$AF$7:$AF$126,배관기본물량!$I$7:$I$126,$C18,배관기본물량!$B$7:$B$126,"설치",배관기본물량!$C$7:$C$126,$B18,배관기본물량!$W$7:$W$126,"○"))</f>
        <v/>
      </c>
      <c r="I18" s="114" t="str">
        <f aca="false">IF($C18="","",SUMIFS(배관기본물량!$L$7:$L$126,배관기본물량!$I$7:$I$126,$C18,배관기본물량!$B$7:$B$126,"설치",배관기본물량!$C$7:$C$126,$B18,배관기본물량!$W$7:$W$126,"○",배관기본물량!$AD$7:$AD$126,"TEE"))</f>
        <v/>
      </c>
      <c r="J18" s="114" t="str">
        <f aca="false">IF($C18="","",MAX(0,ROUND((O18-2*P18)/2,0)))</f>
        <v/>
      </c>
      <c r="K18" s="114" t="str">
        <f aca="false">IF($C18="","",SUMIFS(배관기본물량!$L$7:$L$126,배관기본물량!$I$7:$I$126,$C18,배관기본물량!$B$7:$B$126,"설치",배관기본물량!$C$7:$C$126,$B18,배관기본물량!$W$7:$W$126,"○",배관기본물량!$AD$7:$AD$126,"GLOBE"))</f>
        <v/>
      </c>
      <c r="L18" s="114" t="str">
        <f aca="false">IF($C18="","",SUMIFS(배관기본물량!$L$7:$L$126,배관기본물량!$I$7:$I$126,$C18,배관기본물량!$B$7:$B$126,"설치",배관기본물량!$C$7:$C$126,$B18,배관기본물량!$W$7:$W$126,"○",배관기본물량!$AD$7:$AD$126,"GATE"))</f>
        <v/>
      </c>
      <c r="M18" s="114" t="str">
        <f aca="false">IF($C18="","",SUMIFS(배관기본물량!$L$7:$L$126,배관기본물량!$I$7:$I$126,$C18,배관기본물량!$B$7:$B$126,"설치",배관기본물량!$C$7:$C$126,$B18,배관기본물량!$W$7:$W$126,"○",배관기본물량!$AD$7:$AD$126,"BFLY"))</f>
        <v/>
      </c>
      <c r="N18" s="114" t="str">
        <f aca="false">IF($C18="","",IF(N(E18)=0,0,ROUNDUP(E18/IFERROR(INDEX(보온기준!$C$5:$C$22,MATCH($C18,보온기준!$A$5:$A$22,0)),10^9),0)))</f>
        <v/>
      </c>
      <c r="O18" s="114" t="str">
        <f aca="false">IF($C18="","",SUMIFS(배관기본물량!$L$7:$L$126,배관기본물량!$I$7:$I$126,$C18,배관기본물량!$B$7:$B$126,"설치",배관기본물량!$C$7:$C$126,$B18,배관기본물량!$W$7:$W$126,"○",배관기본물량!$AD$7:$AD$126,"FLANGE"))</f>
        <v/>
      </c>
      <c r="P18" s="114" t="str">
        <f aca="false">IF($C18="","",K18+L18+M18)</f>
        <v/>
      </c>
      <c r="Q18" s="114" t="str">
        <f aca="false">IF($C18="","",ROUND((O18-2*P18)/2,0))</f>
        <v/>
      </c>
      <c r="R18" s="16" t="str">
        <f aca="false">IF($C18="","","P"&amp;$D18&amp;"T"&amp;$C18&amp;"A")</f>
        <v/>
      </c>
    </row>
    <row r="19" customFormat="false" ht="15" hidden="false" customHeight="true" outlineLevel="0" collapsed="false">
      <c r="A19" s="10"/>
      <c r="B19" s="10" t="s">
        <v>221</v>
      </c>
      <c r="C19" s="10"/>
      <c r="D19" s="10"/>
      <c r="E19" s="28" t="n">
        <f aca="false">SUM(E7:E18)</f>
        <v>64.1562</v>
      </c>
      <c r="F19" s="115" t="n">
        <f aca="false">SUM(F7:F18)</f>
        <v>29</v>
      </c>
      <c r="G19" s="115" t="n">
        <f aca="false">SUM(G7:G18)</f>
        <v>7</v>
      </c>
      <c r="H19" s="28" t="n">
        <f aca="false">SUM(H7:H18)</f>
        <v>2.36015289693587</v>
      </c>
      <c r="I19" s="115" t="n">
        <f aca="false">SUM(I7:I18)</f>
        <v>1</v>
      </c>
      <c r="J19" s="115" t="n">
        <f aca="false">SUM(J7:J18)</f>
        <v>5</v>
      </c>
      <c r="K19" s="115" t="n">
        <f aca="false">SUM(K7:K18)</f>
        <v>4</v>
      </c>
      <c r="L19" s="115" t="n">
        <f aca="false">SUM(L7:L18)</f>
        <v>7</v>
      </c>
      <c r="M19" s="115" t="n">
        <f aca="false">SUM(M7:M18)</f>
        <v>0</v>
      </c>
      <c r="N19" s="115" t="n">
        <f aca="false">SUM(N7:N18)</f>
        <v>13</v>
      </c>
      <c r="O19" s="115" t="n">
        <f aca="false">SUM(O7:O18)</f>
        <v>29</v>
      </c>
      <c r="P19" s="115" t="n">
        <f aca="false">SUM(P7:P18)</f>
        <v>11</v>
      </c>
      <c r="Q19" s="115" t="n">
        <f aca="false">SUM(Q7:Q18)</f>
        <v>3</v>
      </c>
      <c r="R19" s="10"/>
    </row>
    <row r="20" customFormat="false" ht="15" hidden="false" customHeight="true" outlineLevel="0" collapsed="false">
      <c r="A20" s="29" t="s">
        <v>1326</v>
      </c>
    </row>
    <row r="21" customFormat="false" ht="15" hidden="false" customHeight="true" outlineLevel="0" collapsed="false">
      <c r="A21" s="3" t="s">
        <v>1327</v>
      </c>
    </row>
    <row r="23" customFormat="false" ht="15" hidden="false" customHeight="true" outlineLevel="0" collapsed="false">
      <c r="A23" s="50" t="s">
        <v>1328</v>
      </c>
    </row>
    <row r="25" customFormat="false" ht="43.5" hidden="false" customHeight="true" outlineLevel="0" collapsed="false">
      <c r="A25" s="4" t="s">
        <v>1329</v>
      </c>
      <c r="B25" s="4" t="s">
        <v>1310</v>
      </c>
      <c r="C25" s="4" t="s">
        <v>680</v>
      </c>
      <c r="D25" s="4" t="s">
        <v>1330</v>
      </c>
      <c r="E25" s="4" t="s">
        <v>1331</v>
      </c>
      <c r="F25" s="4" t="s">
        <v>1332</v>
      </c>
      <c r="G25" s="31" t="s">
        <v>1333</v>
      </c>
      <c r="H25" s="4" t="s">
        <v>1334</v>
      </c>
      <c r="I25" s="31" t="s">
        <v>1335</v>
      </c>
      <c r="J25" s="31" t="s">
        <v>1336</v>
      </c>
      <c r="K25" s="31" t="s">
        <v>1337</v>
      </c>
      <c r="L25" s="4" t="s">
        <v>1338</v>
      </c>
      <c r="M25" s="31" t="s">
        <v>1339</v>
      </c>
      <c r="N25" s="31" t="s">
        <v>1340</v>
      </c>
      <c r="O25" s="31" t="s">
        <v>1341</v>
      </c>
      <c r="P25" s="31" t="s">
        <v>1342</v>
      </c>
      <c r="Q25" s="4" t="s">
        <v>1343</v>
      </c>
      <c r="R25" s="31" t="s">
        <v>1344</v>
      </c>
      <c r="S25" s="31" t="s">
        <v>1345</v>
      </c>
    </row>
    <row r="26" customFormat="false" ht="15" hidden="false" customHeight="true" outlineLevel="0" collapsed="false">
      <c r="A26" s="6" t="s">
        <v>1346</v>
      </c>
      <c r="B26" s="6" t="str">
        <f aca="false">IF($C7="","",$B7)</f>
        <v>옥외</v>
      </c>
      <c r="C26" s="6" t="n">
        <f aca="false">IF($C7="","",$C7)</f>
        <v>15</v>
      </c>
      <c r="D26" s="113" t="n">
        <f aca="false">IF($C7="","",$D7)</f>
        <v>50</v>
      </c>
      <c r="E26" s="114" t="n">
        <f aca="false">IF($C7="","",J7)</f>
        <v>0</v>
      </c>
      <c r="F26" s="76" t="str">
        <f aca="false">IF(OR(C26="",N(E26)=0),"",C26&amp;"|"&amp;IF(AND(N(C26)&gt;=150,N(D26)&lt;40),40,D26))</f>
        <v/>
      </c>
      <c r="G26" s="36" t="str">
        <f aca="false">IF(F26="","",IFERROR(INDEX(보온기준!$M$5:$M$46,MATCH($F26,보온기준!$L$5:$L$46,0)),"DB확인"))</f>
        <v/>
      </c>
      <c r="H26" s="36" t="str">
        <f aca="false">IF(F26="","",IFERROR(INDEX(보온기준!$N$5:$N$46,MATCH($F26,보온기준!$L$5:$L$46,0)),"DB확인"))</f>
        <v/>
      </c>
      <c r="I26" s="38" t="str">
        <f aca="false">IF(F26="","",IFERROR(INDEX(보온기준!$O$5:$O$46,MATCH($F26,보온기준!$L$5:$L$46,0)),"DB확인"))</f>
        <v/>
      </c>
      <c r="J26" s="38" t="str">
        <f aca="false">IF(F26="","",IFERROR(INDEX(보온기준!$P$5:$P$46,MATCH($F26,보온기준!$L$5:$L$46,0)),"DB확인"))</f>
        <v/>
      </c>
      <c r="K26" s="37"/>
      <c r="L26" s="37" t="str">
        <f aca="false">IF(F26="","",IFERROR(ROUND(2*PI()*(INDEX(배관기준!$B$5:$B$39,MATCH(C26,배관기준!$A$5:$A$39,0))+2*D26)/1000+보온기준!$F$17,2),"확인"))</f>
        <v/>
      </c>
      <c r="M26" s="41" t="str">
        <f aca="false">IF(F26="","",E26*N(G26)/1000)</f>
        <v/>
      </c>
      <c r="N26" s="52" t="str">
        <f aca="false">IF(F26="","",E26*N(I26))</f>
        <v/>
      </c>
      <c r="O26" s="41" t="str">
        <f aca="false">IF(F26="","",E26*N(J26))</f>
        <v/>
      </c>
      <c r="P26" s="41" t="str">
        <f aca="false">IF(F26="","",0)</f>
        <v/>
      </c>
      <c r="Q26" s="41" t="str">
        <f aca="false">IF(F26="","",E26*N(L26))</f>
        <v/>
      </c>
      <c r="R26" s="16" t="str">
        <f aca="false">IF(F26="","",IF(ISNUMBER(H26),H26&amp;"A x 50T",""))</f>
        <v/>
      </c>
      <c r="S26" s="114" t="str">
        <f aca="false">IF(F26="","",ROUNDUP(M26,0))</f>
        <v/>
      </c>
    </row>
    <row r="27" customFormat="false" ht="15" hidden="false" customHeight="true" outlineLevel="0" collapsed="false">
      <c r="A27" s="6" t="s">
        <v>1346</v>
      </c>
      <c r="B27" s="6" t="str">
        <f aca="false">IF($C8="","",$B8)</f>
        <v>옥외</v>
      </c>
      <c r="C27" s="6" t="n">
        <f aca="false">IF($C8="","",$C8)</f>
        <v>50</v>
      </c>
      <c r="D27" s="113" t="n">
        <f aca="false">IF($C8="","",$D8)</f>
        <v>50</v>
      </c>
      <c r="E27" s="114" t="n">
        <f aca="false">IF($C8="","",J8)</f>
        <v>0</v>
      </c>
      <c r="F27" s="76" t="str">
        <f aca="false">IF(OR(C27="",N(E27)=0),"",C27&amp;"|"&amp;IF(AND(N(C27)&gt;=150,N(D27)&lt;40),40,D27))</f>
        <v/>
      </c>
      <c r="G27" s="36" t="str">
        <f aca="false">IF(F27="","",IFERROR(INDEX(보온기준!$M$5:$M$46,MATCH($F27,보온기준!$L$5:$L$46,0)),"DB확인"))</f>
        <v/>
      </c>
      <c r="H27" s="36" t="str">
        <f aca="false">IF(F27="","",IFERROR(INDEX(보온기준!$N$5:$N$46,MATCH($F27,보온기준!$L$5:$L$46,0)),"DB확인"))</f>
        <v/>
      </c>
      <c r="I27" s="38" t="str">
        <f aca="false">IF(F27="","",IFERROR(INDEX(보온기준!$O$5:$O$46,MATCH($F27,보온기준!$L$5:$L$46,0)),"DB확인"))</f>
        <v/>
      </c>
      <c r="J27" s="38" t="str">
        <f aca="false">IF(F27="","",IFERROR(INDEX(보온기준!$P$5:$P$46,MATCH($F27,보온기준!$L$5:$L$46,0)),"DB확인"))</f>
        <v/>
      </c>
      <c r="K27" s="37"/>
      <c r="L27" s="37" t="str">
        <f aca="false">IF(F27="","",IFERROR(ROUND(2*PI()*(INDEX(배관기준!$B$5:$B$39,MATCH(C27,배관기준!$A$5:$A$39,0))+2*D27)/1000+보온기준!$F$17,2),"확인"))</f>
        <v/>
      </c>
      <c r="M27" s="41" t="str">
        <f aca="false">IF(F27="","",E27*N(G27)/1000)</f>
        <v/>
      </c>
      <c r="N27" s="52" t="str">
        <f aca="false">IF(F27="","",E27*N(I27))</f>
        <v/>
      </c>
      <c r="O27" s="41" t="str">
        <f aca="false">IF(F27="","",E27*N(J27))</f>
        <v/>
      </c>
      <c r="P27" s="41" t="str">
        <f aca="false">IF(F27="","",0)</f>
        <v/>
      </c>
      <c r="Q27" s="41" t="str">
        <f aca="false">IF(F27="","",E27*N(L27))</f>
        <v/>
      </c>
      <c r="R27" s="16" t="str">
        <f aca="false">IF(F27="","",IF(ISNUMBER(H27),H27&amp;"A x 50T",""))</f>
        <v/>
      </c>
      <c r="S27" s="114" t="str">
        <f aca="false">IF(F27="","",ROUNDUP(M27,0))</f>
        <v/>
      </c>
    </row>
    <row r="28" customFormat="false" ht="15" hidden="false" customHeight="true" outlineLevel="0" collapsed="false">
      <c r="A28" s="6" t="s">
        <v>1346</v>
      </c>
      <c r="B28" s="6" t="str">
        <f aca="false">IF($C9="","",$B9)</f>
        <v>옥외</v>
      </c>
      <c r="C28" s="6" t="n">
        <f aca="false">IF($C9="","",$C9)</f>
        <v>80</v>
      </c>
      <c r="D28" s="113" t="n">
        <f aca="false">IF($C9="","",$D9)</f>
        <v>50</v>
      </c>
      <c r="E28" s="114" t="n">
        <f aca="false">IF($C9="","",J9)</f>
        <v>0</v>
      </c>
      <c r="F28" s="76" t="str">
        <f aca="false">IF(OR(C28="",N(E28)=0),"",C28&amp;"|"&amp;IF(AND(N(C28)&gt;=150,N(D28)&lt;40),40,D28))</f>
        <v/>
      </c>
      <c r="G28" s="36" t="str">
        <f aca="false">IF(F28="","",IFERROR(INDEX(보온기준!$M$5:$M$46,MATCH($F28,보온기준!$L$5:$L$46,0)),"DB확인"))</f>
        <v/>
      </c>
      <c r="H28" s="36" t="str">
        <f aca="false">IF(F28="","",IFERROR(INDEX(보온기준!$N$5:$N$46,MATCH($F28,보온기준!$L$5:$L$46,0)),"DB확인"))</f>
        <v/>
      </c>
      <c r="I28" s="38" t="str">
        <f aca="false">IF(F28="","",IFERROR(INDEX(보온기준!$O$5:$O$46,MATCH($F28,보온기준!$L$5:$L$46,0)),"DB확인"))</f>
        <v/>
      </c>
      <c r="J28" s="38" t="str">
        <f aca="false">IF(F28="","",IFERROR(INDEX(보온기준!$P$5:$P$46,MATCH($F28,보온기준!$L$5:$L$46,0)),"DB확인"))</f>
        <v/>
      </c>
      <c r="K28" s="37"/>
      <c r="L28" s="37" t="str">
        <f aca="false">IF(F28="","",IFERROR(ROUND(2*PI()*(INDEX(배관기준!$B$5:$B$39,MATCH(C28,배관기준!$A$5:$A$39,0))+2*D28)/1000+보온기준!$F$17,2),"확인"))</f>
        <v/>
      </c>
      <c r="M28" s="41" t="str">
        <f aca="false">IF(F28="","",E28*N(G28)/1000)</f>
        <v/>
      </c>
      <c r="N28" s="52" t="str">
        <f aca="false">IF(F28="","",E28*N(I28))</f>
        <v/>
      </c>
      <c r="O28" s="41" t="str">
        <f aca="false">IF(F28="","",E28*N(J28))</f>
        <v/>
      </c>
      <c r="P28" s="41" t="str">
        <f aca="false">IF(F28="","",0)</f>
        <v/>
      </c>
      <c r="Q28" s="41" t="str">
        <f aca="false">IF(F28="","",E28*N(L28))</f>
        <v/>
      </c>
      <c r="R28" s="16" t="str">
        <f aca="false">IF(F28="","",IF(ISNUMBER(H28),H28&amp;"A x 50T",""))</f>
        <v/>
      </c>
      <c r="S28" s="114" t="str">
        <f aca="false">IF(F28="","",ROUNDUP(M28,0))</f>
        <v/>
      </c>
    </row>
    <row r="29" customFormat="false" ht="15" hidden="false" customHeight="true" outlineLevel="0" collapsed="false">
      <c r="A29" s="6" t="s">
        <v>1346</v>
      </c>
      <c r="B29" s="6" t="str">
        <f aca="false">IF($C10="","",$B10)</f>
        <v>옥외</v>
      </c>
      <c r="C29" s="6" t="n">
        <f aca="false">IF($C10="","",$C10)</f>
        <v>150</v>
      </c>
      <c r="D29" s="113" t="n">
        <f aca="false">IF($C10="","",$D10)</f>
        <v>30</v>
      </c>
      <c r="E29" s="114" t="n">
        <f aca="false">IF($C10="","",J10)</f>
        <v>3</v>
      </c>
      <c r="F29" s="76" t="str">
        <f aca="false">IF(OR(C29="",N(E29)=0),"",C29&amp;"|"&amp;IF(AND(N(C29)&gt;=150,N(D29)&lt;40),40,D29))</f>
        <v>150|40</v>
      </c>
      <c r="G29" s="36" t="n">
        <f aca="false">IF(F29="","",IFERROR(INDEX(보온기준!$M$5:$M$46,MATCH($F29,보온기준!$L$5:$L$46,0)),"DB확인"))</f>
        <v>350</v>
      </c>
      <c r="H29" s="36" t="n">
        <f aca="false">IF(F29="","",IFERROR(INDEX(보온기준!$N$5:$N$46,MATCH($F29,보온기준!$L$5:$L$46,0)),"DB확인"))</f>
        <v>225</v>
      </c>
      <c r="I29" s="38" t="n">
        <f aca="false">IF(F29="","",IFERROR(INDEX(보온기준!$O$5:$O$46,MATCH($F29,보온기준!$L$5:$L$46,0)),"DB확인"))</f>
        <v>0.005</v>
      </c>
      <c r="J29" s="38" t="n">
        <f aca="false">IF(F29="","",IFERROR(INDEX(보온기준!$P$5:$P$46,MATCH($F29,보온기준!$L$5:$L$46,0)),"DB확인"))</f>
        <v>0.62</v>
      </c>
      <c r="K29" s="37"/>
      <c r="L29" s="37" t="n">
        <f aca="false">IF(F29="","",IFERROR(ROUND(2*PI()*(INDEX(배관기준!$B$5:$B$39,MATCH(C29,배관기준!$A$5:$A$39,0))+2*D29)/1000+보온기준!$F$17,2),"확인"))</f>
        <v>2.24</v>
      </c>
      <c r="M29" s="41" t="n">
        <f aca="false">IF(F29="","",E29*N(G29)/1000)</f>
        <v>1.05</v>
      </c>
      <c r="N29" s="52" t="n">
        <f aca="false">IF(F29="","",E29*N(I29))</f>
        <v>0.015</v>
      </c>
      <c r="O29" s="41" t="n">
        <f aca="false">IF(F29="","",E29*N(J29))</f>
        <v>1.86</v>
      </c>
      <c r="P29" s="41" t="n">
        <f aca="false">IF(F29="","",0)</f>
        <v>0</v>
      </c>
      <c r="Q29" s="41" t="n">
        <f aca="false">IF(F29="","",E29*N(L29))</f>
        <v>6.72</v>
      </c>
      <c r="R29" s="16" t="str">
        <f aca="false">IF(F29="","",IF(ISNUMBER(H29),H29&amp;"A x 50T",""))</f>
        <v>225A x 50T</v>
      </c>
      <c r="S29" s="114" t="n">
        <f aca="false">IF(F29="","",ROUNDUP(M29,0))</f>
        <v>2</v>
      </c>
    </row>
    <row r="30" customFormat="false" ht="15" hidden="false" customHeight="true" outlineLevel="0" collapsed="false">
      <c r="A30" s="6" t="s">
        <v>1346</v>
      </c>
      <c r="B30" s="6" t="str">
        <f aca="false">IF($C11="","",$B11)</f>
        <v>옥외</v>
      </c>
      <c r="C30" s="6" t="n">
        <f aca="false">IF($C11="","",$C11)</f>
        <v>200</v>
      </c>
      <c r="D30" s="113" t="n">
        <f aca="false">IF($C11="","",$D11)</f>
        <v>30</v>
      </c>
      <c r="E30" s="114" t="n">
        <f aca="false">IF($C11="","",J11)</f>
        <v>1</v>
      </c>
      <c r="F30" s="76" t="str">
        <f aca="false">IF(OR(C30="",N(E30)=0),"",C30&amp;"|"&amp;IF(AND(N(C30)&gt;=150,N(D30)&lt;40),40,D30))</f>
        <v>200|40</v>
      </c>
      <c r="G30" s="36" t="n">
        <f aca="false">IF(F30="","",IFERROR(INDEX(보온기준!$M$5:$M$46,MATCH($F30,보온기준!$L$5:$L$46,0)),"DB확인"))</f>
        <v>400</v>
      </c>
      <c r="H30" s="36" t="n">
        <f aca="false">IF(F30="","",IFERROR(INDEX(보온기준!$N$5:$N$46,MATCH($F30,보온기준!$L$5:$L$46,0)),"DB확인"))</f>
        <v>300</v>
      </c>
      <c r="I30" s="38" t="n">
        <f aca="false">IF(F30="","",IFERROR(INDEX(보온기준!$O$5:$O$46,MATCH($F30,보온기준!$L$5:$L$46,0)),"DB확인"))</f>
        <v>0.008</v>
      </c>
      <c r="J30" s="38" t="n">
        <f aca="false">IF(F30="","",IFERROR(INDEX(보온기준!$P$5:$P$46,MATCH($F30,보온기준!$L$5:$L$46,0)),"DB확인"))</f>
        <v>0.77</v>
      </c>
      <c r="K30" s="37"/>
      <c r="L30" s="37" t="n">
        <f aca="false">IF(F30="","",IFERROR(ROUND(2*PI()*(INDEX(배관기준!$B$5:$B$39,MATCH(C30,배관기준!$A$5:$A$39,0))+2*D30)/1000+보온기준!$F$17,2),"확인"))</f>
        <v>2.57</v>
      </c>
      <c r="M30" s="41" t="n">
        <f aca="false">IF(F30="","",E30*N(G30)/1000)</f>
        <v>0.4</v>
      </c>
      <c r="N30" s="52" t="n">
        <f aca="false">IF(F30="","",E30*N(I30))</f>
        <v>0.008</v>
      </c>
      <c r="O30" s="41" t="n">
        <f aca="false">IF(F30="","",E30*N(J30))</f>
        <v>0.77</v>
      </c>
      <c r="P30" s="41" t="n">
        <f aca="false">IF(F30="","",0)</f>
        <v>0</v>
      </c>
      <c r="Q30" s="41" t="n">
        <f aca="false">IF(F30="","",E30*N(L30))</f>
        <v>2.57</v>
      </c>
      <c r="R30" s="16" t="str">
        <f aca="false">IF(F30="","",IF(ISNUMBER(H30),H30&amp;"A x 50T",""))</f>
        <v>300A x 50T</v>
      </c>
      <c r="S30" s="114" t="n">
        <f aca="false">IF(F30="","",ROUNDUP(M30,0))</f>
        <v>1</v>
      </c>
    </row>
    <row r="31" customFormat="false" ht="15" hidden="false" customHeight="true" outlineLevel="0" collapsed="false">
      <c r="A31" s="6" t="s">
        <v>1346</v>
      </c>
      <c r="B31" s="6" t="str">
        <f aca="false">IF($C12="","",$B12)</f>
        <v>옥외</v>
      </c>
      <c r="C31" s="6" t="n">
        <f aca="false">IF($C12="","",$C12)</f>
        <v>250</v>
      </c>
      <c r="D31" s="113" t="n">
        <f aca="false">IF($C12="","",$D12)</f>
        <v>30</v>
      </c>
      <c r="E31" s="114" t="n">
        <f aca="false">IF($C12="","",J12)</f>
        <v>1</v>
      </c>
      <c r="F31" s="76" t="str">
        <f aca="false">IF(OR(C31="",N(E31)=0),"",C31&amp;"|"&amp;IF(AND(N(C31)&gt;=150,N(D31)&lt;40),40,D31))</f>
        <v>250|40</v>
      </c>
      <c r="G31" s="36" t="n">
        <f aca="false">IF(F31="","",IFERROR(INDEX(보온기준!$M$5:$M$46,MATCH($F31,보온기준!$L$5:$L$46,0)),"DB확인"))</f>
        <v>400</v>
      </c>
      <c r="H31" s="36" t="n">
        <f aca="false">IF(F31="","",IFERROR(INDEX(보온기준!$N$5:$N$46,MATCH($F31,보온기준!$L$5:$L$46,0)),"DB확인"))</f>
        <v>350</v>
      </c>
      <c r="I31" s="38" t="n">
        <f aca="false">IF(F31="","",IFERROR(INDEX(보온기준!$O$5:$O$46,MATCH($F31,보온기준!$L$5:$L$46,0)),"DB확인"))</f>
        <v>0.008</v>
      </c>
      <c r="J31" s="38" t="n">
        <f aca="false">IF(F31="","",IFERROR(INDEX(보온기준!$P$5:$P$46,MATCH($F31,보온기준!$L$5:$L$46,0)),"DB확인"))</f>
        <v>0.86</v>
      </c>
      <c r="K31" s="37"/>
      <c r="L31" s="37" t="n">
        <f aca="false">IF(F31="","",IFERROR(ROUND(2*PI()*(INDEX(배관기준!$B$5:$B$39,MATCH(C31,배관기준!$A$5:$A$39,0))+2*D31)/1000+보온기준!$F$17,2),"확인"))</f>
        <v>2.89</v>
      </c>
      <c r="M31" s="41" t="n">
        <f aca="false">IF(F31="","",E31*N(G31)/1000)</f>
        <v>0.4</v>
      </c>
      <c r="N31" s="52" t="n">
        <f aca="false">IF(F31="","",E31*N(I31))</f>
        <v>0.008</v>
      </c>
      <c r="O31" s="41" t="n">
        <f aca="false">IF(F31="","",E31*N(J31))</f>
        <v>0.86</v>
      </c>
      <c r="P31" s="41" t="n">
        <f aca="false">IF(F31="","",0)</f>
        <v>0</v>
      </c>
      <c r="Q31" s="41" t="n">
        <f aca="false">IF(F31="","",E31*N(L31))</f>
        <v>2.89</v>
      </c>
      <c r="R31" s="16" t="str">
        <f aca="false">IF(F31="","",IF(ISNUMBER(H31),H31&amp;"A x 50T",""))</f>
        <v>350A x 50T</v>
      </c>
      <c r="S31" s="114" t="n">
        <f aca="false">IF(F31="","",ROUNDUP(M31,0))</f>
        <v>1</v>
      </c>
    </row>
    <row r="32" customFormat="false" ht="15" hidden="false" customHeight="true" outlineLevel="0" collapsed="false">
      <c r="A32" s="6" t="s">
        <v>1346</v>
      </c>
      <c r="B32" s="6" t="str">
        <f aca="false">IF($C13="","",$B13)</f>
        <v>옥외</v>
      </c>
      <c r="C32" s="6" t="n">
        <f aca="false">IF($C13="","",$C13)</f>
        <v>300</v>
      </c>
      <c r="D32" s="113" t="n">
        <f aca="false">IF($C13="","",$D13)</f>
        <v>0</v>
      </c>
      <c r="E32" s="114" t="n">
        <f aca="false">IF($C13="","",J13)</f>
        <v>0</v>
      </c>
      <c r="F32" s="76" t="str">
        <f aca="false">IF(OR(C32="",N(E32)=0),"",C32&amp;"|"&amp;IF(AND(N(C32)&gt;=150,N(D32)&lt;40),40,D32))</f>
        <v/>
      </c>
      <c r="G32" s="36" t="str">
        <f aca="false">IF(F32="","",IFERROR(INDEX(보온기준!$M$5:$M$46,MATCH($F32,보온기준!$L$5:$L$46,0)),"DB확인"))</f>
        <v/>
      </c>
      <c r="H32" s="36" t="str">
        <f aca="false">IF(F32="","",IFERROR(INDEX(보온기준!$N$5:$N$46,MATCH($F32,보온기준!$L$5:$L$46,0)),"DB확인"))</f>
        <v/>
      </c>
      <c r="I32" s="38" t="str">
        <f aca="false">IF(F32="","",IFERROR(INDEX(보온기준!$O$5:$O$46,MATCH($F32,보온기준!$L$5:$L$46,0)),"DB확인"))</f>
        <v/>
      </c>
      <c r="J32" s="38" t="str">
        <f aca="false">IF(F32="","",IFERROR(INDEX(보온기준!$P$5:$P$46,MATCH($F32,보온기준!$L$5:$L$46,0)),"DB확인"))</f>
        <v/>
      </c>
      <c r="K32" s="37"/>
      <c r="L32" s="37" t="str">
        <f aca="false">IF(F32="","",IFERROR(ROUND(2*PI()*(INDEX(배관기준!$B$5:$B$39,MATCH(C32,배관기준!$A$5:$A$39,0))+2*D32)/1000+보온기준!$F$17,2),"확인"))</f>
        <v/>
      </c>
      <c r="M32" s="41" t="str">
        <f aca="false">IF(F32="","",E32*N(G32)/1000)</f>
        <v/>
      </c>
      <c r="N32" s="52" t="str">
        <f aca="false">IF(F32="","",E32*N(I32))</f>
        <v/>
      </c>
      <c r="O32" s="41" t="str">
        <f aca="false">IF(F32="","",E32*N(J32))</f>
        <v/>
      </c>
      <c r="P32" s="41" t="str">
        <f aca="false">IF(F32="","",0)</f>
        <v/>
      </c>
      <c r="Q32" s="41" t="str">
        <f aca="false">IF(F32="","",E32*N(L32))</f>
        <v/>
      </c>
      <c r="R32" s="16" t="str">
        <f aca="false">IF(F32="","",IF(ISNUMBER(H32),H32&amp;"A x 50T",""))</f>
        <v/>
      </c>
      <c r="S32" s="114" t="str">
        <f aca="false">IF(F32="","",ROUNDUP(M32,0))</f>
        <v/>
      </c>
    </row>
    <row r="33" customFormat="false" ht="15" hidden="false" customHeight="true" outlineLevel="0" collapsed="false">
      <c r="A33" s="6" t="s">
        <v>1346</v>
      </c>
      <c r="B33" s="6" t="str">
        <f aca="false">IF($C14="","",$B14)</f>
        <v/>
      </c>
      <c r="C33" s="6" t="str">
        <f aca="false">IF($C14="","",$C14)</f>
        <v/>
      </c>
      <c r="D33" s="6" t="str">
        <f aca="false">IF($C14="","",$D14)</f>
        <v/>
      </c>
      <c r="E33" s="114" t="str">
        <f aca="false">IF($C14="","",J14)</f>
        <v/>
      </c>
      <c r="F33" s="76" t="str">
        <f aca="false">IF(OR(C33="",N(E33)=0),"",C33&amp;"|"&amp;IF(AND(N(C33)&gt;=150,N(D33)&lt;40),40,D33))</f>
        <v/>
      </c>
      <c r="G33" s="36" t="str">
        <f aca="false">IF(F33="","",IFERROR(INDEX(보온기준!$M$5:$M$46,MATCH($F33,보온기준!$L$5:$L$46,0)),"DB확인"))</f>
        <v/>
      </c>
      <c r="H33" s="36" t="str">
        <f aca="false">IF(F33="","",IFERROR(INDEX(보온기준!$N$5:$N$46,MATCH($F33,보온기준!$L$5:$L$46,0)),"DB확인"))</f>
        <v/>
      </c>
      <c r="I33" s="38" t="str">
        <f aca="false">IF(F33="","",IFERROR(INDEX(보온기준!$O$5:$O$46,MATCH($F33,보온기준!$L$5:$L$46,0)),"DB확인"))</f>
        <v/>
      </c>
      <c r="J33" s="38" t="str">
        <f aca="false">IF(F33="","",IFERROR(INDEX(보온기준!$P$5:$P$46,MATCH($F33,보온기준!$L$5:$L$46,0)),"DB확인"))</f>
        <v/>
      </c>
      <c r="K33" s="37"/>
      <c r="L33" s="37" t="str">
        <f aca="false">IF(F33="","",IFERROR(ROUND(2*PI()*(INDEX(배관기준!$B$5:$B$39,MATCH(C33,배관기준!$A$5:$A$39,0))+2*D33)/1000+보온기준!$F$17,2),"확인"))</f>
        <v/>
      </c>
      <c r="M33" s="41" t="str">
        <f aca="false">IF(F33="","",E33*N(G33)/1000)</f>
        <v/>
      </c>
      <c r="N33" s="52" t="str">
        <f aca="false">IF(F33="","",E33*N(I33))</f>
        <v/>
      </c>
      <c r="O33" s="41" t="str">
        <f aca="false">IF(F33="","",E33*N(J33))</f>
        <v/>
      </c>
      <c r="P33" s="41" t="str">
        <f aca="false">IF(F33="","",0)</f>
        <v/>
      </c>
      <c r="Q33" s="41" t="str">
        <f aca="false">IF(F33="","",E33*N(L33))</f>
        <v/>
      </c>
      <c r="R33" s="16" t="str">
        <f aca="false">IF(F33="","",IF(ISNUMBER(H33),H33&amp;"A x 50T",""))</f>
        <v/>
      </c>
      <c r="S33" s="114" t="str">
        <f aca="false">IF(F33="","",ROUNDUP(M33,0))</f>
        <v/>
      </c>
    </row>
    <row r="34" customFormat="false" ht="15" hidden="false" customHeight="true" outlineLevel="0" collapsed="false">
      <c r="A34" s="6" t="s">
        <v>1346</v>
      </c>
      <c r="B34" s="6" t="str">
        <f aca="false">IF($C15="","",$B15)</f>
        <v/>
      </c>
      <c r="C34" s="6" t="str">
        <f aca="false">IF($C15="","",$C15)</f>
        <v/>
      </c>
      <c r="D34" s="6" t="str">
        <f aca="false">IF($C15="","",$D15)</f>
        <v/>
      </c>
      <c r="E34" s="114" t="str">
        <f aca="false">IF($C15="","",J15)</f>
        <v/>
      </c>
      <c r="F34" s="76" t="str">
        <f aca="false">IF(OR(C34="",N(E34)=0),"",C34&amp;"|"&amp;IF(AND(N(C34)&gt;=150,N(D34)&lt;40),40,D34))</f>
        <v/>
      </c>
      <c r="G34" s="36" t="str">
        <f aca="false">IF(F34="","",IFERROR(INDEX(보온기준!$M$5:$M$46,MATCH($F34,보온기준!$L$5:$L$46,0)),"DB확인"))</f>
        <v/>
      </c>
      <c r="H34" s="36" t="str">
        <f aca="false">IF(F34="","",IFERROR(INDEX(보온기준!$N$5:$N$46,MATCH($F34,보온기준!$L$5:$L$46,0)),"DB확인"))</f>
        <v/>
      </c>
      <c r="I34" s="38" t="str">
        <f aca="false">IF(F34="","",IFERROR(INDEX(보온기준!$O$5:$O$46,MATCH($F34,보온기준!$L$5:$L$46,0)),"DB확인"))</f>
        <v/>
      </c>
      <c r="J34" s="38" t="str">
        <f aca="false">IF(F34="","",IFERROR(INDEX(보온기준!$P$5:$P$46,MATCH($F34,보온기준!$L$5:$L$46,0)),"DB확인"))</f>
        <v/>
      </c>
      <c r="K34" s="37"/>
      <c r="L34" s="37" t="str">
        <f aca="false">IF(F34="","",IFERROR(ROUND(2*PI()*(INDEX(배관기준!$B$5:$B$39,MATCH(C34,배관기준!$A$5:$A$39,0))+2*D34)/1000+보온기준!$F$17,2),"확인"))</f>
        <v/>
      </c>
      <c r="M34" s="41" t="str">
        <f aca="false">IF(F34="","",E34*N(G34)/1000)</f>
        <v/>
      </c>
      <c r="N34" s="52" t="str">
        <f aca="false">IF(F34="","",E34*N(I34))</f>
        <v/>
      </c>
      <c r="O34" s="41" t="str">
        <f aca="false">IF(F34="","",E34*N(J34))</f>
        <v/>
      </c>
      <c r="P34" s="41" t="str">
        <f aca="false">IF(F34="","",0)</f>
        <v/>
      </c>
      <c r="Q34" s="41" t="str">
        <f aca="false">IF(F34="","",E34*N(L34))</f>
        <v/>
      </c>
      <c r="R34" s="16" t="str">
        <f aca="false">IF(F34="","",IF(ISNUMBER(H34),H34&amp;"A x 50T",""))</f>
        <v/>
      </c>
      <c r="S34" s="114" t="str">
        <f aca="false">IF(F34="","",ROUNDUP(M34,0))</f>
        <v/>
      </c>
    </row>
    <row r="35" customFormat="false" ht="15" hidden="false" customHeight="true" outlineLevel="0" collapsed="false">
      <c r="A35" s="6" t="s">
        <v>1346</v>
      </c>
      <c r="B35" s="6" t="str">
        <f aca="false">IF($C16="","",$B16)</f>
        <v/>
      </c>
      <c r="C35" s="6" t="str">
        <f aca="false">IF($C16="","",$C16)</f>
        <v/>
      </c>
      <c r="D35" s="6" t="str">
        <f aca="false">IF($C16="","",$D16)</f>
        <v/>
      </c>
      <c r="E35" s="114" t="str">
        <f aca="false">IF($C16="","",J16)</f>
        <v/>
      </c>
      <c r="F35" s="76" t="str">
        <f aca="false">IF(OR(C35="",N(E35)=0),"",C35&amp;"|"&amp;IF(AND(N(C35)&gt;=150,N(D35)&lt;40),40,D35))</f>
        <v/>
      </c>
      <c r="G35" s="36" t="str">
        <f aca="false">IF(F35="","",IFERROR(INDEX(보온기준!$M$5:$M$46,MATCH($F35,보온기준!$L$5:$L$46,0)),"DB확인"))</f>
        <v/>
      </c>
      <c r="H35" s="36" t="str">
        <f aca="false">IF(F35="","",IFERROR(INDEX(보온기준!$N$5:$N$46,MATCH($F35,보온기준!$L$5:$L$46,0)),"DB확인"))</f>
        <v/>
      </c>
      <c r="I35" s="38" t="str">
        <f aca="false">IF(F35="","",IFERROR(INDEX(보온기준!$O$5:$O$46,MATCH($F35,보온기준!$L$5:$L$46,0)),"DB확인"))</f>
        <v/>
      </c>
      <c r="J35" s="38" t="str">
        <f aca="false">IF(F35="","",IFERROR(INDEX(보온기준!$P$5:$P$46,MATCH($F35,보온기준!$L$5:$L$46,0)),"DB확인"))</f>
        <v/>
      </c>
      <c r="K35" s="37"/>
      <c r="L35" s="37" t="str">
        <f aca="false">IF(F35="","",IFERROR(ROUND(2*PI()*(INDEX(배관기준!$B$5:$B$39,MATCH(C35,배관기준!$A$5:$A$39,0))+2*D35)/1000+보온기준!$F$17,2),"확인"))</f>
        <v/>
      </c>
      <c r="M35" s="41" t="str">
        <f aca="false">IF(F35="","",E35*N(G35)/1000)</f>
        <v/>
      </c>
      <c r="N35" s="52" t="str">
        <f aca="false">IF(F35="","",E35*N(I35))</f>
        <v/>
      </c>
      <c r="O35" s="41" t="str">
        <f aca="false">IF(F35="","",E35*N(J35))</f>
        <v/>
      </c>
      <c r="P35" s="41" t="str">
        <f aca="false">IF(F35="","",0)</f>
        <v/>
      </c>
      <c r="Q35" s="41" t="str">
        <f aca="false">IF(F35="","",E35*N(L35))</f>
        <v/>
      </c>
      <c r="R35" s="16" t="str">
        <f aca="false">IF(F35="","",IF(ISNUMBER(H35),H35&amp;"A x 50T",""))</f>
        <v/>
      </c>
      <c r="S35" s="114" t="str">
        <f aca="false">IF(F35="","",ROUNDUP(M35,0))</f>
        <v/>
      </c>
    </row>
    <row r="36" customFormat="false" ht="15" hidden="false" customHeight="true" outlineLevel="0" collapsed="false">
      <c r="A36" s="6" t="s">
        <v>1346</v>
      </c>
      <c r="B36" s="6" t="str">
        <f aca="false">IF($C17="","",$B17)</f>
        <v/>
      </c>
      <c r="C36" s="6" t="str">
        <f aca="false">IF($C17="","",$C17)</f>
        <v/>
      </c>
      <c r="D36" s="6" t="str">
        <f aca="false">IF($C17="","",$D17)</f>
        <v/>
      </c>
      <c r="E36" s="114" t="str">
        <f aca="false">IF($C17="","",J17)</f>
        <v/>
      </c>
      <c r="F36" s="76" t="str">
        <f aca="false">IF(OR(C36="",N(E36)=0),"",C36&amp;"|"&amp;IF(AND(N(C36)&gt;=150,N(D36)&lt;40),40,D36))</f>
        <v/>
      </c>
      <c r="G36" s="36" t="str">
        <f aca="false">IF(F36="","",IFERROR(INDEX(보온기준!$M$5:$M$46,MATCH($F36,보온기준!$L$5:$L$46,0)),"DB확인"))</f>
        <v/>
      </c>
      <c r="H36" s="36" t="str">
        <f aca="false">IF(F36="","",IFERROR(INDEX(보온기준!$N$5:$N$46,MATCH($F36,보온기준!$L$5:$L$46,0)),"DB확인"))</f>
        <v/>
      </c>
      <c r="I36" s="38" t="str">
        <f aca="false">IF(F36="","",IFERROR(INDEX(보온기준!$O$5:$O$46,MATCH($F36,보온기준!$L$5:$L$46,0)),"DB확인"))</f>
        <v/>
      </c>
      <c r="J36" s="38" t="str">
        <f aca="false">IF(F36="","",IFERROR(INDEX(보온기준!$P$5:$P$46,MATCH($F36,보온기준!$L$5:$L$46,0)),"DB확인"))</f>
        <v/>
      </c>
      <c r="K36" s="37"/>
      <c r="L36" s="37" t="str">
        <f aca="false">IF(F36="","",IFERROR(ROUND(2*PI()*(INDEX(배관기준!$B$5:$B$39,MATCH(C36,배관기준!$A$5:$A$39,0))+2*D36)/1000+보온기준!$F$17,2),"확인"))</f>
        <v/>
      </c>
      <c r="M36" s="41" t="str">
        <f aca="false">IF(F36="","",E36*N(G36)/1000)</f>
        <v/>
      </c>
      <c r="N36" s="52" t="str">
        <f aca="false">IF(F36="","",E36*N(I36))</f>
        <v/>
      </c>
      <c r="O36" s="41" t="str">
        <f aca="false">IF(F36="","",E36*N(J36))</f>
        <v/>
      </c>
      <c r="P36" s="41" t="str">
        <f aca="false">IF(F36="","",0)</f>
        <v/>
      </c>
      <c r="Q36" s="41" t="str">
        <f aca="false">IF(F36="","",E36*N(L36))</f>
        <v/>
      </c>
      <c r="R36" s="16" t="str">
        <f aca="false">IF(F36="","",IF(ISNUMBER(H36),H36&amp;"A x 50T",""))</f>
        <v/>
      </c>
      <c r="S36" s="114" t="str">
        <f aca="false">IF(F36="","",ROUNDUP(M36,0))</f>
        <v/>
      </c>
    </row>
    <row r="37" customFormat="false" ht="15" hidden="false" customHeight="true" outlineLevel="0" collapsed="false">
      <c r="A37" s="6" t="s">
        <v>1346</v>
      </c>
      <c r="B37" s="6" t="str">
        <f aca="false">IF($C18="","",$B18)</f>
        <v/>
      </c>
      <c r="C37" s="6" t="str">
        <f aca="false">IF($C18="","",$C18)</f>
        <v/>
      </c>
      <c r="D37" s="6" t="str">
        <f aca="false">IF($C18="","",$D18)</f>
        <v/>
      </c>
      <c r="E37" s="114" t="str">
        <f aca="false">IF($C18="","",J18)</f>
        <v/>
      </c>
      <c r="F37" s="76" t="str">
        <f aca="false">IF(OR(C37="",N(E37)=0),"",C37&amp;"|"&amp;IF(AND(N(C37)&gt;=150,N(D37)&lt;40),40,D37))</f>
        <v/>
      </c>
      <c r="G37" s="36" t="str">
        <f aca="false">IF(F37="","",IFERROR(INDEX(보온기준!$M$5:$M$46,MATCH($F37,보온기준!$L$5:$L$46,0)),"DB확인"))</f>
        <v/>
      </c>
      <c r="H37" s="36" t="str">
        <f aca="false">IF(F37="","",IFERROR(INDEX(보온기준!$N$5:$N$46,MATCH($F37,보온기준!$L$5:$L$46,0)),"DB확인"))</f>
        <v/>
      </c>
      <c r="I37" s="38" t="str">
        <f aca="false">IF(F37="","",IFERROR(INDEX(보온기준!$O$5:$O$46,MATCH($F37,보온기준!$L$5:$L$46,0)),"DB확인"))</f>
        <v/>
      </c>
      <c r="J37" s="38" t="str">
        <f aca="false">IF(F37="","",IFERROR(INDEX(보온기준!$P$5:$P$46,MATCH($F37,보온기준!$L$5:$L$46,0)),"DB확인"))</f>
        <v/>
      </c>
      <c r="K37" s="37"/>
      <c r="L37" s="37" t="str">
        <f aca="false">IF(F37="","",IFERROR(ROUND(2*PI()*(INDEX(배관기준!$B$5:$B$39,MATCH(C37,배관기준!$A$5:$A$39,0))+2*D37)/1000+보온기준!$F$17,2),"확인"))</f>
        <v/>
      </c>
      <c r="M37" s="41" t="str">
        <f aca="false">IF(F37="","",E37*N(G37)/1000)</f>
        <v/>
      </c>
      <c r="N37" s="52" t="str">
        <f aca="false">IF(F37="","",E37*N(I37))</f>
        <v/>
      </c>
      <c r="O37" s="41" t="str">
        <f aca="false">IF(F37="","",E37*N(J37))</f>
        <v/>
      </c>
      <c r="P37" s="41" t="str">
        <f aca="false">IF(F37="","",0)</f>
        <v/>
      </c>
      <c r="Q37" s="41" t="str">
        <f aca="false">IF(F37="","",E37*N(L37))</f>
        <v/>
      </c>
      <c r="R37" s="16" t="str">
        <f aca="false">IF(F37="","",IF(ISNUMBER(H37),H37&amp;"A x 50T",""))</f>
        <v/>
      </c>
      <c r="S37" s="114" t="str">
        <f aca="false">IF(F37="","",ROUNDUP(M37,0))</f>
        <v/>
      </c>
    </row>
    <row r="38" customFormat="false" ht="15" hidden="false" customHeight="true" outlineLevel="0" collapsed="false">
      <c r="A38" s="6" t="s">
        <v>1347</v>
      </c>
      <c r="B38" s="6" t="str">
        <f aca="false">IF($C7="","",$B7)</f>
        <v>옥외</v>
      </c>
      <c r="C38" s="6" t="n">
        <f aca="false">IF($C7="","",$C7)</f>
        <v>15</v>
      </c>
      <c r="D38" s="113" t="n">
        <f aca="false">IF($C7="","",$D7)</f>
        <v>50</v>
      </c>
      <c r="E38" s="114" t="n">
        <f aca="false">IF($C7="","",K7)</f>
        <v>4</v>
      </c>
      <c r="F38" s="76" t="str">
        <f aca="false">IF(OR(C38="",N(E38)=0),"",C38&amp;"|"&amp;IF(AND(N(C38)&gt;=150,N(D38)&lt;40),40,D38))</f>
        <v>15|50</v>
      </c>
      <c r="G38" s="36" t="n">
        <f aca="false">IF(F38="","",IFERROR(INDEX(보온기준!$S$5:$S$46,MATCH($F38,보온기준!$R$5:$R$46,0)),"DB확인"))</f>
        <v>350</v>
      </c>
      <c r="H38" s="36" t="n">
        <f aca="false">IF(F38="","",IFERROR(INDEX(보온기준!$T$5:$T$46,MATCH($F38,보온기준!$R$5:$R$46,0)),"DB확인"))</f>
        <v>100</v>
      </c>
      <c r="I38" s="38" t="n">
        <f aca="false">IF(F38="","",IFERROR(INDEX(보온기준!$U$5:$U$46,MATCH($F38,보온기준!$R$5:$R$46,0)),"DB확인"))</f>
        <v>0.001</v>
      </c>
      <c r="J38" s="38" t="n">
        <f aca="false">IF(F38="","",IFERROR(INDEX(보온기준!$V$5:$V$46,MATCH($F38,보온기준!$R$5:$R$46,0)),"DB확인"))</f>
        <v>0.313</v>
      </c>
      <c r="K38" s="37"/>
      <c r="L38" s="37" t="n">
        <f aca="false">IF(F38="","",IFERROR(ROUND(2*PI()*(INDEX(배관기준!$B$5:$B$39,MATCH(C38,배관기준!$A$5:$A$39,0))+2*D38)/1000+보온기준!$F$17,2),"확인"))</f>
        <v>1.59</v>
      </c>
      <c r="M38" s="41" t="n">
        <f aca="false">IF(F38="","",E38*N(G38)/1000)</f>
        <v>1.4</v>
      </c>
      <c r="N38" s="52" t="n">
        <f aca="false">IF(F38="","",E38*N(I38))</f>
        <v>0.004</v>
      </c>
      <c r="O38" s="41" t="n">
        <f aca="false">IF(F38="","",E38*N(J38))</f>
        <v>1.252</v>
      </c>
      <c r="P38" s="41" t="n">
        <f aca="false">IF(F38="","",0)</f>
        <v>0</v>
      </c>
      <c r="Q38" s="41" t="n">
        <f aca="false">IF(F38="","",E38*N(L38))</f>
        <v>6.36</v>
      </c>
      <c r="R38" s="16" t="str">
        <f aca="false">IF(F38="","",IF(ISNUMBER(H38),H38&amp;"A x 50T",""))</f>
        <v>100A x 50T</v>
      </c>
      <c r="S38" s="114" t="n">
        <f aca="false">IF(F38="","",ROUNDUP(M38,0))</f>
        <v>2</v>
      </c>
    </row>
    <row r="39" customFormat="false" ht="15" hidden="false" customHeight="true" outlineLevel="0" collapsed="false">
      <c r="A39" s="6" t="s">
        <v>1347</v>
      </c>
      <c r="B39" s="6" t="str">
        <f aca="false">IF($C8="","",$B8)</f>
        <v>옥외</v>
      </c>
      <c r="C39" s="6" t="n">
        <f aca="false">IF($C8="","",$C8)</f>
        <v>50</v>
      </c>
      <c r="D39" s="113" t="n">
        <f aca="false">IF($C8="","",$D8)</f>
        <v>50</v>
      </c>
      <c r="E39" s="114" t="n">
        <f aca="false">IF($C8="","",K8)</f>
        <v>0</v>
      </c>
      <c r="F39" s="76" t="str">
        <f aca="false">IF(OR(C39="",N(E39)=0),"",C39&amp;"|"&amp;IF(AND(N(C39)&gt;=150,N(D39)&lt;40),40,D39))</f>
        <v/>
      </c>
      <c r="G39" s="36" t="str">
        <f aca="false">IF(F39="","",IFERROR(INDEX(보온기준!$S$5:$S$46,MATCH($F39,보온기준!$R$5:$R$46,0)),"DB확인"))</f>
        <v/>
      </c>
      <c r="H39" s="36" t="str">
        <f aca="false">IF(F39="","",IFERROR(INDEX(보온기준!$T$5:$T$46,MATCH($F39,보온기준!$R$5:$R$46,0)),"DB확인"))</f>
        <v/>
      </c>
      <c r="I39" s="38" t="str">
        <f aca="false">IF(F39="","",IFERROR(INDEX(보온기준!$U$5:$U$46,MATCH($F39,보온기준!$R$5:$R$46,0)),"DB확인"))</f>
        <v/>
      </c>
      <c r="J39" s="38" t="str">
        <f aca="false">IF(F39="","",IFERROR(INDEX(보온기준!$V$5:$V$46,MATCH($F39,보온기준!$R$5:$R$46,0)),"DB확인"))</f>
        <v/>
      </c>
      <c r="K39" s="37"/>
      <c r="L39" s="37" t="str">
        <f aca="false">IF(F39="","",IFERROR(ROUND(2*PI()*(INDEX(배관기준!$B$5:$B$39,MATCH(C39,배관기준!$A$5:$A$39,0))+2*D39)/1000+보온기준!$F$17,2),"확인"))</f>
        <v/>
      </c>
      <c r="M39" s="41" t="str">
        <f aca="false">IF(F39="","",E39*N(G39)/1000)</f>
        <v/>
      </c>
      <c r="N39" s="52" t="str">
        <f aca="false">IF(F39="","",E39*N(I39))</f>
        <v/>
      </c>
      <c r="O39" s="41" t="str">
        <f aca="false">IF(F39="","",E39*N(J39))</f>
        <v/>
      </c>
      <c r="P39" s="41" t="str">
        <f aca="false">IF(F39="","",0)</f>
        <v/>
      </c>
      <c r="Q39" s="41" t="str">
        <f aca="false">IF(F39="","",E39*N(L39))</f>
        <v/>
      </c>
      <c r="R39" s="16" t="str">
        <f aca="false">IF(F39="","",IF(ISNUMBER(H39),H39&amp;"A x 50T",""))</f>
        <v/>
      </c>
      <c r="S39" s="114" t="str">
        <f aca="false">IF(F39="","",ROUNDUP(M39,0))</f>
        <v/>
      </c>
    </row>
    <row r="40" customFormat="false" ht="15" hidden="false" customHeight="true" outlineLevel="0" collapsed="false">
      <c r="A40" s="6" t="s">
        <v>1347</v>
      </c>
      <c r="B40" s="6" t="str">
        <f aca="false">IF($C9="","",$B9)</f>
        <v>옥외</v>
      </c>
      <c r="C40" s="6" t="n">
        <f aca="false">IF($C9="","",$C9)</f>
        <v>80</v>
      </c>
      <c r="D40" s="113" t="n">
        <f aca="false">IF($C9="","",$D9)</f>
        <v>50</v>
      </c>
      <c r="E40" s="114" t="n">
        <f aca="false">IF($C9="","",K9)</f>
        <v>0</v>
      </c>
      <c r="F40" s="76" t="str">
        <f aca="false">IF(OR(C40="",N(E40)=0),"",C40&amp;"|"&amp;IF(AND(N(C40)&gt;=150,N(D40)&lt;40),40,D40))</f>
        <v/>
      </c>
      <c r="G40" s="36" t="str">
        <f aca="false">IF(F40="","",IFERROR(INDEX(보온기준!$S$5:$S$46,MATCH($F40,보온기준!$R$5:$R$46,0)),"DB확인"))</f>
        <v/>
      </c>
      <c r="H40" s="36" t="str">
        <f aca="false">IF(F40="","",IFERROR(INDEX(보온기준!$T$5:$T$46,MATCH($F40,보온기준!$R$5:$R$46,0)),"DB확인"))</f>
        <v/>
      </c>
      <c r="I40" s="38" t="str">
        <f aca="false">IF(F40="","",IFERROR(INDEX(보온기준!$U$5:$U$46,MATCH($F40,보온기준!$R$5:$R$46,0)),"DB확인"))</f>
        <v/>
      </c>
      <c r="J40" s="38" t="str">
        <f aca="false">IF(F40="","",IFERROR(INDEX(보온기준!$V$5:$V$46,MATCH($F40,보온기준!$R$5:$R$46,0)),"DB확인"))</f>
        <v/>
      </c>
      <c r="K40" s="37"/>
      <c r="L40" s="37" t="str">
        <f aca="false">IF(F40="","",IFERROR(ROUND(2*PI()*(INDEX(배관기준!$B$5:$B$39,MATCH(C40,배관기준!$A$5:$A$39,0))+2*D40)/1000+보온기준!$F$17,2),"확인"))</f>
        <v/>
      </c>
      <c r="M40" s="41" t="str">
        <f aca="false">IF(F40="","",E40*N(G40)/1000)</f>
        <v/>
      </c>
      <c r="N40" s="52" t="str">
        <f aca="false">IF(F40="","",E40*N(I40))</f>
        <v/>
      </c>
      <c r="O40" s="41" t="str">
        <f aca="false">IF(F40="","",E40*N(J40))</f>
        <v/>
      </c>
      <c r="P40" s="41" t="str">
        <f aca="false">IF(F40="","",0)</f>
        <v/>
      </c>
      <c r="Q40" s="41" t="str">
        <f aca="false">IF(F40="","",E40*N(L40))</f>
        <v/>
      </c>
      <c r="R40" s="16" t="str">
        <f aca="false">IF(F40="","",IF(ISNUMBER(H40),H40&amp;"A x 50T",""))</f>
        <v/>
      </c>
      <c r="S40" s="114" t="str">
        <f aca="false">IF(F40="","",ROUNDUP(M40,0))</f>
        <v/>
      </c>
    </row>
    <row r="41" customFormat="false" ht="15" hidden="false" customHeight="true" outlineLevel="0" collapsed="false">
      <c r="A41" s="6" t="s">
        <v>1347</v>
      </c>
      <c r="B41" s="6" t="str">
        <f aca="false">IF($C10="","",$B10)</f>
        <v>옥외</v>
      </c>
      <c r="C41" s="6" t="n">
        <f aca="false">IF($C10="","",$C10)</f>
        <v>150</v>
      </c>
      <c r="D41" s="113" t="n">
        <f aca="false">IF($C10="","",$D10)</f>
        <v>30</v>
      </c>
      <c r="E41" s="114" t="n">
        <f aca="false">IF($C10="","",K10)</f>
        <v>0</v>
      </c>
      <c r="F41" s="76" t="str">
        <f aca="false">IF(OR(C41="",N(E41)=0),"",C41&amp;"|"&amp;IF(AND(N(C41)&gt;=150,N(D41)&lt;40),40,D41))</f>
        <v/>
      </c>
      <c r="G41" s="36" t="str">
        <f aca="false">IF(F41="","",IFERROR(INDEX(보온기준!$S$5:$S$46,MATCH($F41,보온기준!$R$5:$R$46,0)),"DB확인"))</f>
        <v/>
      </c>
      <c r="H41" s="36" t="str">
        <f aca="false">IF(F41="","",IFERROR(INDEX(보온기준!$T$5:$T$46,MATCH($F41,보온기준!$R$5:$R$46,0)),"DB확인"))</f>
        <v/>
      </c>
      <c r="I41" s="38" t="str">
        <f aca="false">IF(F41="","",IFERROR(INDEX(보온기준!$U$5:$U$46,MATCH($F41,보온기준!$R$5:$R$46,0)),"DB확인"))</f>
        <v/>
      </c>
      <c r="J41" s="38" t="str">
        <f aca="false">IF(F41="","",IFERROR(INDEX(보온기준!$V$5:$V$46,MATCH($F41,보온기준!$R$5:$R$46,0)),"DB확인"))</f>
        <v/>
      </c>
      <c r="K41" s="37"/>
      <c r="L41" s="37" t="str">
        <f aca="false">IF(F41="","",IFERROR(ROUND(2*PI()*(INDEX(배관기준!$B$5:$B$39,MATCH(C41,배관기준!$A$5:$A$39,0))+2*D41)/1000+보온기준!$F$17,2),"확인"))</f>
        <v/>
      </c>
      <c r="M41" s="41" t="str">
        <f aca="false">IF(F41="","",E41*N(G41)/1000)</f>
        <v/>
      </c>
      <c r="N41" s="52" t="str">
        <f aca="false">IF(F41="","",E41*N(I41))</f>
        <v/>
      </c>
      <c r="O41" s="41" t="str">
        <f aca="false">IF(F41="","",E41*N(J41))</f>
        <v/>
      </c>
      <c r="P41" s="41" t="str">
        <f aca="false">IF(F41="","",0)</f>
        <v/>
      </c>
      <c r="Q41" s="41" t="str">
        <f aca="false">IF(F41="","",E41*N(L41))</f>
        <v/>
      </c>
      <c r="R41" s="16" t="str">
        <f aca="false">IF(F41="","",IF(ISNUMBER(H41),H41&amp;"A x 50T",""))</f>
        <v/>
      </c>
      <c r="S41" s="114" t="str">
        <f aca="false">IF(F41="","",ROUNDUP(M41,0))</f>
        <v/>
      </c>
    </row>
    <row r="42" customFormat="false" ht="15" hidden="false" customHeight="true" outlineLevel="0" collapsed="false">
      <c r="A42" s="6" t="s">
        <v>1347</v>
      </c>
      <c r="B42" s="6" t="str">
        <f aca="false">IF($C11="","",$B11)</f>
        <v>옥외</v>
      </c>
      <c r="C42" s="6" t="n">
        <f aca="false">IF($C11="","",$C11)</f>
        <v>200</v>
      </c>
      <c r="D42" s="113" t="n">
        <f aca="false">IF($C11="","",$D11)</f>
        <v>30</v>
      </c>
      <c r="E42" s="114" t="n">
        <f aca="false">IF($C11="","",K11)</f>
        <v>0</v>
      </c>
      <c r="F42" s="76" t="str">
        <f aca="false">IF(OR(C42="",N(E42)=0),"",C42&amp;"|"&amp;IF(AND(N(C42)&gt;=150,N(D42)&lt;40),40,D42))</f>
        <v/>
      </c>
      <c r="G42" s="36" t="str">
        <f aca="false">IF(F42="","",IFERROR(INDEX(보온기준!$S$5:$S$46,MATCH($F42,보온기준!$R$5:$R$46,0)),"DB확인"))</f>
        <v/>
      </c>
      <c r="H42" s="36" t="str">
        <f aca="false">IF(F42="","",IFERROR(INDEX(보온기준!$T$5:$T$46,MATCH($F42,보온기준!$R$5:$R$46,0)),"DB확인"))</f>
        <v/>
      </c>
      <c r="I42" s="38" t="str">
        <f aca="false">IF(F42="","",IFERROR(INDEX(보온기준!$U$5:$U$46,MATCH($F42,보온기준!$R$5:$R$46,0)),"DB확인"))</f>
        <v/>
      </c>
      <c r="J42" s="38" t="str">
        <f aca="false">IF(F42="","",IFERROR(INDEX(보온기준!$V$5:$V$46,MATCH($F42,보온기준!$R$5:$R$46,0)),"DB확인"))</f>
        <v/>
      </c>
      <c r="K42" s="37"/>
      <c r="L42" s="37" t="str">
        <f aca="false">IF(F42="","",IFERROR(ROUND(2*PI()*(INDEX(배관기준!$B$5:$B$39,MATCH(C42,배관기준!$A$5:$A$39,0))+2*D42)/1000+보온기준!$F$17,2),"확인"))</f>
        <v/>
      </c>
      <c r="M42" s="41" t="str">
        <f aca="false">IF(F42="","",E42*N(G42)/1000)</f>
        <v/>
      </c>
      <c r="N42" s="52" t="str">
        <f aca="false">IF(F42="","",E42*N(I42))</f>
        <v/>
      </c>
      <c r="O42" s="41" t="str">
        <f aca="false">IF(F42="","",E42*N(J42))</f>
        <v/>
      </c>
      <c r="P42" s="41" t="str">
        <f aca="false">IF(F42="","",0)</f>
        <v/>
      </c>
      <c r="Q42" s="41" t="str">
        <f aca="false">IF(F42="","",E42*N(L42))</f>
        <v/>
      </c>
      <c r="R42" s="16" t="str">
        <f aca="false">IF(F42="","",IF(ISNUMBER(H42),H42&amp;"A x 50T",""))</f>
        <v/>
      </c>
      <c r="S42" s="114" t="str">
        <f aca="false">IF(F42="","",ROUNDUP(M42,0))</f>
        <v/>
      </c>
    </row>
    <row r="43" customFormat="false" ht="15" hidden="false" customHeight="true" outlineLevel="0" collapsed="false">
      <c r="A43" s="6" t="s">
        <v>1347</v>
      </c>
      <c r="B43" s="6" t="str">
        <f aca="false">IF($C12="","",$B12)</f>
        <v>옥외</v>
      </c>
      <c r="C43" s="6" t="n">
        <f aca="false">IF($C12="","",$C12)</f>
        <v>250</v>
      </c>
      <c r="D43" s="113" t="n">
        <f aca="false">IF($C12="","",$D12)</f>
        <v>30</v>
      </c>
      <c r="E43" s="114" t="n">
        <f aca="false">IF($C12="","",K12)</f>
        <v>0</v>
      </c>
      <c r="F43" s="76" t="str">
        <f aca="false">IF(OR(C43="",N(E43)=0),"",C43&amp;"|"&amp;IF(AND(N(C43)&gt;=150,N(D43)&lt;40),40,D43))</f>
        <v/>
      </c>
      <c r="G43" s="36" t="str">
        <f aca="false">IF(F43="","",IFERROR(INDEX(보온기준!$S$5:$S$46,MATCH($F43,보온기준!$R$5:$R$46,0)),"DB확인"))</f>
        <v/>
      </c>
      <c r="H43" s="36" t="str">
        <f aca="false">IF(F43="","",IFERROR(INDEX(보온기준!$T$5:$T$46,MATCH($F43,보온기준!$R$5:$R$46,0)),"DB확인"))</f>
        <v/>
      </c>
      <c r="I43" s="38" t="str">
        <f aca="false">IF(F43="","",IFERROR(INDEX(보온기준!$U$5:$U$46,MATCH($F43,보온기준!$R$5:$R$46,0)),"DB확인"))</f>
        <v/>
      </c>
      <c r="J43" s="38" t="str">
        <f aca="false">IF(F43="","",IFERROR(INDEX(보온기준!$V$5:$V$46,MATCH($F43,보온기준!$R$5:$R$46,0)),"DB확인"))</f>
        <v/>
      </c>
      <c r="K43" s="37"/>
      <c r="L43" s="37" t="str">
        <f aca="false">IF(F43="","",IFERROR(ROUND(2*PI()*(INDEX(배관기준!$B$5:$B$39,MATCH(C43,배관기준!$A$5:$A$39,0))+2*D43)/1000+보온기준!$F$17,2),"확인"))</f>
        <v/>
      </c>
      <c r="M43" s="41" t="str">
        <f aca="false">IF(F43="","",E43*N(G43)/1000)</f>
        <v/>
      </c>
      <c r="N43" s="52" t="str">
        <f aca="false">IF(F43="","",E43*N(I43))</f>
        <v/>
      </c>
      <c r="O43" s="41" t="str">
        <f aca="false">IF(F43="","",E43*N(J43))</f>
        <v/>
      </c>
      <c r="P43" s="41" t="str">
        <f aca="false">IF(F43="","",0)</f>
        <v/>
      </c>
      <c r="Q43" s="41" t="str">
        <f aca="false">IF(F43="","",E43*N(L43))</f>
        <v/>
      </c>
      <c r="R43" s="16" t="str">
        <f aca="false">IF(F43="","",IF(ISNUMBER(H43),H43&amp;"A x 50T",""))</f>
        <v/>
      </c>
      <c r="S43" s="114" t="str">
        <f aca="false">IF(F43="","",ROUNDUP(M43,0))</f>
        <v/>
      </c>
    </row>
    <row r="44" customFormat="false" ht="15" hidden="false" customHeight="true" outlineLevel="0" collapsed="false">
      <c r="A44" s="6" t="s">
        <v>1347</v>
      </c>
      <c r="B44" s="6" t="str">
        <f aca="false">IF($C13="","",$B13)</f>
        <v>옥외</v>
      </c>
      <c r="C44" s="6" t="n">
        <f aca="false">IF($C13="","",$C13)</f>
        <v>300</v>
      </c>
      <c r="D44" s="113" t="n">
        <f aca="false">IF($C13="","",$D13)</f>
        <v>0</v>
      </c>
      <c r="E44" s="114" t="n">
        <f aca="false">IF($C13="","",K13)</f>
        <v>0</v>
      </c>
      <c r="F44" s="76" t="str">
        <f aca="false">IF(OR(C44="",N(E44)=0),"",C44&amp;"|"&amp;IF(AND(N(C44)&gt;=150,N(D44)&lt;40),40,D44))</f>
        <v/>
      </c>
      <c r="G44" s="36" t="str">
        <f aca="false">IF(F44="","",IFERROR(INDEX(보온기준!$S$5:$S$46,MATCH($F44,보온기준!$R$5:$R$46,0)),"DB확인"))</f>
        <v/>
      </c>
      <c r="H44" s="36" t="str">
        <f aca="false">IF(F44="","",IFERROR(INDEX(보온기준!$T$5:$T$46,MATCH($F44,보온기준!$R$5:$R$46,0)),"DB확인"))</f>
        <v/>
      </c>
      <c r="I44" s="38" t="str">
        <f aca="false">IF(F44="","",IFERROR(INDEX(보온기준!$U$5:$U$46,MATCH($F44,보온기준!$R$5:$R$46,0)),"DB확인"))</f>
        <v/>
      </c>
      <c r="J44" s="38" t="str">
        <f aca="false">IF(F44="","",IFERROR(INDEX(보온기준!$V$5:$V$46,MATCH($F44,보온기준!$R$5:$R$46,0)),"DB확인"))</f>
        <v/>
      </c>
      <c r="K44" s="37"/>
      <c r="L44" s="37" t="str">
        <f aca="false">IF(F44="","",IFERROR(ROUND(2*PI()*(INDEX(배관기준!$B$5:$B$39,MATCH(C44,배관기준!$A$5:$A$39,0))+2*D44)/1000+보온기준!$F$17,2),"확인"))</f>
        <v/>
      </c>
      <c r="M44" s="41" t="str">
        <f aca="false">IF(F44="","",E44*N(G44)/1000)</f>
        <v/>
      </c>
      <c r="N44" s="52" t="str">
        <f aca="false">IF(F44="","",E44*N(I44))</f>
        <v/>
      </c>
      <c r="O44" s="41" t="str">
        <f aca="false">IF(F44="","",E44*N(J44))</f>
        <v/>
      </c>
      <c r="P44" s="41" t="str">
        <f aca="false">IF(F44="","",0)</f>
        <v/>
      </c>
      <c r="Q44" s="41" t="str">
        <f aca="false">IF(F44="","",E44*N(L44))</f>
        <v/>
      </c>
      <c r="R44" s="16" t="str">
        <f aca="false">IF(F44="","",IF(ISNUMBER(H44),H44&amp;"A x 50T",""))</f>
        <v/>
      </c>
      <c r="S44" s="114" t="str">
        <f aca="false">IF(F44="","",ROUNDUP(M44,0))</f>
        <v/>
      </c>
    </row>
    <row r="45" customFormat="false" ht="15" hidden="false" customHeight="true" outlineLevel="0" collapsed="false">
      <c r="A45" s="6" t="s">
        <v>1347</v>
      </c>
      <c r="B45" s="6" t="str">
        <f aca="false">IF($C14="","",$B14)</f>
        <v/>
      </c>
      <c r="C45" s="6" t="str">
        <f aca="false">IF($C14="","",$C14)</f>
        <v/>
      </c>
      <c r="D45" s="6" t="str">
        <f aca="false">IF($C14="","",$D14)</f>
        <v/>
      </c>
      <c r="E45" s="114" t="str">
        <f aca="false">IF($C14="","",K14)</f>
        <v/>
      </c>
      <c r="F45" s="76" t="str">
        <f aca="false">IF(OR(C45="",N(E45)=0),"",C45&amp;"|"&amp;IF(AND(N(C45)&gt;=150,N(D45)&lt;40),40,D45))</f>
        <v/>
      </c>
      <c r="G45" s="36" t="str">
        <f aca="false">IF(F45="","",IFERROR(INDEX(보온기준!$S$5:$S$46,MATCH($F45,보온기준!$R$5:$R$46,0)),"DB확인"))</f>
        <v/>
      </c>
      <c r="H45" s="36" t="str">
        <f aca="false">IF(F45="","",IFERROR(INDEX(보온기준!$T$5:$T$46,MATCH($F45,보온기준!$R$5:$R$46,0)),"DB확인"))</f>
        <v/>
      </c>
      <c r="I45" s="38" t="str">
        <f aca="false">IF(F45="","",IFERROR(INDEX(보온기준!$U$5:$U$46,MATCH($F45,보온기준!$R$5:$R$46,0)),"DB확인"))</f>
        <v/>
      </c>
      <c r="J45" s="38" t="str">
        <f aca="false">IF(F45="","",IFERROR(INDEX(보온기준!$V$5:$V$46,MATCH($F45,보온기준!$R$5:$R$46,0)),"DB확인"))</f>
        <v/>
      </c>
      <c r="K45" s="37"/>
      <c r="L45" s="37" t="str">
        <f aca="false">IF(F45="","",IFERROR(ROUND(2*PI()*(INDEX(배관기준!$B$5:$B$39,MATCH(C45,배관기준!$A$5:$A$39,0))+2*D45)/1000+보온기준!$F$17,2),"확인"))</f>
        <v/>
      </c>
      <c r="M45" s="41" t="str">
        <f aca="false">IF(F45="","",E45*N(G45)/1000)</f>
        <v/>
      </c>
      <c r="N45" s="52" t="str">
        <f aca="false">IF(F45="","",E45*N(I45))</f>
        <v/>
      </c>
      <c r="O45" s="41" t="str">
        <f aca="false">IF(F45="","",E45*N(J45))</f>
        <v/>
      </c>
      <c r="P45" s="41" t="str">
        <f aca="false">IF(F45="","",0)</f>
        <v/>
      </c>
      <c r="Q45" s="41" t="str">
        <f aca="false">IF(F45="","",E45*N(L45))</f>
        <v/>
      </c>
      <c r="R45" s="16" t="str">
        <f aca="false">IF(F45="","",IF(ISNUMBER(H45),H45&amp;"A x 50T",""))</f>
        <v/>
      </c>
      <c r="S45" s="114" t="str">
        <f aca="false">IF(F45="","",ROUNDUP(M45,0))</f>
        <v/>
      </c>
    </row>
    <row r="46" customFormat="false" ht="15" hidden="false" customHeight="true" outlineLevel="0" collapsed="false">
      <c r="A46" s="6" t="s">
        <v>1347</v>
      </c>
      <c r="B46" s="6" t="str">
        <f aca="false">IF($C15="","",$B15)</f>
        <v/>
      </c>
      <c r="C46" s="6" t="str">
        <f aca="false">IF($C15="","",$C15)</f>
        <v/>
      </c>
      <c r="D46" s="6" t="str">
        <f aca="false">IF($C15="","",$D15)</f>
        <v/>
      </c>
      <c r="E46" s="114" t="str">
        <f aca="false">IF($C15="","",K15)</f>
        <v/>
      </c>
      <c r="F46" s="76" t="str">
        <f aca="false">IF(OR(C46="",N(E46)=0),"",C46&amp;"|"&amp;IF(AND(N(C46)&gt;=150,N(D46)&lt;40),40,D46))</f>
        <v/>
      </c>
      <c r="G46" s="36" t="str">
        <f aca="false">IF(F46="","",IFERROR(INDEX(보온기준!$S$5:$S$46,MATCH($F46,보온기준!$R$5:$R$46,0)),"DB확인"))</f>
        <v/>
      </c>
      <c r="H46" s="36" t="str">
        <f aca="false">IF(F46="","",IFERROR(INDEX(보온기준!$T$5:$T$46,MATCH($F46,보온기준!$R$5:$R$46,0)),"DB확인"))</f>
        <v/>
      </c>
      <c r="I46" s="38" t="str">
        <f aca="false">IF(F46="","",IFERROR(INDEX(보온기준!$U$5:$U$46,MATCH($F46,보온기준!$R$5:$R$46,0)),"DB확인"))</f>
        <v/>
      </c>
      <c r="J46" s="38" t="str">
        <f aca="false">IF(F46="","",IFERROR(INDEX(보온기준!$V$5:$V$46,MATCH($F46,보온기준!$R$5:$R$46,0)),"DB확인"))</f>
        <v/>
      </c>
      <c r="K46" s="37"/>
      <c r="L46" s="37" t="str">
        <f aca="false">IF(F46="","",IFERROR(ROUND(2*PI()*(INDEX(배관기준!$B$5:$B$39,MATCH(C46,배관기준!$A$5:$A$39,0))+2*D46)/1000+보온기준!$F$17,2),"확인"))</f>
        <v/>
      </c>
      <c r="M46" s="41" t="str">
        <f aca="false">IF(F46="","",E46*N(G46)/1000)</f>
        <v/>
      </c>
      <c r="N46" s="52" t="str">
        <f aca="false">IF(F46="","",E46*N(I46))</f>
        <v/>
      </c>
      <c r="O46" s="41" t="str">
        <f aca="false">IF(F46="","",E46*N(J46))</f>
        <v/>
      </c>
      <c r="P46" s="41" t="str">
        <f aca="false">IF(F46="","",0)</f>
        <v/>
      </c>
      <c r="Q46" s="41" t="str">
        <f aca="false">IF(F46="","",E46*N(L46))</f>
        <v/>
      </c>
      <c r="R46" s="16" t="str">
        <f aca="false">IF(F46="","",IF(ISNUMBER(H46),H46&amp;"A x 50T",""))</f>
        <v/>
      </c>
      <c r="S46" s="114" t="str">
        <f aca="false">IF(F46="","",ROUNDUP(M46,0))</f>
        <v/>
      </c>
    </row>
    <row r="47" customFormat="false" ht="15" hidden="false" customHeight="true" outlineLevel="0" collapsed="false">
      <c r="A47" s="6" t="s">
        <v>1347</v>
      </c>
      <c r="B47" s="6" t="str">
        <f aca="false">IF($C16="","",$B16)</f>
        <v/>
      </c>
      <c r="C47" s="6" t="str">
        <f aca="false">IF($C16="","",$C16)</f>
        <v/>
      </c>
      <c r="D47" s="6" t="str">
        <f aca="false">IF($C16="","",$D16)</f>
        <v/>
      </c>
      <c r="E47" s="114" t="str">
        <f aca="false">IF($C16="","",K16)</f>
        <v/>
      </c>
      <c r="F47" s="76" t="str">
        <f aca="false">IF(OR(C47="",N(E47)=0),"",C47&amp;"|"&amp;IF(AND(N(C47)&gt;=150,N(D47)&lt;40),40,D47))</f>
        <v/>
      </c>
      <c r="G47" s="36" t="str">
        <f aca="false">IF(F47="","",IFERROR(INDEX(보온기준!$S$5:$S$46,MATCH($F47,보온기준!$R$5:$R$46,0)),"DB확인"))</f>
        <v/>
      </c>
      <c r="H47" s="36" t="str">
        <f aca="false">IF(F47="","",IFERROR(INDEX(보온기준!$T$5:$T$46,MATCH($F47,보온기준!$R$5:$R$46,0)),"DB확인"))</f>
        <v/>
      </c>
      <c r="I47" s="38" t="str">
        <f aca="false">IF(F47="","",IFERROR(INDEX(보온기준!$U$5:$U$46,MATCH($F47,보온기준!$R$5:$R$46,0)),"DB확인"))</f>
        <v/>
      </c>
      <c r="J47" s="38" t="str">
        <f aca="false">IF(F47="","",IFERROR(INDEX(보온기준!$V$5:$V$46,MATCH($F47,보온기준!$R$5:$R$46,0)),"DB확인"))</f>
        <v/>
      </c>
      <c r="K47" s="37"/>
      <c r="L47" s="37" t="str">
        <f aca="false">IF(F47="","",IFERROR(ROUND(2*PI()*(INDEX(배관기준!$B$5:$B$39,MATCH(C47,배관기준!$A$5:$A$39,0))+2*D47)/1000+보온기준!$F$17,2),"확인"))</f>
        <v/>
      </c>
      <c r="M47" s="41" t="str">
        <f aca="false">IF(F47="","",E47*N(G47)/1000)</f>
        <v/>
      </c>
      <c r="N47" s="52" t="str">
        <f aca="false">IF(F47="","",E47*N(I47))</f>
        <v/>
      </c>
      <c r="O47" s="41" t="str">
        <f aca="false">IF(F47="","",E47*N(J47))</f>
        <v/>
      </c>
      <c r="P47" s="41" t="str">
        <f aca="false">IF(F47="","",0)</f>
        <v/>
      </c>
      <c r="Q47" s="41" t="str">
        <f aca="false">IF(F47="","",E47*N(L47))</f>
        <v/>
      </c>
      <c r="R47" s="16" t="str">
        <f aca="false">IF(F47="","",IF(ISNUMBER(H47),H47&amp;"A x 50T",""))</f>
        <v/>
      </c>
      <c r="S47" s="114" t="str">
        <f aca="false">IF(F47="","",ROUNDUP(M47,0))</f>
        <v/>
      </c>
    </row>
    <row r="48" customFormat="false" ht="15" hidden="false" customHeight="true" outlineLevel="0" collapsed="false">
      <c r="A48" s="6" t="s">
        <v>1347</v>
      </c>
      <c r="B48" s="6" t="str">
        <f aca="false">IF($C17="","",$B17)</f>
        <v/>
      </c>
      <c r="C48" s="6" t="str">
        <f aca="false">IF($C17="","",$C17)</f>
        <v/>
      </c>
      <c r="D48" s="6" t="str">
        <f aca="false">IF($C17="","",$D17)</f>
        <v/>
      </c>
      <c r="E48" s="114" t="str">
        <f aca="false">IF($C17="","",K17)</f>
        <v/>
      </c>
      <c r="F48" s="76" t="str">
        <f aca="false">IF(OR(C48="",N(E48)=0),"",C48&amp;"|"&amp;IF(AND(N(C48)&gt;=150,N(D48)&lt;40),40,D48))</f>
        <v/>
      </c>
      <c r="G48" s="36" t="str">
        <f aca="false">IF(F48="","",IFERROR(INDEX(보온기준!$S$5:$S$46,MATCH($F48,보온기준!$R$5:$R$46,0)),"DB확인"))</f>
        <v/>
      </c>
      <c r="H48" s="36" t="str">
        <f aca="false">IF(F48="","",IFERROR(INDEX(보온기준!$T$5:$T$46,MATCH($F48,보온기준!$R$5:$R$46,0)),"DB확인"))</f>
        <v/>
      </c>
      <c r="I48" s="38" t="str">
        <f aca="false">IF(F48="","",IFERROR(INDEX(보온기준!$U$5:$U$46,MATCH($F48,보온기준!$R$5:$R$46,0)),"DB확인"))</f>
        <v/>
      </c>
      <c r="J48" s="38" t="str">
        <f aca="false">IF(F48="","",IFERROR(INDEX(보온기준!$V$5:$V$46,MATCH($F48,보온기준!$R$5:$R$46,0)),"DB확인"))</f>
        <v/>
      </c>
      <c r="K48" s="37"/>
      <c r="L48" s="37" t="str">
        <f aca="false">IF(F48="","",IFERROR(ROUND(2*PI()*(INDEX(배관기준!$B$5:$B$39,MATCH(C48,배관기준!$A$5:$A$39,0))+2*D48)/1000+보온기준!$F$17,2),"확인"))</f>
        <v/>
      </c>
      <c r="M48" s="41" t="str">
        <f aca="false">IF(F48="","",E48*N(G48)/1000)</f>
        <v/>
      </c>
      <c r="N48" s="52" t="str">
        <f aca="false">IF(F48="","",E48*N(I48))</f>
        <v/>
      </c>
      <c r="O48" s="41" t="str">
        <f aca="false">IF(F48="","",E48*N(J48))</f>
        <v/>
      </c>
      <c r="P48" s="41" t="str">
        <f aca="false">IF(F48="","",0)</f>
        <v/>
      </c>
      <c r="Q48" s="41" t="str">
        <f aca="false">IF(F48="","",E48*N(L48))</f>
        <v/>
      </c>
      <c r="R48" s="16" t="str">
        <f aca="false">IF(F48="","",IF(ISNUMBER(H48),H48&amp;"A x 50T",""))</f>
        <v/>
      </c>
      <c r="S48" s="114" t="str">
        <f aca="false">IF(F48="","",ROUNDUP(M48,0))</f>
        <v/>
      </c>
    </row>
    <row r="49" customFormat="false" ht="15" hidden="false" customHeight="true" outlineLevel="0" collapsed="false">
      <c r="A49" s="6" t="s">
        <v>1347</v>
      </c>
      <c r="B49" s="6" t="str">
        <f aca="false">IF($C18="","",$B18)</f>
        <v/>
      </c>
      <c r="C49" s="6" t="str">
        <f aca="false">IF($C18="","",$C18)</f>
        <v/>
      </c>
      <c r="D49" s="6" t="str">
        <f aca="false">IF($C18="","",$D18)</f>
        <v/>
      </c>
      <c r="E49" s="114" t="str">
        <f aca="false">IF($C18="","",K18)</f>
        <v/>
      </c>
      <c r="F49" s="76" t="str">
        <f aca="false">IF(OR(C49="",N(E49)=0),"",C49&amp;"|"&amp;IF(AND(N(C49)&gt;=150,N(D49)&lt;40),40,D49))</f>
        <v/>
      </c>
      <c r="G49" s="36" t="str">
        <f aca="false">IF(F49="","",IFERROR(INDEX(보온기준!$S$5:$S$46,MATCH($F49,보온기준!$R$5:$R$46,0)),"DB확인"))</f>
        <v/>
      </c>
      <c r="H49" s="36" t="str">
        <f aca="false">IF(F49="","",IFERROR(INDEX(보온기준!$T$5:$T$46,MATCH($F49,보온기준!$R$5:$R$46,0)),"DB확인"))</f>
        <v/>
      </c>
      <c r="I49" s="38" t="str">
        <f aca="false">IF(F49="","",IFERROR(INDEX(보온기준!$U$5:$U$46,MATCH($F49,보온기준!$R$5:$R$46,0)),"DB확인"))</f>
        <v/>
      </c>
      <c r="J49" s="38" t="str">
        <f aca="false">IF(F49="","",IFERROR(INDEX(보온기준!$V$5:$V$46,MATCH($F49,보온기준!$R$5:$R$46,0)),"DB확인"))</f>
        <v/>
      </c>
      <c r="K49" s="37"/>
      <c r="L49" s="37" t="str">
        <f aca="false">IF(F49="","",IFERROR(ROUND(2*PI()*(INDEX(배관기준!$B$5:$B$39,MATCH(C49,배관기준!$A$5:$A$39,0))+2*D49)/1000+보온기준!$F$17,2),"확인"))</f>
        <v/>
      </c>
      <c r="M49" s="41" t="str">
        <f aca="false">IF(F49="","",E49*N(G49)/1000)</f>
        <v/>
      </c>
      <c r="N49" s="52" t="str">
        <f aca="false">IF(F49="","",E49*N(I49))</f>
        <v/>
      </c>
      <c r="O49" s="41" t="str">
        <f aca="false">IF(F49="","",E49*N(J49))</f>
        <v/>
      </c>
      <c r="P49" s="41" t="str">
        <f aca="false">IF(F49="","",0)</f>
        <v/>
      </c>
      <c r="Q49" s="41" t="str">
        <f aca="false">IF(F49="","",E49*N(L49))</f>
        <v/>
      </c>
      <c r="R49" s="16" t="str">
        <f aca="false">IF(F49="","",IF(ISNUMBER(H49),H49&amp;"A x 50T",""))</f>
        <v/>
      </c>
      <c r="S49" s="114" t="str">
        <f aca="false">IF(F49="","",ROUNDUP(M49,0))</f>
        <v/>
      </c>
    </row>
    <row r="50" customFormat="false" ht="15" hidden="false" customHeight="true" outlineLevel="0" collapsed="false">
      <c r="A50" s="6" t="s">
        <v>1348</v>
      </c>
      <c r="B50" s="6" t="str">
        <f aca="false">IF($C7="","",$B7)</f>
        <v>옥외</v>
      </c>
      <c r="C50" s="6" t="n">
        <f aca="false">IF($C7="","",$C7)</f>
        <v>15</v>
      </c>
      <c r="D50" s="113" t="n">
        <f aca="false">IF($C7="","",$D7)</f>
        <v>50</v>
      </c>
      <c r="E50" s="114" t="n">
        <f aca="false">IF($C7="","",L7)</f>
        <v>0</v>
      </c>
      <c r="F50" s="76" t="str">
        <f aca="false">IF(OR(C50="",N(E50)=0),"",C50&amp;"|"&amp;IF(AND(N(C50)&gt;=150,N(D50)&lt;40),40,D50))</f>
        <v/>
      </c>
      <c r="G50" s="36" t="str">
        <f aca="false">IF(F50="","",IFERROR(INDEX(보온기준!$Y$5:$Y$46,MATCH($F50,보온기준!$X$5:$X$46,0)),"DB확인"))</f>
        <v/>
      </c>
      <c r="H50" s="36"/>
      <c r="I50" s="38" t="str">
        <f aca="false">IF(F50="","",IFERROR(INDEX(보온기준!$AB$5:$AB$46,MATCH($F50,보온기준!$X$5:$X$46,0)),"DB확인"))</f>
        <v/>
      </c>
      <c r="J50" s="38" t="str">
        <f aca="false">IF(F50="","",IFERROR(INDEX(보온기준!$AC$5:$AC$46,MATCH($F50,보온기준!$X$5:$X$46,0)),"DB확인"))</f>
        <v/>
      </c>
      <c r="K50" s="37" t="str">
        <f aca="false">IF(F50="","",IFERROR(INDEX(보온기준!$AA$5:$AA$46,MATCH($F50,보온기준!$X$5:$X$46,0)),"DB확인"))</f>
        <v/>
      </c>
      <c r="L50" s="37" t="str">
        <f aca="false">IF(F50="","",IFERROR(ROUND(2*PI()*(INDEX(배관기준!$B$5:$B$39,MATCH(C50,배관기준!$A$5:$A$39,0))+2*D50)/1000+보온기준!$F$17,2),"확인"))</f>
        <v/>
      </c>
      <c r="M50" s="41" t="str">
        <f aca="false">IF(F50="","",0)</f>
        <v/>
      </c>
      <c r="N50" s="52" t="str">
        <f aca="false">IF(F50="","",E50*N(I50))</f>
        <v/>
      </c>
      <c r="O50" s="41" t="str">
        <f aca="false">IF(F50="","",E50*N(J50))</f>
        <v/>
      </c>
      <c r="P50" s="41" t="str">
        <f aca="false">IF(F50="","",E50*N(K50))</f>
        <v/>
      </c>
      <c r="Q50" s="41" t="str">
        <f aca="false">IF(F50="","",0)</f>
        <v/>
      </c>
      <c r="R50" s="16"/>
      <c r="S50" s="114"/>
    </row>
    <row r="51" customFormat="false" ht="15" hidden="false" customHeight="true" outlineLevel="0" collapsed="false">
      <c r="A51" s="6" t="s">
        <v>1348</v>
      </c>
      <c r="B51" s="6" t="str">
        <f aca="false">IF($C8="","",$B8)</f>
        <v>옥외</v>
      </c>
      <c r="C51" s="6" t="n">
        <f aca="false">IF($C8="","",$C8)</f>
        <v>50</v>
      </c>
      <c r="D51" s="113" t="n">
        <f aca="false">IF($C8="","",$D8)</f>
        <v>50</v>
      </c>
      <c r="E51" s="114" t="n">
        <f aca="false">IF($C8="","",L8)</f>
        <v>3</v>
      </c>
      <c r="F51" s="76" t="str">
        <f aca="false">IF(OR(C51="",N(E51)=0),"",C51&amp;"|"&amp;IF(AND(N(C51)&gt;=150,N(D51)&lt;40),40,D51))</f>
        <v>50|50</v>
      </c>
      <c r="G51" s="36" t="n">
        <f aca="false">IF(F51="","",IFERROR(INDEX(보온기준!$Y$5:$Y$46,MATCH($F51,보온기준!$X$5:$X$46,0)),"DB확인"))</f>
        <v>450</v>
      </c>
      <c r="H51" s="36"/>
      <c r="I51" s="38" t="n">
        <f aca="false">IF(F51="","",IFERROR(INDEX(보온기준!$AB$5:$AB$46,MATCH($F51,보온기준!$X$5:$X$46,0)),"DB확인"))</f>
        <v>0.002</v>
      </c>
      <c r="J51" s="38" t="n">
        <f aca="false">IF(F51="","",IFERROR(INDEX(보온기준!$AC$5:$AC$46,MATCH($F51,보온기준!$X$5:$X$46,0)),"DB확인"))</f>
        <v>0.63</v>
      </c>
      <c r="K51" s="37" t="n">
        <f aca="false">IF(F51="","",IFERROR(INDEX(보온기준!$AA$5:$AA$46,MATCH($F51,보온기준!$X$5:$X$46,0)),"DB확인"))</f>
        <v>0.46</v>
      </c>
      <c r="L51" s="37" t="n">
        <f aca="false">IF(F51="","",IFERROR(ROUND(2*PI()*(INDEX(배관기준!$B$5:$B$39,MATCH(C51,배관기준!$A$5:$A$39,0))+2*D51)/1000+보온기준!$F$17,2),"확인"))</f>
        <v>1.84</v>
      </c>
      <c r="M51" s="41" t="n">
        <f aca="false">IF(F51="","",0)</f>
        <v>0</v>
      </c>
      <c r="N51" s="52" t="n">
        <f aca="false">IF(F51="","",E51*N(I51))</f>
        <v>0.006</v>
      </c>
      <c r="O51" s="41" t="n">
        <f aca="false">IF(F51="","",E51*N(J51))</f>
        <v>1.89</v>
      </c>
      <c r="P51" s="41" t="n">
        <f aca="false">IF(F51="","",E51*N(K51))</f>
        <v>1.38</v>
      </c>
      <c r="Q51" s="41" t="n">
        <f aca="false">IF(F51="","",0)</f>
        <v>0</v>
      </c>
      <c r="R51" s="16"/>
      <c r="S51" s="114"/>
    </row>
    <row r="52" customFormat="false" ht="15" hidden="false" customHeight="true" outlineLevel="0" collapsed="false">
      <c r="A52" s="6" t="s">
        <v>1348</v>
      </c>
      <c r="B52" s="6" t="str">
        <f aca="false">IF($C9="","",$B9)</f>
        <v>옥외</v>
      </c>
      <c r="C52" s="6" t="n">
        <f aca="false">IF($C9="","",$C9)</f>
        <v>80</v>
      </c>
      <c r="D52" s="113" t="n">
        <f aca="false">IF($C9="","",$D9)</f>
        <v>50</v>
      </c>
      <c r="E52" s="114" t="n">
        <f aca="false">IF($C9="","",L9)</f>
        <v>1</v>
      </c>
      <c r="F52" s="76" t="str">
        <f aca="false">IF(OR(C52="",N(E52)=0),"",C52&amp;"|"&amp;IF(AND(N(C52)&gt;=150,N(D52)&lt;40),40,D52))</f>
        <v>80|50</v>
      </c>
      <c r="G52" s="36" t="n">
        <f aca="false">IF(F52="","",IFERROR(INDEX(보온기준!$Y$5:$Y$46,MATCH($F52,보온기준!$X$5:$X$46,0)),"DB확인"))</f>
        <v>450</v>
      </c>
      <c r="H52" s="36"/>
      <c r="I52" s="38" t="n">
        <f aca="false">IF(F52="","",IFERROR(INDEX(보온기준!$AB$5:$AB$46,MATCH($F52,보온기준!$X$5:$X$46,0)),"DB확인"))</f>
        <v>0.002</v>
      </c>
      <c r="J52" s="38" t="n">
        <f aca="false">IF(F52="","",IFERROR(INDEX(보온기준!$AC$5:$AC$46,MATCH($F52,보온기준!$X$5:$X$46,0)),"DB확인"))</f>
        <v>0.76</v>
      </c>
      <c r="K52" s="37" t="n">
        <f aca="false">IF(F52="","",IFERROR(INDEX(보온기준!$AA$5:$AA$46,MATCH($F52,보온기준!$X$5:$X$46,0)),"DB확인"))</f>
        <v>0.58</v>
      </c>
      <c r="L52" s="37" t="n">
        <f aca="false">IF(F52="","",IFERROR(ROUND(2*PI()*(INDEX(배관기준!$B$5:$B$39,MATCH(C52,배관기준!$A$5:$A$39,0))+2*D52)/1000+보온기준!$F$17,2),"확인"))</f>
        <v>2.02</v>
      </c>
      <c r="M52" s="41" t="n">
        <f aca="false">IF(F52="","",0)</f>
        <v>0</v>
      </c>
      <c r="N52" s="52" t="n">
        <f aca="false">IF(F52="","",E52*N(I52))</f>
        <v>0.002</v>
      </c>
      <c r="O52" s="41" t="n">
        <f aca="false">IF(F52="","",E52*N(J52))</f>
        <v>0.76</v>
      </c>
      <c r="P52" s="41" t="n">
        <f aca="false">IF(F52="","",E52*N(K52))</f>
        <v>0.58</v>
      </c>
      <c r="Q52" s="41" t="n">
        <f aca="false">IF(F52="","",0)</f>
        <v>0</v>
      </c>
      <c r="R52" s="16"/>
      <c r="S52" s="114"/>
    </row>
    <row r="53" customFormat="false" ht="15" hidden="false" customHeight="true" outlineLevel="0" collapsed="false">
      <c r="A53" s="6" t="s">
        <v>1348</v>
      </c>
      <c r="B53" s="6" t="str">
        <f aca="false">IF($C10="","",$B10)</f>
        <v>옥외</v>
      </c>
      <c r="C53" s="6" t="n">
        <f aca="false">IF($C10="","",$C10)</f>
        <v>150</v>
      </c>
      <c r="D53" s="113" t="n">
        <f aca="false">IF($C10="","",$D10)</f>
        <v>30</v>
      </c>
      <c r="E53" s="114" t="n">
        <f aca="false">IF($C10="","",L10)</f>
        <v>2</v>
      </c>
      <c r="F53" s="76" t="str">
        <f aca="false">IF(OR(C53="",N(E53)=0),"",C53&amp;"|"&amp;IF(AND(N(C53)&gt;=150,N(D53)&lt;40),40,D53))</f>
        <v>150|40</v>
      </c>
      <c r="G53" s="36" t="n">
        <f aca="false">IF(F53="","",IFERROR(INDEX(보온기준!$Y$5:$Y$46,MATCH($F53,보온기준!$X$5:$X$46,0)),"DB확인"))</f>
        <v>550</v>
      </c>
      <c r="H53" s="36"/>
      <c r="I53" s="38" t="n">
        <f aca="false">IF(F53="","",IFERROR(INDEX(보온기준!$AB$5:$AB$46,MATCH($F53,보온기준!$X$5:$X$46,0)),"DB확인"))</f>
        <v>0.003</v>
      </c>
      <c r="J53" s="38" t="n">
        <f aca="false">IF(F53="","",IFERROR(INDEX(보온기준!$AC$5:$AC$46,MATCH($F53,보온기준!$X$5:$X$46,0)),"DB확인"))</f>
        <v>0.67</v>
      </c>
      <c r="K53" s="37" t="n">
        <f aca="false">IF(F53="","",IFERROR(INDEX(보온기준!$AA$5:$AA$46,MATCH($F53,보온기준!$X$5:$X$46,0)),"DB확인"))</f>
        <v>0.6</v>
      </c>
      <c r="L53" s="37" t="n">
        <f aca="false">IF(F53="","",IFERROR(ROUND(2*PI()*(INDEX(배관기준!$B$5:$B$39,MATCH(C53,배관기준!$A$5:$A$39,0))+2*D53)/1000+보온기준!$F$17,2),"확인"))</f>
        <v>2.24</v>
      </c>
      <c r="M53" s="41" t="n">
        <f aca="false">IF(F53="","",0)</f>
        <v>0</v>
      </c>
      <c r="N53" s="52" t="n">
        <f aca="false">IF(F53="","",E53*N(I53))</f>
        <v>0.006</v>
      </c>
      <c r="O53" s="41" t="n">
        <f aca="false">IF(F53="","",E53*N(J53))</f>
        <v>1.34</v>
      </c>
      <c r="P53" s="41" t="n">
        <f aca="false">IF(F53="","",E53*N(K53))</f>
        <v>1.2</v>
      </c>
      <c r="Q53" s="41" t="n">
        <f aca="false">IF(F53="","",0)</f>
        <v>0</v>
      </c>
      <c r="R53" s="16"/>
      <c r="S53" s="114"/>
    </row>
    <row r="54" customFormat="false" ht="15" hidden="false" customHeight="true" outlineLevel="0" collapsed="false">
      <c r="A54" s="6" t="s">
        <v>1348</v>
      </c>
      <c r="B54" s="6" t="str">
        <f aca="false">IF($C11="","",$B11)</f>
        <v>옥외</v>
      </c>
      <c r="C54" s="6" t="n">
        <f aca="false">IF($C11="","",$C11)</f>
        <v>200</v>
      </c>
      <c r="D54" s="113" t="n">
        <f aca="false">IF($C11="","",$D11)</f>
        <v>30</v>
      </c>
      <c r="E54" s="114" t="n">
        <f aca="false">IF($C11="","",L11)</f>
        <v>1</v>
      </c>
      <c r="F54" s="76" t="str">
        <f aca="false">IF(OR(C54="",N(E54)=0),"",C54&amp;"|"&amp;IF(AND(N(C54)&gt;=150,N(D54)&lt;40),40,D54))</f>
        <v>200|40</v>
      </c>
      <c r="G54" s="36" t="n">
        <f aca="false">IF(F54="","",IFERROR(INDEX(보온기준!$Y$5:$Y$46,MATCH($F54,보온기준!$X$5:$X$46,0)),"DB확인"))</f>
        <v>550</v>
      </c>
      <c r="H54" s="36"/>
      <c r="I54" s="38" t="n">
        <f aca="false">IF(F54="","",IFERROR(INDEX(보온기준!$AB$5:$AB$46,MATCH($F54,보온기준!$X$5:$X$46,0)),"DB확인"))</f>
        <v>0.004</v>
      </c>
      <c r="J54" s="38" t="n">
        <f aca="false">IF(F54="","",IFERROR(INDEX(보온기준!$AC$5:$AC$46,MATCH($F54,보온기준!$X$5:$X$46,0)),"DB확인"))</f>
        <v>0.85</v>
      </c>
      <c r="K54" s="37" t="n">
        <f aca="false">IF(F54="","",IFERROR(INDEX(보온기준!$AA$5:$AA$46,MATCH($F54,보온기준!$X$5:$X$46,0)),"DB확인"))</f>
        <v>0.78</v>
      </c>
      <c r="L54" s="37" t="n">
        <f aca="false">IF(F54="","",IFERROR(ROUND(2*PI()*(INDEX(배관기준!$B$5:$B$39,MATCH(C54,배관기준!$A$5:$A$39,0))+2*D54)/1000+보온기준!$F$17,2),"확인"))</f>
        <v>2.57</v>
      </c>
      <c r="M54" s="41" t="n">
        <f aca="false">IF(F54="","",0)</f>
        <v>0</v>
      </c>
      <c r="N54" s="52" t="n">
        <f aca="false">IF(F54="","",E54*N(I54))</f>
        <v>0.004</v>
      </c>
      <c r="O54" s="41" t="n">
        <f aca="false">IF(F54="","",E54*N(J54))</f>
        <v>0.85</v>
      </c>
      <c r="P54" s="41" t="n">
        <f aca="false">IF(F54="","",E54*N(K54))</f>
        <v>0.78</v>
      </c>
      <c r="Q54" s="41" t="n">
        <f aca="false">IF(F54="","",0)</f>
        <v>0</v>
      </c>
      <c r="R54" s="16"/>
      <c r="S54" s="114"/>
    </row>
    <row r="55" customFormat="false" ht="15" hidden="false" customHeight="true" outlineLevel="0" collapsed="false">
      <c r="A55" s="6" t="s">
        <v>1348</v>
      </c>
      <c r="B55" s="6" t="str">
        <f aca="false">IF($C12="","",$B12)</f>
        <v>옥외</v>
      </c>
      <c r="C55" s="6" t="n">
        <f aca="false">IF($C12="","",$C12)</f>
        <v>250</v>
      </c>
      <c r="D55" s="113" t="n">
        <f aca="false">IF($C12="","",$D12)</f>
        <v>30</v>
      </c>
      <c r="E55" s="114" t="n">
        <f aca="false">IF($C12="","",L12)</f>
        <v>0</v>
      </c>
      <c r="F55" s="76" t="str">
        <f aca="false">IF(OR(C55="",N(E55)=0),"",C55&amp;"|"&amp;IF(AND(N(C55)&gt;=150,N(D55)&lt;40),40,D55))</f>
        <v/>
      </c>
      <c r="G55" s="36" t="str">
        <f aca="false">IF(F55="","",IFERROR(INDEX(보온기준!$Y$5:$Y$46,MATCH($F55,보온기준!$X$5:$X$46,0)),"DB확인"))</f>
        <v/>
      </c>
      <c r="H55" s="36"/>
      <c r="I55" s="38" t="str">
        <f aca="false">IF(F55="","",IFERROR(INDEX(보온기준!$AB$5:$AB$46,MATCH($F55,보온기준!$X$5:$X$46,0)),"DB확인"))</f>
        <v/>
      </c>
      <c r="J55" s="38" t="str">
        <f aca="false">IF(F55="","",IFERROR(INDEX(보온기준!$AC$5:$AC$46,MATCH($F55,보온기준!$X$5:$X$46,0)),"DB확인"))</f>
        <v/>
      </c>
      <c r="K55" s="37" t="str">
        <f aca="false">IF(F55="","",IFERROR(INDEX(보온기준!$AA$5:$AA$46,MATCH($F55,보온기준!$X$5:$X$46,0)),"DB확인"))</f>
        <v/>
      </c>
      <c r="L55" s="37" t="str">
        <f aca="false">IF(F55="","",IFERROR(ROUND(2*PI()*(INDEX(배관기준!$B$5:$B$39,MATCH(C55,배관기준!$A$5:$A$39,0))+2*D55)/1000+보온기준!$F$17,2),"확인"))</f>
        <v/>
      </c>
      <c r="M55" s="41" t="str">
        <f aca="false">IF(F55="","",0)</f>
        <v/>
      </c>
      <c r="N55" s="52" t="str">
        <f aca="false">IF(F55="","",E55*N(I55))</f>
        <v/>
      </c>
      <c r="O55" s="41" t="str">
        <f aca="false">IF(F55="","",E55*N(J55))</f>
        <v/>
      </c>
      <c r="P55" s="41" t="str">
        <f aca="false">IF(F55="","",E55*N(K55))</f>
        <v/>
      </c>
      <c r="Q55" s="41" t="str">
        <f aca="false">IF(F55="","",0)</f>
        <v/>
      </c>
      <c r="R55" s="16"/>
      <c r="S55" s="114"/>
    </row>
    <row r="56" customFormat="false" ht="15" hidden="false" customHeight="true" outlineLevel="0" collapsed="false">
      <c r="A56" s="6" t="s">
        <v>1348</v>
      </c>
      <c r="B56" s="6" t="str">
        <f aca="false">IF($C13="","",$B13)</f>
        <v>옥외</v>
      </c>
      <c r="C56" s="6" t="n">
        <f aca="false">IF($C13="","",$C13)</f>
        <v>300</v>
      </c>
      <c r="D56" s="113" t="n">
        <f aca="false">IF($C13="","",$D13)</f>
        <v>0</v>
      </c>
      <c r="E56" s="114" t="n">
        <f aca="false">IF($C13="","",L13)</f>
        <v>0</v>
      </c>
      <c r="F56" s="76" t="str">
        <f aca="false">IF(OR(C56="",N(E56)=0),"",C56&amp;"|"&amp;IF(AND(N(C56)&gt;=150,N(D56)&lt;40),40,D56))</f>
        <v/>
      </c>
      <c r="G56" s="36" t="str">
        <f aca="false">IF(F56="","",IFERROR(INDEX(보온기준!$Y$5:$Y$46,MATCH($F56,보온기준!$X$5:$X$46,0)),"DB확인"))</f>
        <v/>
      </c>
      <c r="H56" s="36"/>
      <c r="I56" s="38" t="str">
        <f aca="false">IF(F56="","",IFERROR(INDEX(보온기준!$AB$5:$AB$46,MATCH($F56,보온기준!$X$5:$X$46,0)),"DB확인"))</f>
        <v/>
      </c>
      <c r="J56" s="38" t="str">
        <f aca="false">IF(F56="","",IFERROR(INDEX(보온기준!$AC$5:$AC$46,MATCH($F56,보온기준!$X$5:$X$46,0)),"DB확인"))</f>
        <v/>
      </c>
      <c r="K56" s="37" t="str">
        <f aca="false">IF(F56="","",IFERROR(INDEX(보온기준!$AA$5:$AA$46,MATCH($F56,보온기준!$X$5:$X$46,0)),"DB확인"))</f>
        <v/>
      </c>
      <c r="L56" s="37" t="str">
        <f aca="false">IF(F56="","",IFERROR(ROUND(2*PI()*(INDEX(배관기준!$B$5:$B$39,MATCH(C56,배관기준!$A$5:$A$39,0))+2*D56)/1000+보온기준!$F$17,2),"확인"))</f>
        <v/>
      </c>
      <c r="M56" s="41" t="str">
        <f aca="false">IF(F56="","",0)</f>
        <v/>
      </c>
      <c r="N56" s="52" t="str">
        <f aca="false">IF(F56="","",E56*N(I56))</f>
        <v/>
      </c>
      <c r="O56" s="41" t="str">
        <f aca="false">IF(F56="","",E56*N(J56))</f>
        <v/>
      </c>
      <c r="P56" s="41" t="str">
        <f aca="false">IF(F56="","",E56*N(K56))</f>
        <v/>
      </c>
      <c r="Q56" s="41" t="str">
        <f aca="false">IF(F56="","",0)</f>
        <v/>
      </c>
      <c r="R56" s="16"/>
      <c r="S56" s="114"/>
    </row>
    <row r="57" customFormat="false" ht="15" hidden="false" customHeight="true" outlineLevel="0" collapsed="false">
      <c r="A57" s="6" t="s">
        <v>1348</v>
      </c>
      <c r="B57" s="6" t="str">
        <f aca="false">IF($C14="","",$B14)</f>
        <v/>
      </c>
      <c r="C57" s="6" t="str">
        <f aca="false">IF($C14="","",$C14)</f>
        <v/>
      </c>
      <c r="D57" s="6" t="str">
        <f aca="false">IF($C14="","",$D14)</f>
        <v/>
      </c>
      <c r="E57" s="114" t="str">
        <f aca="false">IF($C14="","",L14)</f>
        <v/>
      </c>
      <c r="F57" s="76" t="str">
        <f aca="false">IF(OR(C57="",N(E57)=0),"",C57&amp;"|"&amp;IF(AND(N(C57)&gt;=150,N(D57)&lt;40),40,D57))</f>
        <v/>
      </c>
      <c r="G57" s="36" t="str">
        <f aca="false">IF(F57="","",IFERROR(INDEX(보온기준!$Y$5:$Y$46,MATCH($F57,보온기준!$X$5:$X$46,0)),"DB확인"))</f>
        <v/>
      </c>
      <c r="H57" s="36"/>
      <c r="I57" s="38" t="str">
        <f aca="false">IF(F57="","",IFERROR(INDEX(보온기준!$AB$5:$AB$46,MATCH($F57,보온기준!$X$5:$X$46,0)),"DB확인"))</f>
        <v/>
      </c>
      <c r="J57" s="38" t="str">
        <f aca="false">IF(F57="","",IFERROR(INDEX(보온기준!$AC$5:$AC$46,MATCH($F57,보온기준!$X$5:$X$46,0)),"DB확인"))</f>
        <v/>
      </c>
      <c r="K57" s="37" t="str">
        <f aca="false">IF(F57="","",IFERROR(INDEX(보온기준!$AA$5:$AA$46,MATCH($F57,보온기준!$X$5:$X$46,0)),"DB확인"))</f>
        <v/>
      </c>
      <c r="L57" s="37" t="str">
        <f aca="false">IF(F57="","",IFERROR(ROUND(2*PI()*(INDEX(배관기준!$B$5:$B$39,MATCH(C57,배관기준!$A$5:$A$39,0))+2*D57)/1000+보온기준!$F$17,2),"확인"))</f>
        <v/>
      </c>
      <c r="M57" s="41" t="str">
        <f aca="false">IF(F57="","",0)</f>
        <v/>
      </c>
      <c r="N57" s="52" t="str">
        <f aca="false">IF(F57="","",E57*N(I57))</f>
        <v/>
      </c>
      <c r="O57" s="41" t="str">
        <f aca="false">IF(F57="","",E57*N(J57))</f>
        <v/>
      </c>
      <c r="P57" s="41" t="str">
        <f aca="false">IF(F57="","",E57*N(K57))</f>
        <v/>
      </c>
      <c r="Q57" s="41" t="str">
        <f aca="false">IF(F57="","",0)</f>
        <v/>
      </c>
      <c r="R57" s="16"/>
      <c r="S57" s="114"/>
    </row>
    <row r="58" customFormat="false" ht="15" hidden="false" customHeight="true" outlineLevel="0" collapsed="false">
      <c r="A58" s="6" t="s">
        <v>1348</v>
      </c>
      <c r="B58" s="6" t="str">
        <f aca="false">IF($C15="","",$B15)</f>
        <v/>
      </c>
      <c r="C58" s="6" t="str">
        <f aca="false">IF($C15="","",$C15)</f>
        <v/>
      </c>
      <c r="D58" s="6" t="str">
        <f aca="false">IF($C15="","",$D15)</f>
        <v/>
      </c>
      <c r="E58" s="114" t="str">
        <f aca="false">IF($C15="","",L15)</f>
        <v/>
      </c>
      <c r="F58" s="76" t="str">
        <f aca="false">IF(OR(C58="",N(E58)=0),"",C58&amp;"|"&amp;IF(AND(N(C58)&gt;=150,N(D58)&lt;40),40,D58))</f>
        <v/>
      </c>
      <c r="G58" s="36" t="str">
        <f aca="false">IF(F58="","",IFERROR(INDEX(보온기준!$Y$5:$Y$46,MATCH($F58,보온기준!$X$5:$X$46,0)),"DB확인"))</f>
        <v/>
      </c>
      <c r="H58" s="36"/>
      <c r="I58" s="38" t="str">
        <f aca="false">IF(F58="","",IFERROR(INDEX(보온기준!$AB$5:$AB$46,MATCH($F58,보온기준!$X$5:$X$46,0)),"DB확인"))</f>
        <v/>
      </c>
      <c r="J58" s="38" t="str">
        <f aca="false">IF(F58="","",IFERROR(INDEX(보온기준!$AC$5:$AC$46,MATCH($F58,보온기준!$X$5:$X$46,0)),"DB확인"))</f>
        <v/>
      </c>
      <c r="K58" s="37" t="str">
        <f aca="false">IF(F58="","",IFERROR(INDEX(보온기준!$AA$5:$AA$46,MATCH($F58,보온기준!$X$5:$X$46,0)),"DB확인"))</f>
        <v/>
      </c>
      <c r="L58" s="37" t="str">
        <f aca="false">IF(F58="","",IFERROR(ROUND(2*PI()*(INDEX(배관기준!$B$5:$B$39,MATCH(C58,배관기준!$A$5:$A$39,0))+2*D58)/1000+보온기준!$F$17,2),"확인"))</f>
        <v/>
      </c>
      <c r="M58" s="41" t="str">
        <f aca="false">IF(F58="","",0)</f>
        <v/>
      </c>
      <c r="N58" s="52" t="str">
        <f aca="false">IF(F58="","",E58*N(I58))</f>
        <v/>
      </c>
      <c r="O58" s="41" t="str">
        <f aca="false">IF(F58="","",E58*N(J58))</f>
        <v/>
      </c>
      <c r="P58" s="41" t="str">
        <f aca="false">IF(F58="","",E58*N(K58))</f>
        <v/>
      </c>
      <c r="Q58" s="41" t="str">
        <f aca="false">IF(F58="","",0)</f>
        <v/>
      </c>
      <c r="R58" s="16"/>
      <c r="S58" s="114"/>
    </row>
    <row r="59" customFormat="false" ht="15" hidden="false" customHeight="true" outlineLevel="0" collapsed="false">
      <c r="A59" s="6" t="s">
        <v>1348</v>
      </c>
      <c r="B59" s="6" t="str">
        <f aca="false">IF($C16="","",$B16)</f>
        <v/>
      </c>
      <c r="C59" s="6" t="str">
        <f aca="false">IF($C16="","",$C16)</f>
        <v/>
      </c>
      <c r="D59" s="6" t="str">
        <f aca="false">IF($C16="","",$D16)</f>
        <v/>
      </c>
      <c r="E59" s="114" t="str">
        <f aca="false">IF($C16="","",L16)</f>
        <v/>
      </c>
      <c r="F59" s="76" t="str">
        <f aca="false">IF(OR(C59="",N(E59)=0),"",C59&amp;"|"&amp;IF(AND(N(C59)&gt;=150,N(D59)&lt;40),40,D59))</f>
        <v/>
      </c>
      <c r="G59" s="36" t="str">
        <f aca="false">IF(F59="","",IFERROR(INDEX(보온기준!$Y$5:$Y$46,MATCH($F59,보온기준!$X$5:$X$46,0)),"DB확인"))</f>
        <v/>
      </c>
      <c r="H59" s="36"/>
      <c r="I59" s="38" t="str">
        <f aca="false">IF(F59="","",IFERROR(INDEX(보온기준!$AB$5:$AB$46,MATCH($F59,보온기준!$X$5:$X$46,0)),"DB확인"))</f>
        <v/>
      </c>
      <c r="J59" s="38" t="str">
        <f aca="false">IF(F59="","",IFERROR(INDEX(보온기준!$AC$5:$AC$46,MATCH($F59,보온기준!$X$5:$X$46,0)),"DB확인"))</f>
        <v/>
      </c>
      <c r="K59" s="37" t="str">
        <f aca="false">IF(F59="","",IFERROR(INDEX(보온기준!$AA$5:$AA$46,MATCH($F59,보온기준!$X$5:$X$46,0)),"DB확인"))</f>
        <v/>
      </c>
      <c r="L59" s="37" t="str">
        <f aca="false">IF(F59="","",IFERROR(ROUND(2*PI()*(INDEX(배관기준!$B$5:$B$39,MATCH(C59,배관기준!$A$5:$A$39,0))+2*D59)/1000+보온기준!$F$17,2),"확인"))</f>
        <v/>
      </c>
      <c r="M59" s="41" t="str">
        <f aca="false">IF(F59="","",0)</f>
        <v/>
      </c>
      <c r="N59" s="52" t="str">
        <f aca="false">IF(F59="","",E59*N(I59))</f>
        <v/>
      </c>
      <c r="O59" s="41" t="str">
        <f aca="false">IF(F59="","",E59*N(J59))</f>
        <v/>
      </c>
      <c r="P59" s="41" t="str">
        <f aca="false">IF(F59="","",E59*N(K59))</f>
        <v/>
      </c>
      <c r="Q59" s="41" t="str">
        <f aca="false">IF(F59="","",0)</f>
        <v/>
      </c>
      <c r="R59" s="16"/>
      <c r="S59" s="114"/>
    </row>
    <row r="60" customFormat="false" ht="15" hidden="false" customHeight="true" outlineLevel="0" collapsed="false">
      <c r="A60" s="6" t="s">
        <v>1348</v>
      </c>
      <c r="B60" s="6" t="str">
        <f aca="false">IF($C17="","",$B17)</f>
        <v/>
      </c>
      <c r="C60" s="6" t="str">
        <f aca="false">IF($C17="","",$C17)</f>
        <v/>
      </c>
      <c r="D60" s="6" t="str">
        <f aca="false">IF($C17="","",$D17)</f>
        <v/>
      </c>
      <c r="E60" s="114" t="str">
        <f aca="false">IF($C17="","",L17)</f>
        <v/>
      </c>
      <c r="F60" s="76" t="str">
        <f aca="false">IF(OR(C60="",N(E60)=0),"",C60&amp;"|"&amp;IF(AND(N(C60)&gt;=150,N(D60)&lt;40),40,D60))</f>
        <v/>
      </c>
      <c r="G60" s="36" t="str">
        <f aca="false">IF(F60="","",IFERROR(INDEX(보온기준!$Y$5:$Y$46,MATCH($F60,보온기준!$X$5:$X$46,0)),"DB확인"))</f>
        <v/>
      </c>
      <c r="H60" s="36"/>
      <c r="I60" s="38" t="str">
        <f aca="false">IF(F60="","",IFERROR(INDEX(보온기준!$AB$5:$AB$46,MATCH($F60,보온기준!$X$5:$X$46,0)),"DB확인"))</f>
        <v/>
      </c>
      <c r="J60" s="38" t="str">
        <f aca="false">IF(F60="","",IFERROR(INDEX(보온기준!$AC$5:$AC$46,MATCH($F60,보온기준!$X$5:$X$46,0)),"DB확인"))</f>
        <v/>
      </c>
      <c r="K60" s="37" t="str">
        <f aca="false">IF(F60="","",IFERROR(INDEX(보온기준!$AA$5:$AA$46,MATCH($F60,보온기준!$X$5:$X$46,0)),"DB확인"))</f>
        <v/>
      </c>
      <c r="L60" s="37" t="str">
        <f aca="false">IF(F60="","",IFERROR(ROUND(2*PI()*(INDEX(배관기준!$B$5:$B$39,MATCH(C60,배관기준!$A$5:$A$39,0))+2*D60)/1000+보온기준!$F$17,2),"확인"))</f>
        <v/>
      </c>
      <c r="M60" s="41" t="str">
        <f aca="false">IF(F60="","",0)</f>
        <v/>
      </c>
      <c r="N60" s="52" t="str">
        <f aca="false">IF(F60="","",E60*N(I60))</f>
        <v/>
      </c>
      <c r="O60" s="41" t="str">
        <f aca="false">IF(F60="","",E60*N(J60))</f>
        <v/>
      </c>
      <c r="P60" s="41" t="str">
        <f aca="false">IF(F60="","",E60*N(K60))</f>
        <v/>
      </c>
      <c r="Q60" s="41" t="str">
        <f aca="false">IF(F60="","",0)</f>
        <v/>
      </c>
      <c r="R60" s="16"/>
      <c r="S60" s="114"/>
    </row>
    <row r="61" customFormat="false" ht="15" hidden="false" customHeight="true" outlineLevel="0" collapsed="false">
      <c r="A61" s="6" t="s">
        <v>1348</v>
      </c>
      <c r="B61" s="6" t="str">
        <f aca="false">IF($C18="","",$B18)</f>
        <v/>
      </c>
      <c r="C61" s="6" t="str">
        <f aca="false">IF($C18="","",$C18)</f>
        <v/>
      </c>
      <c r="D61" s="6" t="str">
        <f aca="false">IF($C18="","",$D18)</f>
        <v/>
      </c>
      <c r="E61" s="114" t="str">
        <f aca="false">IF($C18="","",L18)</f>
        <v/>
      </c>
      <c r="F61" s="76" t="str">
        <f aca="false">IF(OR(C61="",N(E61)=0),"",C61&amp;"|"&amp;IF(AND(N(C61)&gt;=150,N(D61)&lt;40),40,D61))</f>
        <v/>
      </c>
      <c r="G61" s="36" t="str">
        <f aca="false">IF(F61="","",IFERROR(INDEX(보온기준!$Y$5:$Y$46,MATCH($F61,보온기준!$X$5:$X$46,0)),"DB확인"))</f>
        <v/>
      </c>
      <c r="H61" s="36"/>
      <c r="I61" s="38" t="str">
        <f aca="false">IF(F61="","",IFERROR(INDEX(보온기준!$AB$5:$AB$46,MATCH($F61,보온기준!$X$5:$X$46,0)),"DB확인"))</f>
        <v/>
      </c>
      <c r="J61" s="38" t="str">
        <f aca="false">IF(F61="","",IFERROR(INDEX(보온기준!$AC$5:$AC$46,MATCH($F61,보온기준!$X$5:$X$46,0)),"DB확인"))</f>
        <v/>
      </c>
      <c r="K61" s="37" t="str">
        <f aca="false">IF(F61="","",IFERROR(INDEX(보온기준!$AA$5:$AA$46,MATCH($F61,보온기준!$X$5:$X$46,0)),"DB확인"))</f>
        <v/>
      </c>
      <c r="L61" s="37" t="str">
        <f aca="false">IF(F61="","",IFERROR(ROUND(2*PI()*(INDEX(배관기준!$B$5:$B$39,MATCH(C61,배관기준!$A$5:$A$39,0))+2*D61)/1000+보온기준!$F$17,2),"확인"))</f>
        <v/>
      </c>
      <c r="M61" s="41" t="str">
        <f aca="false">IF(F61="","",0)</f>
        <v/>
      </c>
      <c r="N61" s="52" t="str">
        <f aca="false">IF(F61="","",E61*N(I61))</f>
        <v/>
      </c>
      <c r="O61" s="41" t="str">
        <f aca="false">IF(F61="","",E61*N(J61))</f>
        <v/>
      </c>
      <c r="P61" s="41" t="str">
        <f aca="false">IF(F61="","",E61*N(K61))</f>
        <v/>
      </c>
      <c r="Q61" s="41" t="str">
        <f aca="false">IF(F61="","",0)</f>
        <v/>
      </c>
      <c r="R61" s="16"/>
      <c r="S61" s="114"/>
    </row>
    <row r="62" customFormat="false" ht="15" hidden="false" customHeight="true" outlineLevel="0" collapsed="false">
      <c r="A62" s="44" t="s">
        <v>160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46" t="n">
        <f aca="false">SUM(M26:M61)</f>
        <v>3.25</v>
      </c>
      <c r="N62" s="46" t="n">
        <f aca="false">SUM(N26:N61)</f>
        <v>0.053</v>
      </c>
      <c r="O62" s="46" t="n">
        <f aca="false">SUM(O26:O61)</f>
        <v>9.582</v>
      </c>
      <c r="P62" s="46" t="n">
        <f aca="false">SUM(P26:P61)</f>
        <v>3.94</v>
      </c>
      <c r="Q62" s="46" t="n">
        <f aca="false">SUM(Q26:Q61)</f>
        <v>18.54</v>
      </c>
      <c r="R62" s="10"/>
      <c r="S62" s="10"/>
    </row>
    <row r="63" customFormat="false" ht="15" hidden="false" customHeight="true" outlineLevel="0" collapsed="false">
      <c r="A63" s="29" t="s">
        <v>1349</v>
      </c>
    </row>
    <row r="65" customFormat="false" ht="15" hidden="false" customHeight="true" outlineLevel="0" collapsed="false">
      <c r="A65" s="50" t="s">
        <v>1350</v>
      </c>
    </row>
    <row r="66" customFormat="false" ht="43.5" hidden="false" customHeight="true" outlineLevel="0" collapsed="false">
      <c r="A66" s="31" t="s">
        <v>117</v>
      </c>
      <c r="B66" s="4" t="s">
        <v>1310</v>
      </c>
      <c r="C66" s="4" t="s">
        <v>680</v>
      </c>
      <c r="D66" s="4" t="s">
        <v>1330</v>
      </c>
      <c r="E66" s="31" t="s">
        <v>1351</v>
      </c>
      <c r="F66" s="31" t="s">
        <v>1352</v>
      </c>
      <c r="G66" s="4" t="s">
        <v>1353</v>
      </c>
      <c r="H66" s="31" t="s">
        <v>1354</v>
      </c>
      <c r="I66" s="31" t="s">
        <v>1355</v>
      </c>
      <c r="J66" s="31" t="s">
        <v>1356</v>
      </c>
      <c r="K66" s="31" t="s">
        <v>1357</v>
      </c>
      <c r="L66" s="31" t="s">
        <v>1358</v>
      </c>
      <c r="M66" s="31" t="s">
        <v>1359</v>
      </c>
      <c r="N66" s="31" t="s">
        <v>1360</v>
      </c>
      <c r="O66" s="31" t="s">
        <v>1361</v>
      </c>
      <c r="P66" s="31" t="s">
        <v>1362</v>
      </c>
      <c r="Q66" s="31" t="s">
        <v>1363</v>
      </c>
      <c r="R66" s="31" t="s">
        <v>1364</v>
      </c>
      <c r="S66" s="4" t="s">
        <v>1343</v>
      </c>
      <c r="T66" s="31" t="s">
        <v>1365</v>
      </c>
      <c r="U66" s="31" t="s">
        <v>1366</v>
      </c>
      <c r="V66" s="4" t="s">
        <v>1367</v>
      </c>
    </row>
    <row r="67" customFormat="false" ht="15" hidden="false" customHeight="true" outlineLevel="0" collapsed="false">
      <c r="A67" s="6" t="n">
        <f aca="false">IF($C7="","",A7)</f>
        <v>1</v>
      </c>
      <c r="B67" s="6" t="str">
        <f aca="false">IF($C7="","",$B7)</f>
        <v>옥외</v>
      </c>
      <c r="C67" s="6" t="n">
        <f aca="false">IF($C7="","",$C7)</f>
        <v>15</v>
      </c>
      <c r="D67" s="113" t="n">
        <f aca="false">IF($C7="","",$D7)</f>
        <v>50</v>
      </c>
      <c r="E67" s="15" t="n">
        <f aca="false">IF($C7="","",IF($B7="옥내",E7,0))</f>
        <v>0</v>
      </c>
      <c r="F67" s="15" t="n">
        <f aca="false">IF($C7="","",IF($B7="옥외",E7,0))</f>
        <v>1.837</v>
      </c>
      <c r="G67" s="15" t="n">
        <f aca="false">IF($C7="","",E7)</f>
        <v>1.837</v>
      </c>
      <c r="H67" s="114" t="n">
        <f aca="false">IF($C7="","",ROUND(G67*(1+보온기준!$F$6),0))</f>
        <v>2</v>
      </c>
      <c r="I67" s="114" t="n">
        <f aca="false">IF($C7="","",F7)</f>
        <v>6</v>
      </c>
      <c r="J67" s="114" t="n">
        <f aca="false">IF($C7="","",ROUND(I67*(1+보온기준!$F$7),0))</f>
        <v>6</v>
      </c>
      <c r="K67" s="114" t="n">
        <f aca="false">IF($C7="","",G7)</f>
        <v>0</v>
      </c>
      <c r="L67" s="114" t="n">
        <f aca="false">IF($C7="","",ROUND(K67*(1+보온기준!$F$7),0))</f>
        <v>0</v>
      </c>
      <c r="M67" s="114" t="n">
        <f aca="false">IF($C7="","",MAX(0,O7-2*P7))</f>
        <v>0</v>
      </c>
      <c r="N67" s="114" t="n">
        <f aca="false">IF($C7="","",ROUND(M67*(1+보온기준!$F$7),0))</f>
        <v>0</v>
      </c>
      <c r="O67" s="114" t="n">
        <f aca="false">IF($C7="","",I7)</f>
        <v>0</v>
      </c>
      <c r="P67" s="114" t="n">
        <f aca="false">IF($C7="","",ROUND(O67*(1+보온기준!$F$7),0))</f>
        <v>0</v>
      </c>
      <c r="Q67" s="114" t="n">
        <f aca="false">IF($C7="","",K7)</f>
        <v>4</v>
      </c>
      <c r="R67" s="114" t="n">
        <f aca="false">IF($C7="","",L7)</f>
        <v>0</v>
      </c>
      <c r="S67" s="17" t="n">
        <f aca="false">IF($C7="","",ROUNDDOWN(E7*N(V67),0))</f>
        <v>7</v>
      </c>
      <c r="T67" s="17" t="n">
        <f aca="false">IF($C7="","",ROUNDDOWN(E7*보온기준!$F$14*((INDEX(배관기준!$B$5:$B$39,MATCH($C7,배관기준!$A$5:$A$39,0))+2*$D7)*PI()+보온기준!$F$13)/1000,0))</f>
        <v>2</v>
      </c>
      <c r="U67" s="15" t="n">
        <f aca="false">IF($C7="","",E7*보온기준!$F$14)</f>
        <v>5.511</v>
      </c>
      <c r="V67" s="37" t="n">
        <f aca="false">IF($C7="","",IF(N($D7)=0,0,IFERROR(INDEX(보온기준!$I$5:$I$43,MATCH(MAX($C7,50)&amp;"|"&amp;$D7,보온기준!$H$5:$H$43,0)),"DB확인")))</f>
        <v>4.24</v>
      </c>
    </row>
    <row r="68" customFormat="false" ht="15" hidden="false" customHeight="true" outlineLevel="0" collapsed="false">
      <c r="A68" s="6" t="n">
        <f aca="false">IF($C8="","",A8)</f>
        <v>2</v>
      </c>
      <c r="B68" s="6" t="str">
        <f aca="false">IF($C8="","",$B8)</f>
        <v>옥외</v>
      </c>
      <c r="C68" s="6" t="n">
        <f aca="false">IF($C8="","",$C8)</f>
        <v>50</v>
      </c>
      <c r="D68" s="113" t="n">
        <f aca="false">IF($C8="","",$D8)</f>
        <v>50</v>
      </c>
      <c r="E68" s="15" t="n">
        <f aca="false">IF($C8="","",IF($B8="옥내",E8,0))</f>
        <v>0</v>
      </c>
      <c r="F68" s="15" t="n">
        <f aca="false">IF($C8="","",IF($B8="옥외",E8,0))</f>
        <v>17.658</v>
      </c>
      <c r="G68" s="15" t="n">
        <f aca="false">IF($C8="","",E8)</f>
        <v>17.658</v>
      </c>
      <c r="H68" s="114" t="n">
        <f aca="false">IF($C8="","",ROUND(G68*(1+보온기준!$F$6),0))</f>
        <v>18</v>
      </c>
      <c r="I68" s="114" t="n">
        <f aca="false">IF($C8="","",F8)</f>
        <v>10</v>
      </c>
      <c r="J68" s="114" t="n">
        <f aca="false">IF($C8="","",ROUND(I68*(1+보온기준!$F$7),0))</f>
        <v>11</v>
      </c>
      <c r="K68" s="114" t="n">
        <f aca="false">IF($C8="","",G8)</f>
        <v>3</v>
      </c>
      <c r="L68" s="114" t="n">
        <f aca="false">IF($C8="","",ROUND(K68*(1+보온기준!$F$7),0))</f>
        <v>3</v>
      </c>
      <c r="M68" s="114" t="n">
        <f aca="false">IF($C8="","",MAX(0,O8-2*P8))</f>
        <v>0</v>
      </c>
      <c r="N68" s="114" t="n">
        <f aca="false">IF($C8="","",ROUND(M68*(1+보온기준!$F$7),0))</f>
        <v>0</v>
      </c>
      <c r="O68" s="114" t="n">
        <f aca="false">IF($C8="","",I8)</f>
        <v>0</v>
      </c>
      <c r="P68" s="114" t="n">
        <f aca="false">IF($C8="","",ROUND(O68*(1+보온기준!$F$7),0))</f>
        <v>0</v>
      </c>
      <c r="Q68" s="114" t="n">
        <f aca="false">IF($C8="","",K8)</f>
        <v>0</v>
      </c>
      <c r="R68" s="114" t="n">
        <f aca="false">IF($C8="","",L8)</f>
        <v>3</v>
      </c>
      <c r="S68" s="17" t="n">
        <f aca="false">IF($C8="","",ROUNDDOWN(E8*N(V68),0))</f>
        <v>74</v>
      </c>
      <c r="T68" s="17" t="n">
        <f aca="false">IF($C8="","",ROUNDDOWN(E8*보온기준!$F$14*((INDEX(배관기준!$B$5:$B$39,MATCH($C8,배관기준!$A$5:$A$39,0))+2*$D8)*PI()+보온기준!$F$13)/1000,0))</f>
        <v>34</v>
      </c>
      <c r="U68" s="15" t="n">
        <f aca="false">IF($C8="","",E8*보온기준!$F$14)</f>
        <v>52.974</v>
      </c>
      <c r="V68" s="37" t="n">
        <f aca="false">IF($C8="","",IF(N($D8)=0,0,IFERROR(INDEX(보온기준!$I$5:$I$43,MATCH(MAX($C8,50)&amp;"|"&amp;$D8,보온기준!$H$5:$H$43,0)),"DB확인")))</f>
        <v>4.24</v>
      </c>
    </row>
    <row r="69" customFormat="false" ht="15" hidden="false" customHeight="true" outlineLevel="0" collapsed="false">
      <c r="A69" s="6" t="n">
        <f aca="false">IF($C9="","",A9)</f>
        <v>3</v>
      </c>
      <c r="B69" s="6" t="str">
        <f aca="false">IF($C9="","",$B9)</f>
        <v>옥외</v>
      </c>
      <c r="C69" s="6" t="n">
        <f aca="false">IF($C9="","",$C9)</f>
        <v>80</v>
      </c>
      <c r="D69" s="113" t="n">
        <f aca="false">IF($C9="","",$D9)</f>
        <v>50</v>
      </c>
      <c r="E69" s="15" t="n">
        <f aca="false">IF($C9="","",IF($B9="옥내",E9,0))</f>
        <v>0</v>
      </c>
      <c r="F69" s="15" t="n">
        <f aca="false">IF($C9="","",IF($B9="옥외",E9,0))</f>
        <v>6.18</v>
      </c>
      <c r="G69" s="15" t="n">
        <f aca="false">IF($C9="","",E9)</f>
        <v>6.18</v>
      </c>
      <c r="H69" s="114" t="n">
        <f aca="false">IF($C9="","",ROUND(G69*(1+보온기준!$F$6),0))</f>
        <v>6</v>
      </c>
      <c r="I69" s="114" t="n">
        <f aca="false">IF($C9="","",F9)</f>
        <v>2</v>
      </c>
      <c r="J69" s="114" t="n">
        <f aca="false">IF($C9="","",ROUND(I69*(1+보온기준!$F$7),0))</f>
        <v>2</v>
      </c>
      <c r="K69" s="114" t="n">
        <f aca="false">IF($C9="","",G9)</f>
        <v>0</v>
      </c>
      <c r="L69" s="114" t="n">
        <f aca="false">IF($C9="","",ROUND(K69*(1+보온기준!$F$7),0))</f>
        <v>0</v>
      </c>
      <c r="M69" s="114" t="n">
        <f aca="false">IF($C9="","",MAX(0,O9-2*P9))</f>
        <v>0</v>
      </c>
      <c r="N69" s="114" t="n">
        <f aca="false">IF($C9="","",ROUND(M69*(1+보온기준!$F$7),0))</f>
        <v>0</v>
      </c>
      <c r="O69" s="114" t="n">
        <f aca="false">IF($C9="","",I9)</f>
        <v>1</v>
      </c>
      <c r="P69" s="114" t="n">
        <f aca="false">IF($C9="","",ROUND(O69*(1+보온기준!$F$7),0))</f>
        <v>1</v>
      </c>
      <c r="Q69" s="114" t="n">
        <f aca="false">IF($C9="","",K9)</f>
        <v>0</v>
      </c>
      <c r="R69" s="114" t="n">
        <f aca="false">IF($C9="","",L9)</f>
        <v>1</v>
      </c>
      <c r="S69" s="17" t="n">
        <f aca="false">IF($C9="","",ROUNDDOWN(E9*N(V69),0))</f>
        <v>32</v>
      </c>
      <c r="T69" s="17" t="n">
        <f aca="false">IF($C9="","",ROUNDDOWN(E9*보온기준!$F$14*((INDEX(배관기준!$B$5:$B$39,MATCH($C9,배관기준!$A$5:$A$39,0))+2*$D9)*PI()+보온기준!$F$13)/1000,0))</f>
        <v>13</v>
      </c>
      <c r="U69" s="15" t="n">
        <f aca="false">IF($C9="","",E9*보온기준!$F$14)</f>
        <v>18.54</v>
      </c>
      <c r="V69" s="37" t="n">
        <f aca="false">IF($C9="","",IF(N($D9)=0,0,IFERROR(INDEX(보온기준!$I$5:$I$43,MATCH(MAX($C9,50)&amp;"|"&amp;$D9,보온기준!$H$5:$H$43,0)),"DB확인")))</f>
        <v>5.25</v>
      </c>
    </row>
    <row r="70" customFormat="false" ht="15" hidden="false" customHeight="true" outlineLevel="0" collapsed="false">
      <c r="A70" s="6" t="n">
        <f aca="false">IF($C10="","",A10)</f>
        <v>4</v>
      </c>
      <c r="B70" s="6" t="str">
        <f aca="false">IF($C10="","",$B10)</f>
        <v>옥외</v>
      </c>
      <c r="C70" s="6" t="n">
        <f aca="false">IF($C10="","",$C10)</f>
        <v>150</v>
      </c>
      <c r="D70" s="113" t="n">
        <f aca="false">IF($C10="","",$D10)</f>
        <v>30</v>
      </c>
      <c r="E70" s="15" t="n">
        <f aca="false">IF($C10="","",IF($B10="옥내",E10,0))</f>
        <v>0</v>
      </c>
      <c r="F70" s="15" t="n">
        <f aca="false">IF($C10="","",IF($B10="옥외",E10,0))</f>
        <v>20.701</v>
      </c>
      <c r="G70" s="15" t="n">
        <f aca="false">IF($C10="","",E10)</f>
        <v>20.701</v>
      </c>
      <c r="H70" s="114" t="n">
        <f aca="false">IF($C10="","",ROUND(G70*(1+보온기준!$F$6),0))</f>
        <v>21</v>
      </c>
      <c r="I70" s="114" t="n">
        <f aca="false">IF($C10="","",F10)</f>
        <v>8</v>
      </c>
      <c r="J70" s="114" t="n">
        <f aca="false">IF($C10="","",ROUND(I70*(1+보온기준!$F$7),0))</f>
        <v>8</v>
      </c>
      <c r="K70" s="114" t="n">
        <f aca="false">IF($C10="","",G10)</f>
        <v>2</v>
      </c>
      <c r="L70" s="114" t="n">
        <f aca="false">IF($C10="","",ROUND(K70*(1+보온기준!$F$7),0))</f>
        <v>2</v>
      </c>
      <c r="M70" s="114" t="n">
        <f aca="false">IF($C10="","",MAX(0,O10-2*P10))</f>
        <v>6</v>
      </c>
      <c r="N70" s="114" t="n">
        <f aca="false">IF($C10="","",ROUND(M70*(1+보온기준!$F$7),0))</f>
        <v>6</v>
      </c>
      <c r="O70" s="114" t="n">
        <f aca="false">IF($C10="","",I10)</f>
        <v>0</v>
      </c>
      <c r="P70" s="114" t="n">
        <f aca="false">IF($C10="","",ROUND(O70*(1+보온기준!$F$7),0))</f>
        <v>0</v>
      </c>
      <c r="Q70" s="114" t="n">
        <f aca="false">IF($C10="","",K10)</f>
        <v>0</v>
      </c>
      <c r="R70" s="114" t="n">
        <f aca="false">IF($C10="","",L10)</f>
        <v>2</v>
      </c>
      <c r="S70" s="17" t="n">
        <f aca="false">IF($C10="","",ROUNDDOWN(E10*N(V70),0))</f>
        <v>116</v>
      </c>
      <c r="T70" s="17" t="n">
        <f aca="false">IF($C10="","",ROUNDDOWN(E10*보온기준!$F$14*((INDEX(배관기준!$B$5:$B$39,MATCH($C10,배관기준!$A$5:$A$39,0))+2*$D10)*PI()+보온기준!$F$13)/1000,0))</f>
        <v>53</v>
      </c>
      <c r="U70" s="15" t="n">
        <f aca="false">IF($C10="","",E10*보온기준!$F$14)</f>
        <v>62.103</v>
      </c>
      <c r="V70" s="37" t="n">
        <f aca="false">IF($C10="","",IF(N($D10)=0,0,IFERROR(INDEX(보온기준!$I$5:$I$43,MATCH(MAX($C10,50)&amp;"|"&amp;$D10,보온기준!$H$5:$H$43,0)),"DB확인")))</f>
        <v>5.64</v>
      </c>
    </row>
    <row r="71" customFormat="false" ht="15" hidden="false" customHeight="true" outlineLevel="0" collapsed="false">
      <c r="A71" s="6" t="n">
        <f aca="false">IF($C11="","",A11)</f>
        <v>5</v>
      </c>
      <c r="B71" s="6" t="str">
        <f aca="false">IF($C11="","",$B11)</f>
        <v>옥외</v>
      </c>
      <c r="C71" s="6" t="n">
        <f aca="false">IF($C11="","",$C11)</f>
        <v>200</v>
      </c>
      <c r="D71" s="113" t="n">
        <f aca="false">IF($C11="","",$D11)</f>
        <v>30</v>
      </c>
      <c r="E71" s="15" t="n">
        <f aca="false">IF($C11="","",IF($B11="옥내",E11,0))</f>
        <v>0</v>
      </c>
      <c r="F71" s="15" t="n">
        <f aca="false">IF($C11="","",IF($B11="옥외",E11,0))</f>
        <v>9.1142</v>
      </c>
      <c r="G71" s="15" t="n">
        <f aca="false">IF($C11="","",E11)</f>
        <v>9.1142</v>
      </c>
      <c r="H71" s="114" t="n">
        <f aca="false">IF($C11="","",ROUND(G71*(1+보온기준!$F$6),0))</f>
        <v>9</v>
      </c>
      <c r="I71" s="114" t="n">
        <f aca="false">IF($C11="","",F11)</f>
        <v>2</v>
      </c>
      <c r="J71" s="114" t="n">
        <f aca="false">IF($C11="","",ROUND(I71*(1+보온기준!$F$7),0))</f>
        <v>2</v>
      </c>
      <c r="K71" s="114" t="n">
        <f aca="false">IF($C11="","",G11)</f>
        <v>0</v>
      </c>
      <c r="L71" s="114" t="n">
        <f aca="false">IF($C11="","",ROUND(K71*(1+보온기준!$F$7),0))</f>
        <v>0</v>
      </c>
      <c r="M71" s="114" t="n">
        <f aca="false">IF($C11="","",MAX(0,O11-2*P11))</f>
        <v>2</v>
      </c>
      <c r="N71" s="114" t="n">
        <f aca="false">IF($C11="","",ROUND(M71*(1+보온기준!$F$7),0))</f>
        <v>2</v>
      </c>
      <c r="O71" s="114" t="n">
        <f aca="false">IF($C11="","",I11)</f>
        <v>0</v>
      </c>
      <c r="P71" s="114" t="n">
        <f aca="false">IF($C11="","",ROUND(O71*(1+보온기준!$F$7),0))</f>
        <v>0</v>
      </c>
      <c r="Q71" s="114" t="n">
        <f aca="false">IF($C11="","",K11)</f>
        <v>0</v>
      </c>
      <c r="R71" s="114" t="n">
        <f aca="false">IF($C11="","",L11)</f>
        <v>1</v>
      </c>
      <c r="S71" s="17" t="n">
        <f aca="false">IF($C11="","",ROUNDDOWN(E11*N(V71),0))</f>
        <v>63</v>
      </c>
      <c r="T71" s="17" t="n">
        <f aca="false">IF($C11="","",ROUNDDOWN(E11*보온기준!$F$14*((INDEX(배관기준!$B$5:$B$39,MATCH($C11,배관기준!$A$5:$A$39,0))+2*$D11)*PI()+보온기준!$F$13)/1000,0))</f>
        <v>27</v>
      </c>
      <c r="U71" s="15" t="n">
        <f aca="false">IF($C11="","",E11*보온기준!$F$14)</f>
        <v>27.3426</v>
      </c>
      <c r="V71" s="37" t="n">
        <f aca="false">IF($C11="","",IF(N($D11)=0,0,IFERROR(INDEX(보온기준!$I$5:$I$43,MATCH(MAX($C11,50)&amp;"|"&amp;$D11,보온기준!$H$5:$H$43,0)),"DB확인")))</f>
        <v>6.95</v>
      </c>
    </row>
    <row r="72" customFormat="false" ht="15" hidden="false" customHeight="true" outlineLevel="0" collapsed="false">
      <c r="A72" s="6" t="n">
        <f aca="false">IF($C12="","",A12)</f>
        <v>6</v>
      </c>
      <c r="B72" s="6" t="str">
        <f aca="false">IF($C12="","",$B12)</f>
        <v>옥외</v>
      </c>
      <c r="C72" s="6" t="n">
        <f aca="false">IF($C12="","",$C12)</f>
        <v>250</v>
      </c>
      <c r="D72" s="113" t="n">
        <f aca="false">IF($C12="","",$D12)</f>
        <v>30</v>
      </c>
      <c r="E72" s="15" t="n">
        <f aca="false">IF($C12="","",IF($B12="옥내",E12,0))</f>
        <v>0</v>
      </c>
      <c r="F72" s="15" t="n">
        <f aca="false">IF($C12="","",IF($B12="옥외",E12,0))</f>
        <v>8.666</v>
      </c>
      <c r="G72" s="15" t="n">
        <f aca="false">IF($C12="","",E12)</f>
        <v>8.666</v>
      </c>
      <c r="H72" s="114" t="n">
        <f aca="false">IF($C12="","",ROUND(G72*(1+보온기준!$F$6),0))</f>
        <v>9</v>
      </c>
      <c r="I72" s="114" t="n">
        <f aca="false">IF($C12="","",F12)</f>
        <v>1</v>
      </c>
      <c r="J72" s="114" t="n">
        <f aca="false">IF($C12="","",ROUND(I72*(1+보온기준!$F$7),0))</f>
        <v>1</v>
      </c>
      <c r="K72" s="114" t="n">
        <f aca="false">IF($C12="","",G12)</f>
        <v>2</v>
      </c>
      <c r="L72" s="114" t="n">
        <f aca="false">IF($C12="","",ROUND(K72*(1+보온기준!$F$7),0))</f>
        <v>2</v>
      </c>
      <c r="M72" s="114" t="n">
        <f aca="false">IF($C12="","",MAX(0,O12-2*P12))</f>
        <v>2</v>
      </c>
      <c r="N72" s="114" t="n">
        <f aca="false">IF($C12="","",ROUND(M72*(1+보온기준!$F$7),0))</f>
        <v>2</v>
      </c>
      <c r="O72" s="114" t="n">
        <f aca="false">IF($C12="","",I12)</f>
        <v>0</v>
      </c>
      <c r="P72" s="114" t="n">
        <f aca="false">IF($C12="","",ROUND(O72*(1+보온기준!$F$7),0))</f>
        <v>0</v>
      </c>
      <c r="Q72" s="114" t="n">
        <f aca="false">IF($C12="","",K12)</f>
        <v>0</v>
      </c>
      <c r="R72" s="114" t="n">
        <f aca="false">IF($C12="","",L12)</f>
        <v>0</v>
      </c>
      <c r="S72" s="17" t="n">
        <f aca="false">IF($C12="","",ROUNDDOWN(E12*N(V72),0))</f>
        <v>71</v>
      </c>
      <c r="T72" s="17" t="n">
        <f aca="false">IF($C12="","",ROUNDDOWN(E12*보온기준!$F$14*((INDEX(배관기준!$B$5:$B$39,MATCH($C12,배관기준!$A$5:$A$39,0))+2*$D12)*PI()+보온기준!$F$13)/1000,0))</f>
        <v>30</v>
      </c>
      <c r="U72" s="15" t="n">
        <f aca="false">IF($C12="","",E12*보온기준!$F$14)</f>
        <v>25.998</v>
      </c>
      <c r="V72" s="37" t="n">
        <f aca="false">IF($C12="","",IF(N($D12)=0,0,IFERROR(INDEX(보온기준!$I$5:$I$43,MATCH(MAX($C12,50)&amp;"|"&amp;$D12,보온기준!$H$5:$H$43,0)),"DB확인")))</f>
        <v>8.21</v>
      </c>
    </row>
    <row r="73" customFormat="false" ht="15" hidden="false" customHeight="true" outlineLevel="0" collapsed="false">
      <c r="A73" s="6" t="n">
        <f aca="false">IF($C13="","",A13)</f>
        <v>7</v>
      </c>
      <c r="B73" s="6" t="str">
        <f aca="false">IF($C13="","",$B13)</f>
        <v>옥외</v>
      </c>
      <c r="C73" s="6" t="n">
        <f aca="false">IF($C13="","",$C13)</f>
        <v>300</v>
      </c>
      <c r="D73" s="113" t="n">
        <f aca="false">IF($C13="","",$D13)</f>
        <v>0</v>
      </c>
      <c r="E73" s="15" t="n">
        <f aca="false">IF($C13="","",IF($B13="옥내",E13,0))</f>
        <v>0</v>
      </c>
      <c r="F73" s="15" t="n">
        <f aca="false">IF($C13="","",IF($B13="옥외",E13,0))</f>
        <v>0</v>
      </c>
      <c r="G73" s="15" t="n">
        <f aca="false">IF($C13="","",E13)</f>
        <v>0</v>
      </c>
      <c r="H73" s="114" t="n">
        <f aca="false">IF($C13="","",ROUND(G73*(1+보온기준!$F$6),0))</f>
        <v>0</v>
      </c>
      <c r="I73" s="114" t="n">
        <f aca="false">IF($C13="","",F13)</f>
        <v>0</v>
      </c>
      <c r="J73" s="114" t="n">
        <f aca="false">IF($C13="","",ROUND(I73*(1+보온기준!$F$7),0))</f>
        <v>0</v>
      </c>
      <c r="K73" s="114" t="n">
        <f aca="false">IF($C13="","",G13)</f>
        <v>0</v>
      </c>
      <c r="L73" s="114" t="n">
        <f aca="false">IF($C13="","",ROUND(K73*(1+보온기준!$F$7),0))</f>
        <v>0</v>
      </c>
      <c r="M73" s="114" t="n">
        <f aca="false">IF($C13="","",MAX(0,O13-2*P13))</f>
        <v>0</v>
      </c>
      <c r="N73" s="114" t="n">
        <f aca="false">IF($C13="","",ROUND(M73*(1+보온기준!$F$7),0))</f>
        <v>0</v>
      </c>
      <c r="O73" s="114" t="n">
        <f aca="false">IF($C13="","",I13)</f>
        <v>0</v>
      </c>
      <c r="P73" s="114" t="n">
        <f aca="false">IF($C13="","",ROUND(O73*(1+보온기준!$F$7),0))</f>
        <v>0</v>
      </c>
      <c r="Q73" s="114" t="n">
        <f aca="false">IF($C13="","",K13)</f>
        <v>0</v>
      </c>
      <c r="R73" s="114" t="n">
        <f aca="false">IF($C13="","",L13)</f>
        <v>0</v>
      </c>
      <c r="S73" s="17" t="n">
        <f aca="false">IF($C13="","",ROUNDDOWN(E13*N(V73),0))</f>
        <v>0</v>
      </c>
      <c r="T73" s="17" t="n">
        <f aca="false">IF($C13="","",ROUNDDOWN(E13*보온기준!$F$14*((INDEX(배관기준!$B$5:$B$39,MATCH($C13,배관기준!$A$5:$A$39,0))+2*$D13)*PI()+보온기준!$F$13)/1000,0))</f>
        <v>0</v>
      </c>
      <c r="U73" s="15" t="n">
        <f aca="false">IF($C13="","",E13*보온기준!$F$14)</f>
        <v>0</v>
      </c>
      <c r="V73" s="37" t="n">
        <f aca="false">IF($C13="","",IF(N($D13)=0,0,IFERROR(INDEX(보온기준!$I$5:$I$43,MATCH(MAX($C13,50)&amp;"|"&amp;$D13,보온기준!$H$5:$H$43,0)),"DB확인")))</f>
        <v>0</v>
      </c>
    </row>
    <row r="74" customFormat="false" ht="15" hidden="false" customHeight="true" outlineLevel="0" collapsed="false">
      <c r="A74" s="6" t="str">
        <f aca="false">IF($C14="","",A14)</f>
        <v/>
      </c>
      <c r="B74" s="6" t="str">
        <f aca="false">IF($C14="","",$B14)</f>
        <v/>
      </c>
      <c r="C74" s="6" t="str">
        <f aca="false">IF($C14="","",$C14)</f>
        <v/>
      </c>
      <c r="D74" s="6" t="str">
        <f aca="false">IF($C14="","",$D14)</f>
        <v/>
      </c>
      <c r="E74" s="15" t="str">
        <f aca="false">IF($C14="","",IF($B14="옥내",E14,0))</f>
        <v/>
      </c>
      <c r="F74" s="15" t="str">
        <f aca="false">IF($C14="","",IF($B14="옥외",E14,0))</f>
        <v/>
      </c>
      <c r="G74" s="15" t="str">
        <f aca="false">IF($C14="","",E14)</f>
        <v/>
      </c>
      <c r="H74" s="114" t="str">
        <f aca="false">IF($C14="","",ROUND(G74*(1+보온기준!$F$6),0))</f>
        <v/>
      </c>
      <c r="I74" s="114" t="str">
        <f aca="false">IF($C14="","",F14)</f>
        <v/>
      </c>
      <c r="J74" s="114" t="str">
        <f aca="false">IF($C14="","",ROUND(I74*(1+보온기준!$F$7),0))</f>
        <v/>
      </c>
      <c r="K74" s="114" t="str">
        <f aca="false">IF($C14="","",G14)</f>
        <v/>
      </c>
      <c r="L74" s="114" t="str">
        <f aca="false">IF($C14="","",ROUND(K74*(1+보온기준!$F$7),0))</f>
        <v/>
      </c>
      <c r="M74" s="114" t="str">
        <f aca="false">IF($C14="","",MAX(0,O14-2*P14))</f>
        <v/>
      </c>
      <c r="N74" s="114" t="str">
        <f aca="false">IF($C14="","",ROUND(M74*(1+보온기준!$F$7),0))</f>
        <v/>
      </c>
      <c r="O74" s="114" t="str">
        <f aca="false">IF($C14="","",I14)</f>
        <v/>
      </c>
      <c r="P74" s="114" t="str">
        <f aca="false">IF($C14="","",ROUND(O74*(1+보온기준!$F$7),0))</f>
        <v/>
      </c>
      <c r="Q74" s="114" t="str">
        <f aca="false">IF($C14="","",K14)</f>
        <v/>
      </c>
      <c r="R74" s="114" t="str">
        <f aca="false">IF($C14="","",L14)</f>
        <v/>
      </c>
      <c r="S74" s="17" t="str">
        <f aca="false">IF($C14="","",ROUNDDOWN(E14*N(V74),0))</f>
        <v/>
      </c>
      <c r="T74" s="17" t="str">
        <f aca="false">IF($C14="","",ROUNDDOWN(E14*보온기준!$F$14*((INDEX(배관기준!$B$5:$B$39,MATCH($C14,배관기준!$A$5:$A$39,0))+2*$D14)*PI()+보온기준!$F$13)/1000,0))</f>
        <v/>
      </c>
      <c r="U74" s="15" t="str">
        <f aca="false">IF($C14="","",E14*보온기준!$F$14)</f>
        <v/>
      </c>
      <c r="V74" s="37" t="str">
        <f aca="false">IF($C14="","",IF(N($D14)=0,0,IFERROR(INDEX(보온기준!$I$5:$I$43,MATCH(MAX($C14,50)&amp;"|"&amp;$D14,보온기준!$H$5:$H$43,0)),"DB확인")))</f>
        <v/>
      </c>
    </row>
    <row r="75" customFormat="false" ht="15" hidden="false" customHeight="true" outlineLevel="0" collapsed="false">
      <c r="A75" s="6" t="str">
        <f aca="false">IF($C15="","",A15)</f>
        <v/>
      </c>
      <c r="B75" s="6" t="str">
        <f aca="false">IF($C15="","",$B15)</f>
        <v/>
      </c>
      <c r="C75" s="6" t="str">
        <f aca="false">IF($C15="","",$C15)</f>
        <v/>
      </c>
      <c r="D75" s="6" t="str">
        <f aca="false">IF($C15="","",$D15)</f>
        <v/>
      </c>
      <c r="E75" s="15" t="str">
        <f aca="false">IF($C15="","",IF($B15="옥내",E15,0))</f>
        <v/>
      </c>
      <c r="F75" s="15" t="str">
        <f aca="false">IF($C15="","",IF($B15="옥외",E15,0))</f>
        <v/>
      </c>
      <c r="G75" s="15" t="str">
        <f aca="false">IF($C15="","",E15)</f>
        <v/>
      </c>
      <c r="H75" s="114" t="str">
        <f aca="false">IF($C15="","",ROUND(G75*(1+보온기준!$F$6),0))</f>
        <v/>
      </c>
      <c r="I75" s="114" t="str">
        <f aca="false">IF($C15="","",F15)</f>
        <v/>
      </c>
      <c r="J75" s="114" t="str">
        <f aca="false">IF($C15="","",ROUND(I75*(1+보온기준!$F$7),0))</f>
        <v/>
      </c>
      <c r="K75" s="114" t="str">
        <f aca="false">IF($C15="","",G15)</f>
        <v/>
      </c>
      <c r="L75" s="114" t="str">
        <f aca="false">IF($C15="","",ROUND(K75*(1+보온기준!$F$7),0))</f>
        <v/>
      </c>
      <c r="M75" s="114" t="str">
        <f aca="false">IF($C15="","",MAX(0,O15-2*P15))</f>
        <v/>
      </c>
      <c r="N75" s="114" t="str">
        <f aca="false">IF($C15="","",ROUND(M75*(1+보온기준!$F$7),0))</f>
        <v/>
      </c>
      <c r="O75" s="114" t="str">
        <f aca="false">IF($C15="","",I15)</f>
        <v/>
      </c>
      <c r="P75" s="114" t="str">
        <f aca="false">IF($C15="","",ROUND(O75*(1+보온기준!$F$7),0))</f>
        <v/>
      </c>
      <c r="Q75" s="114" t="str">
        <f aca="false">IF($C15="","",K15)</f>
        <v/>
      </c>
      <c r="R75" s="114" t="str">
        <f aca="false">IF($C15="","",L15)</f>
        <v/>
      </c>
      <c r="S75" s="17" t="str">
        <f aca="false">IF($C15="","",ROUNDDOWN(E15*N(V75),0))</f>
        <v/>
      </c>
      <c r="T75" s="17" t="str">
        <f aca="false">IF($C15="","",ROUNDDOWN(E15*보온기준!$F$14*((INDEX(배관기준!$B$5:$B$39,MATCH($C15,배관기준!$A$5:$A$39,0))+2*$D15)*PI()+보온기준!$F$13)/1000,0))</f>
        <v/>
      </c>
      <c r="U75" s="15" t="str">
        <f aca="false">IF($C15="","",E15*보온기준!$F$14)</f>
        <v/>
      </c>
      <c r="V75" s="37" t="str">
        <f aca="false">IF($C15="","",IF(N($D15)=0,0,IFERROR(INDEX(보온기준!$I$5:$I$43,MATCH(MAX($C15,50)&amp;"|"&amp;$D15,보온기준!$H$5:$H$43,0)),"DB확인")))</f>
        <v/>
      </c>
    </row>
    <row r="76" customFormat="false" ht="15" hidden="false" customHeight="true" outlineLevel="0" collapsed="false">
      <c r="A76" s="6" t="str">
        <f aca="false">IF($C16="","",A16)</f>
        <v/>
      </c>
      <c r="B76" s="6" t="str">
        <f aca="false">IF($C16="","",$B16)</f>
        <v/>
      </c>
      <c r="C76" s="6" t="str">
        <f aca="false">IF($C16="","",$C16)</f>
        <v/>
      </c>
      <c r="D76" s="6" t="str">
        <f aca="false">IF($C16="","",$D16)</f>
        <v/>
      </c>
      <c r="E76" s="15" t="str">
        <f aca="false">IF($C16="","",IF($B16="옥내",E16,0))</f>
        <v/>
      </c>
      <c r="F76" s="15" t="str">
        <f aca="false">IF($C16="","",IF($B16="옥외",E16,0))</f>
        <v/>
      </c>
      <c r="G76" s="15" t="str">
        <f aca="false">IF($C16="","",E16)</f>
        <v/>
      </c>
      <c r="H76" s="114" t="str">
        <f aca="false">IF($C16="","",ROUND(G76*(1+보온기준!$F$6),0))</f>
        <v/>
      </c>
      <c r="I76" s="114" t="str">
        <f aca="false">IF($C16="","",F16)</f>
        <v/>
      </c>
      <c r="J76" s="114" t="str">
        <f aca="false">IF($C16="","",ROUND(I76*(1+보온기준!$F$7),0))</f>
        <v/>
      </c>
      <c r="K76" s="114" t="str">
        <f aca="false">IF($C16="","",G16)</f>
        <v/>
      </c>
      <c r="L76" s="114" t="str">
        <f aca="false">IF($C16="","",ROUND(K76*(1+보온기준!$F$7),0))</f>
        <v/>
      </c>
      <c r="M76" s="114" t="str">
        <f aca="false">IF($C16="","",MAX(0,O16-2*P16))</f>
        <v/>
      </c>
      <c r="N76" s="114" t="str">
        <f aca="false">IF($C16="","",ROUND(M76*(1+보온기준!$F$7),0))</f>
        <v/>
      </c>
      <c r="O76" s="114" t="str">
        <f aca="false">IF($C16="","",I16)</f>
        <v/>
      </c>
      <c r="P76" s="114" t="str">
        <f aca="false">IF($C16="","",ROUND(O76*(1+보온기준!$F$7),0))</f>
        <v/>
      </c>
      <c r="Q76" s="114" t="str">
        <f aca="false">IF($C16="","",K16)</f>
        <v/>
      </c>
      <c r="R76" s="114" t="str">
        <f aca="false">IF($C16="","",L16)</f>
        <v/>
      </c>
      <c r="S76" s="17" t="str">
        <f aca="false">IF($C16="","",ROUNDDOWN(E16*N(V76),0))</f>
        <v/>
      </c>
      <c r="T76" s="17" t="str">
        <f aca="false">IF($C16="","",ROUNDDOWN(E16*보온기준!$F$14*((INDEX(배관기준!$B$5:$B$39,MATCH($C16,배관기준!$A$5:$A$39,0))+2*$D16)*PI()+보온기준!$F$13)/1000,0))</f>
        <v/>
      </c>
      <c r="U76" s="15" t="str">
        <f aca="false">IF($C16="","",E16*보온기준!$F$14)</f>
        <v/>
      </c>
      <c r="V76" s="37" t="str">
        <f aca="false">IF($C16="","",IF(N($D16)=0,0,IFERROR(INDEX(보온기준!$I$5:$I$43,MATCH(MAX($C16,50)&amp;"|"&amp;$D16,보온기준!$H$5:$H$43,0)),"DB확인")))</f>
        <v/>
      </c>
    </row>
    <row r="77" customFormat="false" ht="15" hidden="false" customHeight="true" outlineLevel="0" collapsed="false">
      <c r="A77" s="6" t="str">
        <f aca="false">IF($C17="","",A17)</f>
        <v/>
      </c>
      <c r="B77" s="6" t="str">
        <f aca="false">IF($C17="","",$B17)</f>
        <v/>
      </c>
      <c r="C77" s="6" t="str">
        <f aca="false">IF($C17="","",$C17)</f>
        <v/>
      </c>
      <c r="D77" s="6" t="str">
        <f aca="false">IF($C17="","",$D17)</f>
        <v/>
      </c>
      <c r="E77" s="15" t="str">
        <f aca="false">IF($C17="","",IF($B17="옥내",E17,0))</f>
        <v/>
      </c>
      <c r="F77" s="15" t="str">
        <f aca="false">IF($C17="","",IF($B17="옥외",E17,0))</f>
        <v/>
      </c>
      <c r="G77" s="15" t="str">
        <f aca="false">IF($C17="","",E17)</f>
        <v/>
      </c>
      <c r="H77" s="114" t="str">
        <f aca="false">IF($C17="","",ROUND(G77*(1+보온기준!$F$6),0))</f>
        <v/>
      </c>
      <c r="I77" s="114" t="str">
        <f aca="false">IF($C17="","",F17)</f>
        <v/>
      </c>
      <c r="J77" s="114" t="str">
        <f aca="false">IF($C17="","",ROUND(I77*(1+보온기준!$F$7),0))</f>
        <v/>
      </c>
      <c r="K77" s="114" t="str">
        <f aca="false">IF($C17="","",G17)</f>
        <v/>
      </c>
      <c r="L77" s="114" t="str">
        <f aca="false">IF($C17="","",ROUND(K77*(1+보온기준!$F$7),0))</f>
        <v/>
      </c>
      <c r="M77" s="114" t="str">
        <f aca="false">IF($C17="","",MAX(0,O17-2*P17))</f>
        <v/>
      </c>
      <c r="N77" s="114" t="str">
        <f aca="false">IF($C17="","",ROUND(M77*(1+보온기준!$F$7),0))</f>
        <v/>
      </c>
      <c r="O77" s="114" t="str">
        <f aca="false">IF($C17="","",I17)</f>
        <v/>
      </c>
      <c r="P77" s="114" t="str">
        <f aca="false">IF($C17="","",ROUND(O77*(1+보온기준!$F$7),0))</f>
        <v/>
      </c>
      <c r="Q77" s="114" t="str">
        <f aca="false">IF($C17="","",K17)</f>
        <v/>
      </c>
      <c r="R77" s="114" t="str">
        <f aca="false">IF($C17="","",L17)</f>
        <v/>
      </c>
      <c r="S77" s="17" t="str">
        <f aca="false">IF($C17="","",ROUNDDOWN(E17*N(V77),0))</f>
        <v/>
      </c>
      <c r="T77" s="17" t="str">
        <f aca="false">IF($C17="","",ROUNDDOWN(E17*보온기준!$F$14*((INDEX(배관기준!$B$5:$B$39,MATCH($C17,배관기준!$A$5:$A$39,0))+2*$D17)*PI()+보온기준!$F$13)/1000,0))</f>
        <v/>
      </c>
      <c r="U77" s="15" t="str">
        <f aca="false">IF($C17="","",E17*보온기준!$F$14)</f>
        <v/>
      </c>
      <c r="V77" s="37" t="str">
        <f aca="false">IF($C17="","",IF(N($D17)=0,0,IFERROR(INDEX(보온기준!$I$5:$I$43,MATCH(MAX($C17,50)&amp;"|"&amp;$D17,보온기준!$H$5:$H$43,0)),"DB확인")))</f>
        <v/>
      </c>
    </row>
    <row r="78" customFormat="false" ht="15" hidden="false" customHeight="true" outlineLevel="0" collapsed="false">
      <c r="A78" s="6" t="str">
        <f aca="false">IF($C18="","",A18)</f>
        <v/>
      </c>
      <c r="B78" s="6" t="str">
        <f aca="false">IF($C18="","",$B18)</f>
        <v/>
      </c>
      <c r="C78" s="6" t="str">
        <f aca="false">IF($C18="","",$C18)</f>
        <v/>
      </c>
      <c r="D78" s="6" t="str">
        <f aca="false">IF($C18="","",$D18)</f>
        <v/>
      </c>
      <c r="E78" s="15" t="str">
        <f aca="false">IF($C18="","",IF($B18="옥내",E18,0))</f>
        <v/>
      </c>
      <c r="F78" s="15" t="str">
        <f aca="false">IF($C18="","",IF($B18="옥외",E18,0))</f>
        <v/>
      </c>
      <c r="G78" s="15" t="str">
        <f aca="false">IF($C18="","",E18)</f>
        <v/>
      </c>
      <c r="H78" s="114" t="str">
        <f aca="false">IF($C18="","",ROUND(G78*(1+보온기준!$F$6),0))</f>
        <v/>
      </c>
      <c r="I78" s="114" t="str">
        <f aca="false">IF($C18="","",F18)</f>
        <v/>
      </c>
      <c r="J78" s="114" t="str">
        <f aca="false">IF($C18="","",ROUND(I78*(1+보온기준!$F$7),0))</f>
        <v/>
      </c>
      <c r="K78" s="114" t="str">
        <f aca="false">IF($C18="","",G18)</f>
        <v/>
      </c>
      <c r="L78" s="114" t="str">
        <f aca="false">IF($C18="","",ROUND(K78*(1+보온기준!$F$7),0))</f>
        <v/>
      </c>
      <c r="M78" s="114" t="str">
        <f aca="false">IF($C18="","",MAX(0,O18-2*P18))</f>
        <v/>
      </c>
      <c r="N78" s="114" t="str">
        <f aca="false">IF($C18="","",ROUND(M78*(1+보온기준!$F$7),0))</f>
        <v/>
      </c>
      <c r="O78" s="114" t="str">
        <f aca="false">IF($C18="","",I18)</f>
        <v/>
      </c>
      <c r="P78" s="114" t="str">
        <f aca="false">IF($C18="","",ROUND(O78*(1+보온기준!$F$7),0))</f>
        <v/>
      </c>
      <c r="Q78" s="114" t="str">
        <f aca="false">IF($C18="","",K18)</f>
        <v/>
      </c>
      <c r="R78" s="114" t="str">
        <f aca="false">IF($C18="","",L18)</f>
        <v/>
      </c>
      <c r="S78" s="17" t="str">
        <f aca="false">IF($C18="","",ROUNDDOWN(E18*N(V78),0))</f>
        <v/>
      </c>
      <c r="T78" s="17" t="str">
        <f aca="false">IF($C18="","",ROUNDDOWN(E18*보온기준!$F$14*((INDEX(배관기준!$B$5:$B$39,MATCH($C18,배관기준!$A$5:$A$39,0))+2*$D18)*PI()+보온기준!$F$13)/1000,0))</f>
        <v/>
      </c>
      <c r="U78" s="15" t="str">
        <f aca="false">IF($C18="","",E18*보온기준!$F$14)</f>
        <v/>
      </c>
      <c r="V78" s="37" t="str">
        <f aca="false">IF($C18="","",IF(N($D18)=0,0,IFERROR(INDEX(보온기준!$I$5:$I$43,MATCH(MAX($C18,50)&amp;"|"&amp;$D18,보온기준!$H$5:$H$43,0)),"DB확인")))</f>
        <v/>
      </c>
    </row>
    <row r="79" customFormat="false" ht="15" hidden="false" customHeight="true" outlineLevel="0" collapsed="false">
      <c r="A79" s="10"/>
      <c r="B79" s="10" t="s">
        <v>221</v>
      </c>
      <c r="C79" s="10"/>
      <c r="D79" s="10"/>
      <c r="E79" s="104" t="n">
        <f aca="false">SUM(E67:E78)</f>
        <v>0</v>
      </c>
      <c r="F79" s="104" t="n">
        <f aca="false">SUM(F67:F78)</f>
        <v>64.1562</v>
      </c>
      <c r="G79" s="104" t="n">
        <f aca="false">SUM(G67:G78)</f>
        <v>64.1562</v>
      </c>
      <c r="H79" s="104" t="n">
        <f aca="false">SUM(H67:H78)</f>
        <v>65</v>
      </c>
      <c r="I79" s="104" t="n">
        <f aca="false">SUM(I67:I78)</f>
        <v>29</v>
      </c>
      <c r="J79" s="104" t="n">
        <f aca="false">SUM(J67:J78)</f>
        <v>30</v>
      </c>
      <c r="K79" s="104" t="n">
        <f aca="false">SUM(K67:K78)</f>
        <v>7</v>
      </c>
      <c r="L79" s="104" t="n">
        <f aca="false">SUM(L67:L78)</f>
        <v>7</v>
      </c>
      <c r="M79" s="104" t="n">
        <f aca="false">SUM(M67:M78)</f>
        <v>10</v>
      </c>
      <c r="N79" s="104" t="n">
        <f aca="false">SUM(N67:N78)</f>
        <v>10</v>
      </c>
      <c r="O79" s="104" t="n">
        <f aca="false">SUM(O67:O78)</f>
        <v>1</v>
      </c>
      <c r="P79" s="104" t="n">
        <f aca="false">SUM(P67:P78)</f>
        <v>1</v>
      </c>
      <c r="Q79" s="104" t="n">
        <f aca="false">SUM(Q67:Q78)</f>
        <v>4</v>
      </c>
      <c r="R79" s="104" t="n">
        <f aca="false">SUM(R67:R78)</f>
        <v>7</v>
      </c>
      <c r="S79" s="104" t="n">
        <f aca="false">SUM(S67:S78)</f>
        <v>363</v>
      </c>
      <c r="T79" s="104" t="n">
        <f aca="false">SUM(T67:T78)</f>
        <v>159</v>
      </c>
      <c r="U79" s="104" t="n">
        <f aca="false">SUM(U67:U78)</f>
        <v>192.4686</v>
      </c>
      <c r="V79" s="10"/>
    </row>
    <row r="82" customFormat="false" ht="15" hidden="false" customHeight="true" outlineLevel="0" collapsed="false">
      <c r="A82" s="50" t="s">
        <v>1368</v>
      </c>
    </row>
    <row r="83" customFormat="false" ht="30" hidden="false" customHeight="true" outlineLevel="0" collapsed="false">
      <c r="A83" s="31" t="s">
        <v>117</v>
      </c>
      <c r="B83" s="31" t="s">
        <v>1369</v>
      </c>
      <c r="C83" s="4" t="s">
        <v>1370</v>
      </c>
      <c r="D83" s="4"/>
      <c r="E83" s="31" t="s">
        <v>1371</v>
      </c>
      <c r="F83" s="31" t="s">
        <v>1372</v>
      </c>
      <c r="G83" s="31" t="s">
        <v>773</v>
      </c>
      <c r="H83" s="4" t="s">
        <v>1373</v>
      </c>
    </row>
    <row r="84" customFormat="false" ht="66" hidden="false" customHeight="true" outlineLevel="0" collapsed="false">
      <c r="A84" s="6" t="n">
        <v>1</v>
      </c>
      <c r="B84" s="96" t="s">
        <v>1374</v>
      </c>
      <c r="C84" s="7" t="s">
        <v>1375</v>
      </c>
      <c r="D84" s="6"/>
      <c r="E84" s="15" t="n">
        <f aca="false">E79+SUMIFS($S$26:$S$61,$B$26:$B$61,"옥내")</f>
        <v>0</v>
      </c>
      <c r="F84" s="15" t="n">
        <f aca="false">E84*(1+보온기준!$F$5)</f>
        <v>0</v>
      </c>
      <c r="G84" s="6" t="s">
        <v>54</v>
      </c>
      <c r="H84" s="7" t="s">
        <v>1376</v>
      </c>
    </row>
    <row r="85" customFormat="false" ht="66" hidden="false" customHeight="true" outlineLevel="0" collapsed="false">
      <c r="A85" s="6" t="n">
        <v>2</v>
      </c>
      <c r="B85" s="96" t="s">
        <v>1377</v>
      </c>
      <c r="C85" s="7" t="s">
        <v>702</v>
      </c>
      <c r="D85" s="6"/>
      <c r="E85" s="15" t="n">
        <f aca="false">F79+SUMIFS($S$26:$S$61,$B$26:$B$61,"옥외")</f>
        <v>70.1562</v>
      </c>
      <c r="F85" s="15" t="n">
        <f aca="false">E85*(1+보온기준!$F$5)</f>
        <v>70.1562</v>
      </c>
      <c r="G85" s="6" t="s">
        <v>54</v>
      </c>
      <c r="H85" s="7" t="s">
        <v>1376</v>
      </c>
    </row>
    <row r="86" customFormat="false" ht="51.75" hidden="false" customHeight="true" outlineLevel="0" collapsed="false">
      <c r="A86" s="6" t="n">
        <v>3</v>
      </c>
      <c r="B86" s="98" t="s">
        <v>523</v>
      </c>
      <c r="C86" s="16" t="s">
        <v>1378</v>
      </c>
      <c r="D86" s="6"/>
      <c r="E86" s="15" t="n">
        <f aca="false">G79</f>
        <v>64.1562</v>
      </c>
      <c r="F86" s="15" t="n">
        <f aca="false">H79</f>
        <v>65</v>
      </c>
      <c r="G86" s="6" t="s">
        <v>54</v>
      </c>
      <c r="H86" s="7" t="s">
        <v>1379</v>
      </c>
    </row>
    <row r="87" customFormat="false" ht="15" hidden="false" customHeight="true" outlineLevel="0" collapsed="false">
      <c r="A87" s="6" t="n">
        <v>4</v>
      </c>
      <c r="B87" s="98" t="s">
        <v>1380</v>
      </c>
      <c r="C87" s="16" t="s">
        <v>1381</v>
      </c>
      <c r="D87" s="6"/>
      <c r="E87" s="15" t="n">
        <f aca="false">I79</f>
        <v>29</v>
      </c>
      <c r="F87" s="15" t="n">
        <f aca="false">J79</f>
        <v>30</v>
      </c>
      <c r="G87" s="6" t="s">
        <v>85</v>
      </c>
      <c r="H87" s="16"/>
    </row>
    <row r="88" customFormat="false" ht="15" hidden="false" customHeight="true" outlineLevel="0" collapsed="false">
      <c r="A88" s="6" t="n">
        <v>5</v>
      </c>
      <c r="B88" s="98" t="s">
        <v>1382</v>
      </c>
      <c r="C88" s="16" t="s">
        <v>1381</v>
      </c>
      <c r="D88" s="6"/>
      <c r="E88" s="15" t="n">
        <f aca="false">K79</f>
        <v>7</v>
      </c>
      <c r="F88" s="15" t="n">
        <f aca="false">L79</f>
        <v>7</v>
      </c>
      <c r="G88" s="6" t="s">
        <v>85</v>
      </c>
      <c r="H88" s="16"/>
    </row>
    <row r="89" customFormat="false" ht="23.25" hidden="false" customHeight="true" outlineLevel="0" collapsed="false">
      <c r="A89" s="6" t="n">
        <v>6</v>
      </c>
      <c r="B89" s="98" t="s">
        <v>1383</v>
      </c>
      <c r="C89" s="16" t="s">
        <v>1381</v>
      </c>
      <c r="D89" s="6"/>
      <c r="E89" s="15" t="n">
        <f aca="false">M79</f>
        <v>10</v>
      </c>
      <c r="F89" s="15" t="n">
        <f aca="false">N79</f>
        <v>10</v>
      </c>
      <c r="G89" s="6" t="s">
        <v>85</v>
      </c>
      <c r="H89" s="16" t="s">
        <v>1384</v>
      </c>
    </row>
    <row r="90" customFormat="false" ht="15" hidden="false" customHeight="true" outlineLevel="0" collapsed="false">
      <c r="A90" s="6" t="n">
        <v>7</v>
      </c>
      <c r="B90" s="98" t="s">
        <v>1385</v>
      </c>
      <c r="C90" s="16" t="s">
        <v>1381</v>
      </c>
      <c r="D90" s="6"/>
      <c r="E90" s="15" t="n">
        <f aca="false">O79</f>
        <v>1</v>
      </c>
      <c r="F90" s="15" t="n">
        <f aca="false">P79</f>
        <v>1</v>
      </c>
      <c r="G90" s="6" t="s">
        <v>85</v>
      </c>
      <c r="H90" s="16"/>
    </row>
    <row r="91" customFormat="false" ht="26.25" hidden="false" customHeight="true" outlineLevel="0" collapsed="false">
      <c r="A91" s="6" t="n">
        <v>8</v>
      </c>
      <c r="B91" s="98" t="s">
        <v>1386</v>
      </c>
      <c r="C91" s="16"/>
      <c r="D91" s="6"/>
      <c r="E91" s="15" t="n">
        <f aca="false">Q79</f>
        <v>4</v>
      </c>
      <c r="F91" s="15" t="n">
        <f aca="false">Q79</f>
        <v>4</v>
      </c>
      <c r="G91" s="6" t="s">
        <v>85</v>
      </c>
      <c r="H91" s="16"/>
    </row>
    <row r="92" customFormat="false" ht="15" hidden="false" customHeight="true" outlineLevel="0" collapsed="false">
      <c r="A92" s="6" t="n">
        <v>9</v>
      </c>
      <c r="B92" s="98" t="s">
        <v>1387</v>
      </c>
      <c r="C92" s="16"/>
      <c r="D92" s="6"/>
      <c r="E92" s="15" t="n">
        <f aca="false">R79</f>
        <v>7</v>
      </c>
      <c r="F92" s="15" t="n">
        <f aca="false">R79</f>
        <v>7</v>
      </c>
      <c r="G92" s="6" t="s">
        <v>85</v>
      </c>
      <c r="H92" s="16"/>
    </row>
    <row r="93" customFormat="false" ht="34.5" hidden="false" customHeight="true" outlineLevel="0" collapsed="false">
      <c r="A93" s="6" t="n">
        <v>10</v>
      </c>
      <c r="B93" s="96" t="s">
        <v>1388</v>
      </c>
      <c r="C93" s="16" t="s">
        <v>1389</v>
      </c>
      <c r="D93" s="6"/>
      <c r="E93" s="15" t="n">
        <f aca="false">P62</f>
        <v>3.94</v>
      </c>
      <c r="F93" s="15" t="n">
        <f aca="false">ROUND(E93*(1+보온기준!$F$8),0)</f>
        <v>4</v>
      </c>
      <c r="G93" s="22" t="s">
        <v>1390</v>
      </c>
      <c r="H93" s="16" t="s">
        <v>1391</v>
      </c>
    </row>
    <row r="94" customFormat="false" ht="63" hidden="false" customHeight="true" outlineLevel="0" collapsed="false">
      <c r="A94" s="6" t="n">
        <v>11</v>
      </c>
      <c r="B94" s="96" t="s">
        <v>1392</v>
      </c>
      <c r="C94" s="16" t="s">
        <v>1393</v>
      </c>
      <c r="D94" s="6"/>
      <c r="E94" s="15" t="n">
        <f aca="false">N62*보온기준!$F$12</f>
        <v>7.95</v>
      </c>
      <c r="F94" s="15" t="n">
        <f aca="false">ROUND(E94*(1+보온기준!$F$8),0)</f>
        <v>8</v>
      </c>
      <c r="G94" s="6" t="s">
        <v>38</v>
      </c>
      <c r="H94" s="16" t="s">
        <v>1394</v>
      </c>
    </row>
    <row r="95" customFormat="false" ht="74.25" hidden="false" customHeight="true" outlineLevel="0" collapsed="false">
      <c r="A95" s="6" t="n">
        <v>12</v>
      </c>
      <c r="B95" s="98" t="s">
        <v>1395</v>
      </c>
      <c r="C95" s="16" t="s">
        <v>1396</v>
      </c>
      <c r="D95" s="6"/>
      <c r="E95" s="15" t="n">
        <f aca="false">S79+Q62</f>
        <v>381.54</v>
      </c>
      <c r="F95" s="15" t="n">
        <f aca="false">ROUND(E95*보온기준!$F$11/1000*(1+보온기준!$F$9),0)</f>
        <v>4</v>
      </c>
      <c r="G95" s="6" t="s">
        <v>1397</v>
      </c>
      <c r="H95" s="16" t="s">
        <v>1398</v>
      </c>
    </row>
    <row r="96" customFormat="false" ht="34.5" hidden="false" customHeight="true" outlineLevel="0" collapsed="false">
      <c r="A96" s="6" t="n">
        <v>13</v>
      </c>
      <c r="B96" s="96" t="s">
        <v>1399</v>
      </c>
      <c r="C96" s="16" t="s">
        <v>1400</v>
      </c>
      <c r="D96" s="6"/>
      <c r="E96" s="15" t="n">
        <f aca="false">T79</f>
        <v>159</v>
      </c>
      <c r="F96" s="15" t="n">
        <f aca="false">E96</f>
        <v>159</v>
      </c>
      <c r="G96" s="6" t="s">
        <v>54</v>
      </c>
      <c r="H96" s="16" t="s">
        <v>1401</v>
      </c>
    </row>
    <row r="97" customFormat="false" ht="26.25" hidden="false" customHeight="true" outlineLevel="0" collapsed="false">
      <c r="A97" s="6" t="n">
        <v>14</v>
      </c>
      <c r="B97" s="96" t="s">
        <v>1402</v>
      </c>
      <c r="C97" s="16" t="s">
        <v>1403</v>
      </c>
      <c r="D97" s="6"/>
      <c r="E97" s="15" t="n">
        <f aca="false">U79</f>
        <v>192.4686</v>
      </c>
      <c r="F97" s="15" t="n">
        <f aca="false">ROUND(E97*(1+보온기준!$F$10),0)</f>
        <v>202</v>
      </c>
      <c r="G97" s="6" t="s">
        <v>85</v>
      </c>
      <c r="H97" s="16" t="s">
        <v>1404</v>
      </c>
    </row>
    <row r="98" customFormat="false" ht="57.75" hidden="false" customHeight="true" outlineLevel="0" collapsed="false">
      <c r="A98" s="6" t="n">
        <v>15</v>
      </c>
      <c r="B98" s="96" t="s">
        <v>1405</v>
      </c>
      <c r="C98" s="16"/>
      <c r="D98" s="6"/>
      <c r="E98" s="15" t="n">
        <f aca="false">H19</f>
        <v>2.36015289693587</v>
      </c>
      <c r="F98" s="15" t="n">
        <f aca="false">E98</f>
        <v>2.36015289693587</v>
      </c>
      <c r="G98" s="6" t="s">
        <v>54</v>
      </c>
      <c r="H98" s="7" t="s">
        <v>1406</v>
      </c>
    </row>
    <row r="100" customFormat="false" ht="15" hidden="false" customHeight="true" outlineLevel="0" collapsed="false">
      <c r="A100" s="3" t="s">
        <v>1407</v>
      </c>
    </row>
  </sheetData>
  <dataValidations count="1">
    <dataValidation allowBlank="true" errorStyle="stop" operator="between" showDropDown="false" showErrorMessage="false" showInputMessage="false" sqref="B7:B18" type="list">
      <formula1>"옥내,옥외"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9"/>
    <col collapsed="false" customWidth="true" hidden="false" outlineLevel="0" max="4" min="4" style="1" width="3"/>
    <col collapsed="false" customWidth="true" hidden="false" outlineLevel="0" max="5" min="5" style="1" width="34"/>
    <col collapsed="false" customWidth="true" hidden="false" outlineLevel="0" max="6" min="6" style="1" width="10"/>
    <col collapsed="false" customWidth="true" hidden="false" outlineLevel="0" max="7" min="7" style="1" width="3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4" min="13" style="1" width="8"/>
    <col collapsed="false" customWidth="true" hidden="false" outlineLevel="0" max="16" min="15" style="1" width="9"/>
    <col collapsed="false" customWidth="true" hidden="false" outlineLevel="0" max="17" min="17" style="1" width="3"/>
    <col collapsed="false" customWidth="true" hidden="false" outlineLevel="0" max="18" min="18" style="1" width="12"/>
    <col collapsed="false" customWidth="true" hidden="false" outlineLevel="0" max="20" min="19" style="1" width="8"/>
    <col collapsed="false" customWidth="true" hidden="false" outlineLevel="0" max="22" min="21" style="1" width="9"/>
    <col collapsed="false" customWidth="true" hidden="false" outlineLevel="0" max="23" min="23" style="1" width="3"/>
    <col collapsed="false" customWidth="true" hidden="false" outlineLevel="0" max="24" min="24" style="1" width="12"/>
    <col collapsed="false" customWidth="true" hidden="false" outlineLevel="0" max="26" min="25" style="1" width="8"/>
    <col collapsed="false" customWidth="true" hidden="false" outlineLevel="0" max="29" min="27" style="1" width="9"/>
    <col collapsed="false" customWidth="true" hidden="false" outlineLevel="0" max="31" min="31" style="1" width="9"/>
    <col collapsed="false" customWidth="true" hidden="false" outlineLevel="0" max="32" min="32" style="1" width="13"/>
    <col collapsed="false" customWidth="true" hidden="false" outlineLevel="0" max="33" min="33" style="1" width="14"/>
  </cols>
  <sheetData>
    <row r="1" customFormat="false" ht="19.5" hidden="false" customHeight="true" outlineLevel="0" collapsed="false">
      <c r="A1" s="49" t="s">
        <v>1408</v>
      </c>
    </row>
    <row r="2" customFormat="false" ht="15" hidden="false" customHeight="true" outlineLevel="0" collapsed="false">
      <c r="A2" s="3" t="s">
        <v>1409</v>
      </c>
    </row>
    <row r="3" customFormat="false" ht="15" hidden="false" customHeight="true" outlineLevel="0" collapsed="false">
      <c r="A3" s="91" t="s">
        <v>1410</v>
      </c>
      <c r="E3" s="50" t="s">
        <v>1411</v>
      </c>
      <c r="H3" s="91" t="s">
        <v>1412</v>
      </c>
      <c r="L3" s="91" t="s">
        <v>1413</v>
      </c>
      <c r="R3" s="91" t="s">
        <v>1414</v>
      </c>
      <c r="X3" s="91" t="s">
        <v>1415</v>
      </c>
      <c r="AE3" s="50" t="s">
        <v>1416</v>
      </c>
    </row>
    <row r="4" customFormat="false" ht="33.75" hidden="false" customHeight="true" outlineLevel="0" collapsed="false">
      <c r="A4" s="4" t="s">
        <v>680</v>
      </c>
      <c r="B4" s="4" t="s">
        <v>1417</v>
      </c>
      <c r="C4" s="4" t="s">
        <v>1418</v>
      </c>
      <c r="E4" s="4" t="s">
        <v>1207</v>
      </c>
      <c r="F4" s="4" t="s">
        <v>475</v>
      </c>
      <c r="H4" s="4" t="s">
        <v>1332</v>
      </c>
      <c r="I4" s="4" t="s">
        <v>1419</v>
      </c>
      <c r="J4" s="31" t="s">
        <v>1420</v>
      </c>
      <c r="L4" s="4" t="s">
        <v>1332</v>
      </c>
      <c r="M4" s="31" t="s">
        <v>1333</v>
      </c>
      <c r="N4" s="4" t="s">
        <v>1334</v>
      </c>
      <c r="O4" s="31" t="s">
        <v>1340</v>
      </c>
      <c r="P4" s="31" t="s">
        <v>1421</v>
      </c>
      <c r="R4" s="4" t="s">
        <v>1332</v>
      </c>
      <c r="S4" s="31" t="s">
        <v>1333</v>
      </c>
      <c r="T4" s="4" t="s">
        <v>1334</v>
      </c>
      <c r="U4" s="31" t="s">
        <v>1340</v>
      </c>
      <c r="V4" s="31" t="s">
        <v>1422</v>
      </c>
      <c r="X4" s="4" t="s">
        <v>1332</v>
      </c>
      <c r="Y4" s="31" t="s">
        <v>1333</v>
      </c>
      <c r="Z4" s="31" t="s">
        <v>1423</v>
      </c>
      <c r="AA4" s="31" t="s">
        <v>1342</v>
      </c>
      <c r="AB4" s="31" t="s">
        <v>1340</v>
      </c>
      <c r="AC4" s="31" t="s">
        <v>1421</v>
      </c>
      <c r="AE4" s="4" t="s">
        <v>680</v>
      </c>
      <c r="AF4" s="4" t="s">
        <v>1424</v>
      </c>
      <c r="AG4" s="4" t="s">
        <v>1425</v>
      </c>
    </row>
    <row r="5" customFormat="false" ht="26.25" hidden="false" customHeight="true" outlineLevel="0" collapsed="false">
      <c r="A5" s="19" t="n">
        <v>15</v>
      </c>
      <c r="B5" s="40" t="n">
        <v>2.63</v>
      </c>
      <c r="C5" s="36" t="n">
        <f aca="false">ROUND(B5,0)</f>
        <v>3</v>
      </c>
      <c r="E5" s="16" t="s">
        <v>1426</v>
      </c>
      <c r="F5" s="67" t="n">
        <v>0</v>
      </c>
      <c r="H5" s="19" t="s">
        <v>1427</v>
      </c>
      <c r="I5" s="40" t="n">
        <v>2.24</v>
      </c>
      <c r="J5" s="69" t="n">
        <v>0.358</v>
      </c>
      <c r="L5" s="19" t="s">
        <v>1428</v>
      </c>
      <c r="M5" s="109" t="n">
        <v>240</v>
      </c>
      <c r="N5" s="109" t="n">
        <v>80</v>
      </c>
      <c r="O5" s="69" t="n">
        <v>0.001</v>
      </c>
      <c r="P5" s="40" t="n">
        <v>0.28</v>
      </c>
      <c r="R5" s="19" t="s">
        <v>1428</v>
      </c>
      <c r="S5" s="109" t="n">
        <v>350</v>
      </c>
      <c r="T5" s="109" t="n">
        <v>80</v>
      </c>
      <c r="U5" s="69" t="n">
        <v>0.001</v>
      </c>
      <c r="V5" s="69" t="n">
        <v>0.257</v>
      </c>
      <c r="X5" s="19" t="s">
        <v>1428</v>
      </c>
      <c r="Y5" s="109" t="n">
        <v>350</v>
      </c>
      <c r="Z5" s="109" t="n">
        <v>120</v>
      </c>
      <c r="AA5" s="40" t="n">
        <v>0.2</v>
      </c>
      <c r="AB5" s="69" t="n">
        <v>0</v>
      </c>
      <c r="AC5" s="40" t="n">
        <v>0.35</v>
      </c>
      <c r="AE5" s="19" t="n">
        <v>15</v>
      </c>
      <c r="AF5" s="116" t="n">
        <v>50</v>
      </c>
      <c r="AG5" s="116" t="n">
        <v>30</v>
      </c>
    </row>
    <row r="6" customFormat="false" ht="15" hidden="false" customHeight="true" outlineLevel="0" collapsed="false">
      <c r="A6" s="19" t="n">
        <v>20</v>
      </c>
      <c r="B6" s="40" t="n">
        <v>3.04</v>
      </c>
      <c r="C6" s="36" t="n">
        <f aca="false">ROUND(B6,0)</f>
        <v>3</v>
      </c>
      <c r="E6" s="7" t="s">
        <v>1429</v>
      </c>
      <c r="F6" s="67" t="n">
        <v>0.025</v>
      </c>
      <c r="H6" s="19" t="s">
        <v>1430</v>
      </c>
      <c r="I6" s="40" t="n">
        <v>4.24</v>
      </c>
      <c r="J6" s="69" t="n">
        <v>0.551</v>
      </c>
      <c r="L6" s="19" t="s">
        <v>1431</v>
      </c>
      <c r="M6" s="109" t="n">
        <v>240</v>
      </c>
      <c r="N6" s="109" t="n">
        <v>90</v>
      </c>
      <c r="O6" s="69" t="n">
        <v>0.001</v>
      </c>
      <c r="P6" s="40" t="n">
        <v>0.31</v>
      </c>
      <c r="R6" s="19" t="s">
        <v>1431</v>
      </c>
      <c r="S6" s="109" t="n">
        <v>350</v>
      </c>
      <c r="T6" s="109" t="n">
        <v>90</v>
      </c>
      <c r="U6" s="69" t="n">
        <v>0.001</v>
      </c>
      <c r="V6" s="69" t="n">
        <v>0.285</v>
      </c>
      <c r="X6" s="19" t="s">
        <v>1431</v>
      </c>
      <c r="Y6" s="109" t="n">
        <v>350</v>
      </c>
      <c r="Z6" s="109" t="n">
        <v>120</v>
      </c>
      <c r="AA6" s="40" t="n">
        <v>0.22</v>
      </c>
      <c r="AB6" s="69" t="n">
        <v>0.001</v>
      </c>
      <c r="AC6" s="40" t="n">
        <v>0.36</v>
      </c>
      <c r="AE6" s="19" t="n">
        <v>20</v>
      </c>
      <c r="AF6" s="116" t="n">
        <v>50</v>
      </c>
      <c r="AG6" s="116" t="n">
        <v>30</v>
      </c>
    </row>
    <row r="7" customFormat="false" ht="15" hidden="false" customHeight="true" outlineLevel="0" collapsed="false">
      <c r="A7" s="19" t="n">
        <v>25</v>
      </c>
      <c r="B7" s="40" t="n">
        <v>3.47</v>
      </c>
      <c r="C7" s="36" t="n">
        <f aca="false">ROUND(B7,0)</f>
        <v>3</v>
      </c>
      <c r="E7" s="7" t="s">
        <v>1432</v>
      </c>
      <c r="F7" s="67" t="n">
        <v>0.05</v>
      </c>
      <c r="H7" s="19" t="s">
        <v>1433</v>
      </c>
      <c r="I7" s="40" t="n">
        <v>2.42</v>
      </c>
      <c r="J7" s="69" t="n">
        <v>0.446</v>
      </c>
      <c r="L7" s="19" t="s">
        <v>1434</v>
      </c>
      <c r="M7" s="109" t="n">
        <v>240</v>
      </c>
      <c r="N7" s="109" t="n">
        <v>100</v>
      </c>
      <c r="O7" s="69" t="n">
        <v>0.002</v>
      </c>
      <c r="P7" s="40" t="n">
        <v>0.33</v>
      </c>
      <c r="R7" s="19" t="s">
        <v>1434</v>
      </c>
      <c r="S7" s="109" t="n">
        <v>350</v>
      </c>
      <c r="T7" s="109" t="n">
        <v>100</v>
      </c>
      <c r="U7" s="69" t="n">
        <v>0.001</v>
      </c>
      <c r="V7" s="69" t="n">
        <v>0.313</v>
      </c>
      <c r="X7" s="19" t="s">
        <v>1434</v>
      </c>
      <c r="Y7" s="109" t="n">
        <v>350</v>
      </c>
      <c r="Z7" s="109" t="n">
        <v>120</v>
      </c>
      <c r="AA7" s="40" t="n">
        <v>0.24</v>
      </c>
      <c r="AB7" s="69" t="n">
        <v>0.001</v>
      </c>
      <c r="AC7" s="40" t="n">
        <v>0.37</v>
      </c>
      <c r="AE7" s="19" t="n">
        <v>25</v>
      </c>
      <c r="AF7" s="116" t="n">
        <v>50</v>
      </c>
      <c r="AG7" s="116" t="n">
        <v>30</v>
      </c>
    </row>
    <row r="8" customFormat="false" ht="15" hidden="false" customHeight="true" outlineLevel="0" collapsed="false">
      <c r="A8" s="19" t="n">
        <v>32</v>
      </c>
      <c r="B8" s="40" t="n">
        <v>3.97</v>
      </c>
      <c r="C8" s="36" t="n">
        <f aca="false">ROUND(B8,0)</f>
        <v>4</v>
      </c>
      <c r="E8" s="16" t="s">
        <v>1435</v>
      </c>
      <c r="F8" s="67" t="n">
        <v>0.035</v>
      </c>
      <c r="H8" s="19" t="s">
        <v>1436</v>
      </c>
      <c r="I8" s="40" t="n">
        <v>4.94</v>
      </c>
      <c r="J8" s="69" t="n">
        <v>0.637</v>
      </c>
      <c r="L8" s="19" t="s">
        <v>1437</v>
      </c>
      <c r="M8" s="109" t="n">
        <v>240</v>
      </c>
      <c r="N8" s="109" t="n">
        <v>100</v>
      </c>
      <c r="O8" s="69" t="n">
        <v>0.002</v>
      </c>
      <c r="P8" s="40" t="n">
        <v>0.37</v>
      </c>
      <c r="R8" s="19" t="s">
        <v>1437</v>
      </c>
      <c r="S8" s="109" t="n">
        <v>350</v>
      </c>
      <c r="T8" s="109" t="n">
        <v>100</v>
      </c>
      <c r="U8" s="69" t="n">
        <v>0.001</v>
      </c>
      <c r="V8" s="69" t="n">
        <v>0.356</v>
      </c>
      <c r="X8" s="19" t="s">
        <v>1437</v>
      </c>
      <c r="Y8" s="109" t="n">
        <v>350</v>
      </c>
      <c r="Z8" s="109" t="n">
        <v>120</v>
      </c>
      <c r="AA8" s="40" t="n">
        <v>0.27</v>
      </c>
      <c r="AB8" s="69" t="n">
        <v>0.001</v>
      </c>
      <c r="AC8" s="40" t="n">
        <v>0.39</v>
      </c>
      <c r="AE8" s="19" t="n">
        <v>32</v>
      </c>
      <c r="AF8" s="116" t="n">
        <v>50</v>
      </c>
      <c r="AG8" s="116" t="n">
        <v>30</v>
      </c>
    </row>
    <row r="9" customFormat="false" ht="15" hidden="false" customHeight="true" outlineLevel="0" collapsed="false">
      <c r="A9" s="19" t="n">
        <v>40</v>
      </c>
      <c r="B9" s="40" t="n">
        <v>4.29</v>
      </c>
      <c r="C9" s="36" t="n">
        <f aca="false">ROUND(B9,0)</f>
        <v>4</v>
      </c>
      <c r="E9" s="7" t="s">
        <v>1438</v>
      </c>
      <c r="F9" s="67" t="n">
        <v>0.05</v>
      </c>
      <c r="H9" s="19" t="s">
        <v>1439</v>
      </c>
      <c r="I9" s="40" t="n">
        <v>3.74</v>
      </c>
      <c r="J9" s="69" t="n">
        <v>0.488</v>
      </c>
      <c r="L9" s="19" t="s">
        <v>1427</v>
      </c>
      <c r="M9" s="109" t="n">
        <v>240</v>
      </c>
      <c r="N9" s="109" t="n">
        <v>125</v>
      </c>
      <c r="O9" s="69" t="n">
        <v>0.001</v>
      </c>
      <c r="P9" s="40" t="n">
        <v>0.33</v>
      </c>
      <c r="R9" s="19" t="s">
        <v>1427</v>
      </c>
      <c r="S9" s="109" t="n">
        <v>420</v>
      </c>
      <c r="T9" s="109" t="n">
        <v>125</v>
      </c>
      <c r="U9" s="69" t="n">
        <v>0.001</v>
      </c>
      <c r="V9" s="69" t="n">
        <v>0.36</v>
      </c>
      <c r="X9" s="19" t="s">
        <v>1427</v>
      </c>
      <c r="Y9" s="109" t="n">
        <v>450</v>
      </c>
      <c r="Z9" s="109" t="n">
        <v>200</v>
      </c>
      <c r="AA9" s="40" t="n">
        <v>0.4</v>
      </c>
      <c r="AB9" s="69" t="n">
        <v>0.001</v>
      </c>
      <c r="AC9" s="40" t="n">
        <v>0.6</v>
      </c>
      <c r="AE9" s="19" t="n">
        <v>40</v>
      </c>
      <c r="AF9" s="116" t="n">
        <v>50</v>
      </c>
      <c r="AG9" s="116" t="n">
        <v>30</v>
      </c>
    </row>
    <row r="10" customFormat="false" ht="15" hidden="false" customHeight="true" outlineLevel="0" collapsed="false">
      <c r="A10" s="19" t="n">
        <v>50</v>
      </c>
      <c r="B10" s="40" t="n">
        <v>4.82</v>
      </c>
      <c r="C10" s="36" t="n">
        <f aca="false">ROUND(B10,0)</f>
        <v>5</v>
      </c>
      <c r="E10" s="16" t="s">
        <v>1440</v>
      </c>
      <c r="F10" s="67" t="n">
        <v>0.05</v>
      </c>
      <c r="H10" s="19" t="s">
        <v>1441</v>
      </c>
      <c r="I10" s="40" t="n">
        <v>5.25</v>
      </c>
      <c r="J10" s="69" t="n">
        <v>0.679</v>
      </c>
      <c r="L10" s="19" t="s">
        <v>1442</v>
      </c>
      <c r="M10" s="109" t="n">
        <v>240</v>
      </c>
      <c r="N10" s="109" t="n">
        <v>125</v>
      </c>
      <c r="O10" s="69" t="n">
        <v>0.002</v>
      </c>
      <c r="P10" s="40" t="n">
        <v>0.36</v>
      </c>
      <c r="R10" s="19" t="s">
        <v>1442</v>
      </c>
      <c r="S10" s="109" t="n">
        <v>420</v>
      </c>
      <c r="T10" s="109" t="n">
        <v>125</v>
      </c>
      <c r="U10" s="69" t="n">
        <v>0.001</v>
      </c>
      <c r="V10" s="69" t="n">
        <v>0.393</v>
      </c>
      <c r="X10" s="19" t="s">
        <v>1442</v>
      </c>
      <c r="Y10" s="109" t="n">
        <v>450</v>
      </c>
      <c r="Z10" s="109" t="n">
        <v>200</v>
      </c>
      <c r="AA10" s="40" t="n">
        <v>0.43</v>
      </c>
      <c r="AB10" s="69" t="n">
        <v>0.001</v>
      </c>
      <c r="AC10" s="40" t="n">
        <v>0.61</v>
      </c>
      <c r="AE10" s="19" t="n">
        <v>50</v>
      </c>
      <c r="AF10" s="116" t="n">
        <v>50</v>
      </c>
      <c r="AG10" s="116" t="n">
        <v>30</v>
      </c>
    </row>
    <row r="11" customFormat="false" ht="15" hidden="false" customHeight="true" outlineLevel="0" collapsed="false">
      <c r="A11" s="19" t="n">
        <v>65</v>
      </c>
      <c r="B11" s="40" t="n">
        <v>5.43</v>
      </c>
      <c r="C11" s="36" t="n">
        <f aca="false">ROUND(B11,0)</f>
        <v>5</v>
      </c>
      <c r="E11" s="7" t="s">
        <v>1443</v>
      </c>
      <c r="F11" s="40" t="n">
        <v>8.88</v>
      </c>
      <c r="H11" s="19" t="s">
        <v>1444</v>
      </c>
      <c r="I11" s="40" t="n">
        <v>4.05</v>
      </c>
      <c r="J11" s="69" t="n">
        <v>0.525</v>
      </c>
      <c r="L11" s="19" t="s">
        <v>1430</v>
      </c>
      <c r="M11" s="109" t="n">
        <v>240</v>
      </c>
      <c r="N11" s="109" t="n">
        <v>150</v>
      </c>
      <c r="O11" s="69" t="n">
        <v>0.002</v>
      </c>
      <c r="P11" s="40" t="n">
        <v>0.38</v>
      </c>
      <c r="R11" s="19" t="s">
        <v>1430</v>
      </c>
      <c r="S11" s="109" t="n">
        <v>420</v>
      </c>
      <c r="T11" s="109" t="n">
        <v>150</v>
      </c>
      <c r="U11" s="69" t="n">
        <v>0.001</v>
      </c>
      <c r="V11" s="69" t="n">
        <v>0.425</v>
      </c>
      <c r="X11" s="19" t="s">
        <v>1430</v>
      </c>
      <c r="Y11" s="109" t="n">
        <v>450</v>
      </c>
      <c r="Z11" s="109" t="n">
        <v>200</v>
      </c>
      <c r="AA11" s="40" t="n">
        <v>0.46</v>
      </c>
      <c r="AB11" s="69" t="n">
        <v>0.002</v>
      </c>
      <c r="AC11" s="40" t="n">
        <v>0.63</v>
      </c>
      <c r="AE11" s="19" t="n">
        <v>65</v>
      </c>
      <c r="AF11" s="116" t="n">
        <v>50</v>
      </c>
      <c r="AG11" s="116" t="n">
        <v>30</v>
      </c>
    </row>
    <row r="12" customFormat="false" ht="15" hidden="false" customHeight="true" outlineLevel="0" collapsed="false">
      <c r="A12" s="19" t="n">
        <v>80</v>
      </c>
      <c r="B12" s="40" t="n">
        <v>5.84</v>
      </c>
      <c r="C12" s="36" t="n">
        <f aca="false">ROUND(B12,0)</f>
        <v>6</v>
      </c>
      <c r="E12" s="16" t="s">
        <v>1445</v>
      </c>
      <c r="F12" s="109" t="n">
        <v>150</v>
      </c>
      <c r="H12" s="19" t="s">
        <v>1446</v>
      </c>
      <c r="I12" s="40" t="n">
        <v>5.55</v>
      </c>
      <c r="J12" s="69" t="n">
        <v>0.716</v>
      </c>
      <c r="L12" s="19" t="s">
        <v>1447</v>
      </c>
      <c r="M12" s="109" t="n">
        <v>240</v>
      </c>
      <c r="N12" s="109" t="n">
        <v>175</v>
      </c>
      <c r="O12" s="69" t="n">
        <v>0.004</v>
      </c>
      <c r="P12" s="40" t="n">
        <v>0.42</v>
      </c>
      <c r="R12" s="19" t="s">
        <v>1447</v>
      </c>
      <c r="S12" s="109" t="n">
        <v>420</v>
      </c>
      <c r="T12" s="109" t="n">
        <v>175</v>
      </c>
      <c r="U12" s="69" t="n">
        <v>0.002</v>
      </c>
      <c r="V12" s="69" t="n">
        <v>0.474</v>
      </c>
      <c r="X12" s="19" t="s">
        <v>1447</v>
      </c>
      <c r="Y12" s="109" t="n">
        <v>450</v>
      </c>
      <c r="Z12" s="109" t="n">
        <v>200</v>
      </c>
      <c r="AA12" s="40" t="n">
        <v>0.51</v>
      </c>
      <c r="AB12" s="69" t="n">
        <v>0.003</v>
      </c>
      <c r="AC12" s="40" t="n">
        <v>0.66</v>
      </c>
      <c r="AE12" s="19" t="n">
        <v>80</v>
      </c>
      <c r="AF12" s="116" t="n">
        <v>50</v>
      </c>
      <c r="AG12" s="116" t="n">
        <v>30</v>
      </c>
    </row>
    <row r="13" customFormat="false" ht="15" hidden="false" customHeight="true" outlineLevel="0" collapsed="false">
      <c r="A13" s="19" t="n">
        <v>100</v>
      </c>
      <c r="B13" s="40" t="n">
        <v>6.61</v>
      </c>
      <c r="C13" s="36" t="n">
        <f aca="false">ROUND(B13,0)</f>
        <v>7</v>
      </c>
      <c r="E13" s="16" t="s">
        <v>1448</v>
      </c>
      <c r="F13" s="109" t="n">
        <v>150</v>
      </c>
      <c r="H13" s="19" t="s">
        <v>1449</v>
      </c>
      <c r="I13" s="40" t="n">
        <v>4.36</v>
      </c>
      <c r="J13" s="69" t="n">
        <v>0.567</v>
      </c>
      <c r="L13" s="19" t="s">
        <v>1450</v>
      </c>
      <c r="M13" s="109" t="n">
        <v>240</v>
      </c>
      <c r="N13" s="109" t="n">
        <v>200</v>
      </c>
      <c r="O13" s="69" t="n">
        <v>0.004</v>
      </c>
      <c r="P13" s="40" t="n">
        <v>0.44</v>
      </c>
      <c r="R13" s="19" t="s">
        <v>1450</v>
      </c>
      <c r="S13" s="109" t="n">
        <v>420</v>
      </c>
      <c r="T13" s="109" t="n">
        <v>200</v>
      </c>
      <c r="U13" s="69" t="n">
        <v>0.002</v>
      </c>
      <c r="V13" s="69" t="n">
        <v>0.507</v>
      </c>
      <c r="X13" s="19" t="s">
        <v>1450</v>
      </c>
      <c r="Y13" s="109" t="n">
        <v>450</v>
      </c>
      <c r="Z13" s="109" t="n">
        <v>200</v>
      </c>
      <c r="AA13" s="40" t="n">
        <v>0.53</v>
      </c>
      <c r="AB13" s="69" t="n">
        <v>0.003</v>
      </c>
      <c r="AC13" s="40" t="n">
        <v>0.67</v>
      </c>
      <c r="AE13" s="19" t="n">
        <v>90</v>
      </c>
      <c r="AF13" s="116" t="n">
        <v>30</v>
      </c>
      <c r="AG13" s="116" t="n">
        <v>30</v>
      </c>
    </row>
    <row r="14" customFormat="false" ht="15" hidden="false" customHeight="true" outlineLevel="0" collapsed="false">
      <c r="A14" s="19" t="n">
        <v>125</v>
      </c>
      <c r="B14" s="40" t="n">
        <v>7.26</v>
      </c>
      <c r="C14" s="36" t="n">
        <f aca="false">ROUND(B14,0)</f>
        <v>7</v>
      </c>
      <c r="E14" s="16" t="s">
        <v>1451</v>
      </c>
      <c r="F14" s="109" t="n">
        <v>3</v>
      </c>
      <c r="H14" s="19" t="s">
        <v>1452</v>
      </c>
      <c r="I14" s="40" t="n">
        <v>5.87</v>
      </c>
      <c r="J14" s="69" t="n">
        <v>0.758</v>
      </c>
      <c r="L14" s="19" t="s">
        <v>1453</v>
      </c>
      <c r="M14" s="109" t="n">
        <v>240</v>
      </c>
      <c r="N14" s="109" t="n">
        <v>225</v>
      </c>
      <c r="O14" s="69" t="n">
        <v>0.006</v>
      </c>
      <c r="P14" s="40" t="n">
        <v>0.48</v>
      </c>
      <c r="R14" s="19" t="s">
        <v>1453</v>
      </c>
      <c r="S14" s="109" t="n">
        <v>420</v>
      </c>
      <c r="T14" s="109" t="n">
        <v>225</v>
      </c>
      <c r="U14" s="69" t="n">
        <v>0.003</v>
      </c>
      <c r="V14" s="69" t="n">
        <v>0.556</v>
      </c>
      <c r="X14" s="19" t="s">
        <v>1453</v>
      </c>
      <c r="Y14" s="109" t="n">
        <v>450</v>
      </c>
      <c r="Z14" s="109" t="n">
        <v>200</v>
      </c>
      <c r="AA14" s="40" t="n">
        <v>0.58</v>
      </c>
      <c r="AB14" s="69" t="n">
        <v>0.004</v>
      </c>
      <c r="AC14" s="40" t="n">
        <v>0.7</v>
      </c>
      <c r="AE14" s="19" t="n">
        <v>100</v>
      </c>
      <c r="AF14" s="116" t="n">
        <v>30</v>
      </c>
      <c r="AG14" s="116" t="n">
        <v>0</v>
      </c>
    </row>
    <row r="15" customFormat="false" ht="15" hidden="false" customHeight="true" outlineLevel="0" collapsed="false">
      <c r="A15" s="19" t="n">
        <v>150</v>
      </c>
      <c r="B15" s="40" t="n">
        <v>7.77</v>
      </c>
      <c r="C15" s="36" t="n">
        <f aca="false">ROUND(B15,0)</f>
        <v>8</v>
      </c>
      <c r="E15" s="16" t="s">
        <v>1454</v>
      </c>
      <c r="F15" s="110" t="n">
        <v>1.5</v>
      </c>
      <c r="H15" s="19" t="s">
        <v>1455</v>
      </c>
      <c r="I15" s="40" t="n">
        <v>5</v>
      </c>
      <c r="J15" s="69" t="n">
        <v>0.648</v>
      </c>
      <c r="L15" s="19" t="s">
        <v>1439</v>
      </c>
      <c r="M15" s="109" t="n">
        <v>240</v>
      </c>
      <c r="N15" s="109" t="n">
        <v>125</v>
      </c>
      <c r="O15" s="69" t="n">
        <v>0.002</v>
      </c>
      <c r="P15" s="40" t="n">
        <v>0.37</v>
      </c>
      <c r="R15" s="19" t="s">
        <v>1439</v>
      </c>
      <c r="S15" s="109" t="n">
        <v>450</v>
      </c>
      <c r="T15" s="109" t="n">
        <v>125</v>
      </c>
      <c r="U15" s="69" t="n">
        <v>0.001</v>
      </c>
      <c r="V15" s="69" t="n">
        <v>0.43</v>
      </c>
      <c r="X15" s="19" t="s">
        <v>1439</v>
      </c>
      <c r="Y15" s="109" t="n">
        <v>450</v>
      </c>
      <c r="Z15" s="109" t="n">
        <v>250</v>
      </c>
      <c r="AA15" s="40" t="n">
        <v>0.51</v>
      </c>
      <c r="AB15" s="69" t="n">
        <v>0.001</v>
      </c>
      <c r="AC15" s="40" t="n">
        <v>0.73</v>
      </c>
      <c r="AE15" s="19" t="n">
        <v>125</v>
      </c>
      <c r="AF15" s="116" t="n">
        <v>30</v>
      </c>
      <c r="AG15" s="116" t="n">
        <v>0</v>
      </c>
    </row>
    <row r="16" customFormat="false" ht="15" hidden="false" customHeight="true" outlineLevel="0" collapsed="false">
      <c r="A16" s="19" t="n">
        <v>200</v>
      </c>
      <c r="B16" s="40" t="n">
        <v>8.97</v>
      </c>
      <c r="C16" s="36" t="n">
        <f aca="false">ROUND(B16,0)</f>
        <v>9</v>
      </c>
      <c r="E16" s="7" t="s">
        <v>1456</v>
      </c>
      <c r="F16" s="110" t="n">
        <v>1.2</v>
      </c>
      <c r="H16" s="19" t="s">
        <v>1457</v>
      </c>
      <c r="I16" s="40" t="n">
        <v>6.5</v>
      </c>
      <c r="J16" s="69" t="n">
        <v>0.839</v>
      </c>
      <c r="L16" s="19" t="s">
        <v>1458</v>
      </c>
      <c r="M16" s="109" t="n">
        <v>240</v>
      </c>
      <c r="N16" s="109" t="n">
        <v>150</v>
      </c>
      <c r="O16" s="69" t="n">
        <v>0.002</v>
      </c>
      <c r="P16" s="40" t="n">
        <v>0.39</v>
      </c>
      <c r="R16" s="19" t="s">
        <v>1458</v>
      </c>
      <c r="S16" s="109" t="n">
        <v>450</v>
      </c>
      <c r="T16" s="109" t="n">
        <v>150</v>
      </c>
      <c r="U16" s="69" t="n">
        <v>0.001</v>
      </c>
      <c r="V16" s="69" t="n">
        <v>0.465</v>
      </c>
      <c r="X16" s="19" t="s">
        <v>1458</v>
      </c>
      <c r="Y16" s="109" t="n">
        <v>450</v>
      </c>
      <c r="Z16" s="109" t="n">
        <v>250</v>
      </c>
      <c r="AA16" s="40" t="n">
        <v>0.55</v>
      </c>
      <c r="AB16" s="69" t="n">
        <v>0.002</v>
      </c>
      <c r="AC16" s="40" t="n">
        <v>0.75</v>
      </c>
      <c r="AE16" s="19" t="n">
        <v>150</v>
      </c>
      <c r="AF16" s="116" t="n">
        <v>30</v>
      </c>
      <c r="AG16" s="116" t="n">
        <v>0</v>
      </c>
    </row>
    <row r="17" customFormat="false" ht="15" hidden="false" customHeight="true" outlineLevel="0" collapsed="false">
      <c r="A17" s="19" t="n">
        <v>250</v>
      </c>
      <c r="B17" s="40" t="n">
        <v>9.73</v>
      </c>
      <c r="C17" s="36" t="n">
        <f aca="false">ROUND(B17,0)</f>
        <v>10</v>
      </c>
      <c r="E17" s="16" t="s">
        <v>1459</v>
      </c>
      <c r="F17" s="40" t="n">
        <v>0.83</v>
      </c>
      <c r="H17" s="19" t="s">
        <v>1460</v>
      </c>
      <c r="I17" s="40" t="n">
        <v>5.64</v>
      </c>
      <c r="J17" s="69" t="n">
        <v>0.729</v>
      </c>
      <c r="L17" s="19" t="s">
        <v>1441</v>
      </c>
      <c r="M17" s="109" t="n">
        <v>240</v>
      </c>
      <c r="N17" s="109" t="n">
        <v>175</v>
      </c>
      <c r="O17" s="69" t="n">
        <v>0.003</v>
      </c>
      <c r="P17" s="40" t="n">
        <v>0.42</v>
      </c>
      <c r="R17" s="19" t="s">
        <v>1441</v>
      </c>
      <c r="S17" s="109" t="n">
        <v>450</v>
      </c>
      <c r="T17" s="109" t="n">
        <v>175</v>
      </c>
      <c r="U17" s="69" t="n">
        <v>0.002</v>
      </c>
      <c r="V17" s="69" t="n">
        <v>0.499</v>
      </c>
      <c r="X17" s="19" t="s">
        <v>1441</v>
      </c>
      <c r="Y17" s="109" t="n">
        <v>450</v>
      </c>
      <c r="Z17" s="109" t="n">
        <v>250</v>
      </c>
      <c r="AA17" s="40" t="n">
        <v>0.58</v>
      </c>
      <c r="AB17" s="69" t="n">
        <v>0.002</v>
      </c>
      <c r="AC17" s="40" t="n">
        <v>0.76</v>
      </c>
      <c r="AE17" s="19" t="n">
        <v>200</v>
      </c>
      <c r="AF17" s="116" t="n">
        <v>30</v>
      </c>
      <c r="AG17" s="116" t="n">
        <v>0</v>
      </c>
    </row>
    <row r="18" customFormat="false" ht="15" hidden="false" customHeight="true" outlineLevel="0" collapsed="false">
      <c r="A18" s="19" t="n">
        <v>300</v>
      </c>
      <c r="B18" s="40" t="n">
        <v>10.38</v>
      </c>
      <c r="C18" s="36" t="n">
        <f aca="false">ROUND(B18,0)</f>
        <v>10</v>
      </c>
      <c r="H18" s="19" t="s">
        <v>1461</v>
      </c>
      <c r="I18" s="40" t="n">
        <v>7.15</v>
      </c>
      <c r="J18" s="69" t="n">
        <v>0.919</v>
      </c>
      <c r="L18" s="19" t="s">
        <v>1462</v>
      </c>
      <c r="M18" s="109" t="n">
        <v>240</v>
      </c>
      <c r="N18" s="109" t="n">
        <v>200</v>
      </c>
      <c r="O18" s="69" t="n">
        <v>0.004</v>
      </c>
      <c r="P18" s="40" t="n">
        <v>0.45</v>
      </c>
      <c r="R18" s="19" t="s">
        <v>1462</v>
      </c>
      <c r="S18" s="109" t="n">
        <v>450</v>
      </c>
      <c r="T18" s="109" t="n">
        <v>200</v>
      </c>
      <c r="U18" s="69" t="n">
        <v>0.002</v>
      </c>
      <c r="V18" s="69" t="n">
        <v>0.551</v>
      </c>
      <c r="X18" s="19" t="s">
        <v>1462</v>
      </c>
      <c r="Y18" s="109" t="n">
        <v>450</v>
      </c>
      <c r="Z18" s="109" t="n">
        <v>250</v>
      </c>
      <c r="AA18" s="40" t="n">
        <v>0.62</v>
      </c>
      <c r="AB18" s="69" t="n">
        <v>0.003</v>
      </c>
      <c r="AC18" s="40" t="n">
        <v>0.79</v>
      </c>
      <c r="AE18" s="19" t="n">
        <v>250</v>
      </c>
      <c r="AF18" s="116" t="n">
        <v>30</v>
      </c>
      <c r="AG18" s="116" t="n">
        <v>0</v>
      </c>
    </row>
    <row r="19" customFormat="false" ht="15" hidden="false" customHeight="true" outlineLevel="0" collapsed="false">
      <c r="A19" s="19" t="n">
        <v>350</v>
      </c>
      <c r="B19" s="40" t="n">
        <v>10.8</v>
      </c>
      <c r="C19" s="36" t="n">
        <f aca="false">ROUND(B19,0)</f>
        <v>11</v>
      </c>
      <c r="H19" s="19" t="s">
        <v>1463</v>
      </c>
      <c r="I19" s="40" t="n">
        <v>6.95</v>
      </c>
      <c r="J19" s="69" t="n">
        <v>0.894</v>
      </c>
      <c r="L19" s="19" t="s">
        <v>1464</v>
      </c>
      <c r="M19" s="109" t="n">
        <v>240</v>
      </c>
      <c r="N19" s="109" t="n">
        <v>225</v>
      </c>
      <c r="O19" s="69" t="n">
        <v>0.005</v>
      </c>
      <c r="P19" s="40" t="n">
        <v>0.48</v>
      </c>
      <c r="R19" s="19" t="s">
        <v>1464</v>
      </c>
      <c r="S19" s="109" t="n">
        <v>450</v>
      </c>
      <c r="T19" s="109" t="n">
        <v>225</v>
      </c>
      <c r="U19" s="69" t="n">
        <v>0.003</v>
      </c>
      <c r="V19" s="69" t="n">
        <v>0.586</v>
      </c>
      <c r="X19" s="19" t="s">
        <v>1464</v>
      </c>
      <c r="Y19" s="109" t="n">
        <v>450</v>
      </c>
      <c r="Z19" s="109" t="n">
        <v>250</v>
      </c>
      <c r="AA19" s="40" t="n">
        <v>0.65</v>
      </c>
      <c r="AB19" s="69" t="n">
        <v>0.004</v>
      </c>
      <c r="AC19" s="40" t="n">
        <v>0.81</v>
      </c>
      <c r="AE19" s="19" t="n">
        <v>300</v>
      </c>
      <c r="AF19" s="116" t="n">
        <v>0</v>
      </c>
      <c r="AG19" s="116" t="n">
        <v>0</v>
      </c>
    </row>
    <row r="20" customFormat="false" ht="15" hidden="false" customHeight="true" outlineLevel="0" collapsed="false">
      <c r="A20" s="19" t="n">
        <v>400</v>
      </c>
      <c r="B20" s="40" t="n">
        <v>11.32</v>
      </c>
      <c r="C20" s="36" t="n">
        <f aca="false">ROUND(B20,0)</f>
        <v>11</v>
      </c>
      <c r="H20" s="19" t="s">
        <v>1465</v>
      </c>
      <c r="I20" s="40" t="n">
        <v>8.46</v>
      </c>
      <c r="J20" s="69" t="n">
        <v>1.085</v>
      </c>
      <c r="L20" s="19" t="s">
        <v>1466</v>
      </c>
      <c r="M20" s="109" t="n">
        <v>240</v>
      </c>
      <c r="N20" s="109" t="n">
        <v>250</v>
      </c>
      <c r="O20" s="69" t="n">
        <v>0.007</v>
      </c>
      <c r="P20" s="40" t="n">
        <v>0.51</v>
      </c>
      <c r="R20" s="19" t="s">
        <v>1466</v>
      </c>
      <c r="S20" s="109" t="n">
        <v>450</v>
      </c>
      <c r="T20" s="109" t="n">
        <v>250</v>
      </c>
      <c r="U20" s="69" t="n">
        <v>0.004</v>
      </c>
      <c r="V20" s="69" t="n">
        <v>0.637</v>
      </c>
      <c r="X20" s="19" t="s">
        <v>1466</v>
      </c>
      <c r="Y20" s="109" t="n">
        <v>450</v>
      </c>
      <c r="Z20" s="109" t="n">
        <v>250</v>
      </c>
      <c r="AA20" s="40" t="n">
        <v>0.7</v>
      </c>
      <c r="AB20" s="69" t="n">
        <v>0.005</v>
      </c>
      <c r="AC20" s="40" t="n">
        <v>0.84</v>
      </c>
    </row>
    <row r="21" customFormat="false" ht="15" hidden="false" customHeight="true" outlineLevel="0" collapsed="false">
      <c r="A21" s="19" t="n">
        <v>450</v>
      </c>
      <c r="B21" s="40" t="n">
        <v>11.78</v>
      </c>
      <c r="C21" s="36" t="n">
        <f aca="false">ROUND(B21,0)</f>
        <v>12</v>
      </c>
      <c r="H21" s="19" t="s">
        <v>1467</v>
      </c>
      <c r="I21" s="40" t="n">
        <v>8.21</v>
      </c>
      <c r="J21" s="69" t="n">
        <v>1.053</v>
      </c>
      <c r="L21" s="19" t="s">
        <v>1468</v>
      </c>
      <c r="M21" s="109" t="n">
        <v>350</v>
      </c>
      <c r="N21" s="109" t="n">
        <v>225</v>
      </c>
      <c r="O21" s="69" t="n">
        <v>0.005</v>
      </c>
      <c r="P21" s="40" t="n">
        <v>0.62</v>
      </c>
      <c r="R21" s="19" t="s">
        <v>1468</v>
      </c>
      <c r="S21" s="109" t="n">
        <v>350</v>
      </c>
      <c r="T21" s="109" t="n">
        <v>225</v>
      </c>
      <c r="U21" s="69" t="n">
        <v>0.001</v>
      </c>
      <c r="V21" s="69" t="n">
        <v>0.49</v>
      </c>
      <c r="X21" s="19" t="s">
        <v>1468</v>
      </c>
      <c r="Y21" s="109" t="n">
        <v>550</v>
      </c>
      <c r="Z21" s="109" t="n">
        <v>150</v>
      </c>
      <c r="AA21" s="40" t="n">
        <v>0.6</v>
      </c>
      <c r="AB21" s="69" t="n">
        <v>0.003</v>
      </c>
      <c r="AC21" s="40" t="n">
        <v>0.67</v>
      </c>
      <c r="AE21" s="29" t="s">
        <v>1469</v>
      </c>
    </row>
    <row r="22" customFormat="false" ht="15" hidden="false" customHeight="true" outlineLevel="0" collapsed="false">
      <c r="A22" s="19" t="n">
        <v>500</v>
      </c>
      <c r="B22" s="40" t="n">
        <v>12.21</v>
      </c>
      <c r="C22" s="36" t="n">
        <f aca="false">ROUND(B22,0)</f>
        <v>12</v>
      </c>
      <c r="H22" s="19" t="s">
        <v>1470</v>
      </c>
      <c r="I22" s="40" t="n">
        <v>9.74</v>
      </c>
      <c r="J22" s="69" t="n">
        <v>1.244</v>
      </c>
      <c r="L22" s="19" t="s">
        <v>1461</v>
      </c>
      <c r="M22" s="109" t="n">
        <v>400</v>
      </c>
      <c r="N22" s="109" t="n">
        <v>250</v>
      </c>
      <c r="O22" s="69" t="n">
        <v>0.008</v>
      </c>
      <c r="P22" s="40" t="n">
        <v>0.72</v>
      </c>
      <c r="R22" s="19" t="s">
        <v>1461</v>
      </c>
      <c r="S22" s="109" t="n">
        <v>400</v>
      </c>
      <c r="T22" s="109" t="n">
        <v>250</v>
      </c>
      <c r="U22" s="69" t="n">
        <v>0.002</v>
      </c>
      <c r="V22" s="69" t="n">
        <v>0.57</v>
      </c>
      <c r="X22" s="19" t="s">
        <v>1461</v>
      </c>
      <c r="Y22" s="109" t="n">
        <v>550</v>
      </c>
      <c r="Z22" s="109" t="n">
        <v>150</v>
      </c>
      <c r="AA22" s="40" t="n">
        <v>0.63</v>
      </c>
      <c r="AB22" s="69" t="n">
        <v>0.005</v>
      </c>
      <c r="AC22" s="40" t="n">
        <v>0.69</v>
      </c>
    </row>
    <row r="23" customFormat="false" ht="15" hidden="false" customHeight="true" outlineLevel="0" collapsed="false">
      <c r="H23" s="19" t="s">
        <v>1471</v>
      </c>
      <c r="I23" s="40" t="n">
        <v>9.5</v>
      </c>
      <c r="J23" s="69" t="n">
        <v>1.215</v>
      </c>
      <c r="L23" s="19" t="s">
        <v>1472</v>
      </c>
      <c r="M23" s="109" t="n">
        <v>400</v>
      </c>
      <c r="N23" s="109" t="n">
        <v>300</v>
      </c>
      <c r="O23" s="69" t="n">
        <v>0.011</v>
      </c>
      <c r="P23" s="40" t="n">
        <v>0.77</v>
      </c>
      <c r="R23" s="19" t="s">
        <v>1472</v>
      </c>
      <c r="S23" s="109" t="n">
        <v>400</v>
      </c>
      <c r="T23" s="109" t="n">
        <v>300</v>
      </c>
      <c r="U23" s="69" t="n">
        <v>0.003</v>
      </c>
      <c r="V23" s="69" t="n">
        <v>0.62</v>
      </c>
      <c r="X23" s="19" t="s">
        <v>1472</v>
      </c>
      <c r="Y23" s="109" t="n">
        <v>550</v>
      </c>
      <c r="Z23" s="109" t="n">
        <v>150</v>
      </c>
      <c r="AA23" s="40" t="n">
        <v>0.68</v>
      </c>
      <c r="AB23" s="69" t="n">
        <v>0.006</v>
      </c>
      <c r="AC23" s="40" t="n">
        <v>0.72</v>
      </c>
    </row>
    <row r="24" customFormat="false" ht="15" hidden="false" customHeight="true" outlineLevel="0" collapsed="false">
      <c r="H24" s="19" t="s">
        <v>1473</v>
      </c>
      <c r="I24" s="40" t="n">
        <v>11</v>
      </c>
      <c r="J24" s="69" t="n">
        <v>1.406</v>
      </c>
      <c r="L24" s="19" t="s">
        <v>1474</v>
      </c>
      <c r="M24" s="109" t="n">
        <v>400</v>
      </c>
      <c r="N24" s="109" t="n">
        <v>300</v>
      </c>
      <c r="O24" s="69" t="n">
        <v>0.014</v>
      </c>
      <c r="P24" s="40" t="n">
        <v>0.8</v>
      </c>
      <c r="R24" s="19" t="s">
        <v>1474</v>
      </c>
      <c r="S24" s="109" t="n">
        <v>400</v>
      </c>
      <c r="T24" s="109" t="n">
        <v>300</v>
      </c>
      <c r="U24" s="69" t="n">
        <v>0.003</v>
      </c>
      <c r="V24" s="69" t="n">
        <v>0.65</v>
      </c>
      <c r="X24" s="19" t="s">
        <v>1474</v>
      </c>
      <c r="Y24" s="109" t="n">
        <v>550</v>
      </c>
      <c r="Z24" s="109" t="n">
        <v>190</v>
      </c>
      <c r="AA24" s="40" t="n">
        <v>0.79</v>
      </c>
      <c r="AB24" s="69" t="n">
        <v>0.008</v>
      </c>
      <c r="AC24" s="40" t="n">
        <v>0.84</v>
      </c>
    </row>
    <row r="25" customFormat="false" ht="15" hidden="false" customHeight="true" outlineLevel="0" collapsed="false">
      <c r="H25" s="19" t="s">
        <v>1475</v>
      </c>
      <c r="I25" s="40" t="n">
        <v>10.48</v>
      </c>
      <c r="J25" s="69" t="n">
        <v>1.335</v>
      </c>
      <c r="L25" s="19" t="s">
        <v>1476</v>
      </c>
      <c r="M25" s="109" t="n">
        <v>400</v>
      </c>
      <c r="N25" s="109" t="n">
        <v>350</v>
      </c>
      <c r="O25" s="69" t="n">
        <v>0.016</v>
      </c>
      <c r="P25" s="40" t="n">
        <v>0.84</v>
      </c>
      <c r="R25" s="19" t="s">
        <v>1476</v>
      </c>
      <c r="S25" s="109" t="n">
        <v>400</v>
      </c>
      <c r="T25" s="109" t="n">
        <v>350</v>
      </c>
      <c r="U25" s="69" t="n">
        <v>0.004</v>
      </c>
      <c r="V25" s="69" t="n">
        <v>0.68</v>
      </c>
      <c r="X25" s="19" t="s">
        <v>1477</v>
      </c>
      <c r="Y25" s="109" t="n">
        <v>550</v>
      </c>
      <c r="Z25" s="109" t="n">
        <v>190</v>
      </c>
      <c r="AA25" s="40" t="n">
        <v>0.84</v>
      </c>
      <c r="AB25" s="69" t="n">
        <v>0.01</v>
      </c>
      <c r="AC25" s="40" t="n">
        <v>0.87</v>
      </c>
    </row>
    <row r="26" customFormat="false" ht="15" hidden="false" customHeight="true" outlineLevel="0" collapsed="false">
      <c r="A26" s="3" t="s">
        <v>1478</v>
      </c>
      <c r="H26" s="19" t="s">
        <v>1479</v>
      </c>
      <c r="I26" s="40" t="n">
        <v>11.9</v>
      </c>
      <c r="J26" s="69" t="n">
        <v>1.525</v>
      </c>
      <c r="L26" s="19" t="s">
        <v>1480</v>
      </c>
      <c r="M26" s="109" t="n">
        <v>400</v>
      </c>
      <c r="N26" s="109" t="n">
        <v>350</v>
      </c>
      <c r="O26" s="69" t="n">
        <v>0.02</v>
      </c>
      <c r="P26" s="40" t="n">
        <v>0.89</v>
      </c>
      <c r="R26" s="19" t="s">
        <v>1480</v>
      </c>
      <c r="S26" s="109" t="n">
        <v>400</v>
      </c>
      <c r="T26" s="109" t="n">
        <v>350</v>
      </c>
      <c r="U26" s="69" t="n">
        <v>0.005</v>
      </c>
      <c r="V26" s="69" t="n">
        <v>0.73</v>
      </c>
      <c r="X26" s="19" t="s">
        <v>1480</v>
      </c>
      <c r="Y26" s="109" t="n">
        <v>550</v>
      </c>
      <c r="Z26" s="109" t="n">
        <v>190</v>
      </c>
      <c r="AA26" s="40" t="n">
        <v>0.88</v>
      </c>
      <c r="AB26" s="69" t="n">
        <v>0.011</v>
      </c>
      <c r="AC26" s="40" t="n">
        <v>0.88</v>
      </c>
    </row>
    <row r="27" customFormat="false" ht="15" hidden="false" customHeight="true" outlineLevel="0" collapsed="false">
      <c r="H27" s="19" t="s">
        <v>1481</v>
      </c>
      <c r="I27" s="40" t="n">
        <v>11.71</v>
      </c>
      <c r="J27" s="69" t="n">
        <v>1.525</v>
      </c>
      <c r="L27" s="19" t="s">
        <v>1482</v>
      </c>
      <c r="M27" s="109" t="n">
        <v>400</v>
      </c>
      <c r="N27" s="109" t="n">
        <v>300</v>
      </c>
      <c r="O27" s="69" t="n">
        <v>0.008</v>
      </c>
      <c r="P27" s="40" t="n">
        <v>0.77</v>
      </c>
      <c r="R27" s="19" t="s">
        <v>1482</v>
      </c>
      <c r="S27" s="109" t="n">
        <v>400</v>
      </c>
      <c r="T27" s="109" t="n">
        <v>300</v>
      </c>
      <c r="U27" s="69" t="n">
        <v>0.002</v>
      </c>
      <c r="V27" s="69" t="n">
        <v>0.62</v>
      </c>
      <c r="X27" s="19" t="s">
        <v>1482</v>
      </c>
      <c r="Y27" s="109" t="n">
        <v>550</v>
      </c>
      <c r="Z27" s="109" t="n">
        <v>200</v>
      </c>
      <c r="AA27" s="40" t="n">
        <v>0.78</v>
      </c>
      <c r="AB27" s="69" t="n">
        <v>0.004</v>
      </c>
      <c r="AC27" s="40" t="n">
        <v>0.85</v>
      </c>
    </row>
    <row r="28" customFormat="false" ht="15" hidden="false" customHeight="true" outlineLevel="0" collapsed="false">
      <c r="H28" s="19" t="s">
        <v>1483</v>
      </c>
      <c r="I28" s="40" t="n">
        <v>13.2</v>
      </c>
      <c r="J28" s="69" t="n">
        <v>1.684</v>
      </c>
      <c r="L28" s="19" t="s">
        <v>1465</v>
      </c>
      <c r="M28" s="109" t="n">
        <v>400</v>
      </c>
      <c r="N28" s="109" t="n">
        <v>300</v>
      </c>
      <c r="O28" s="69" t="n">
        <v>0.01</v>
      </c>
      <c r="P28" s="40" t="n">
        <v>0.81</v>
      </c>
      <c r="R28" s="19" t="s">
        <v>1465</v>
      </c>
      <c r="S28" s="109" t="n">
        <v>400</v>
      </c>
      <c r="T28" s="109" t="n">
        <v>300</v>
      </c>
      <c r="U28" s="69" t="n">
        <v>0.003</v>
      </c>
      <c r="V28" s="69" t="n">
        <v>0.65</v>
      </c>
      <c r="X28" s="19" t="s">
        <v>1465</v>
      </c>
      <c r="Y28" s="109" t="n">
        <v>550</v>
      </c>
      <c r="Z28" s="109" t="n">
        <v>200</v>
      </c>
      <c r="AA28" s="40" t="n">
        <v>0.81</v>
      </c>
      <c r="AB28" s="69" t="n">
        <v>0.006</v>
      </c>
      <c r="AC28" s="40" t="n">
        <v>0.87</v>
      </c>
    </row>
    <row r="29" customFormat="false" ht="15" hidden="false" customHeight="true" outlineLevel="0" collapsed="false">
      <c r="H29" s="19" t="s">
        <v>1484</v>
      </c>
      <c r="I29" s="40" t="n">
        <v>13</v>
      </c>
      <c r="J29" s="69" t="n">
        <v>1.655</v>
      </c>
      <c r="L29" s="19" t="s">
        <v>1485</v>
      </c>
      <c r="M29" s="109" t="n">
        <v>400</v>
      </c>
      <c r="N29" s="109" t="n">
        <v>350</v>
      </c>
      <c r="O29" s="69" t="n">
        <v>0.014</v>
      </c>
      <c r="P29" s="40" t="n">
        <v>0.86</v>
      </c>
      <c r="R29" s="19" t="s">
        <v>1485</v>
      </c>
      <c r="S29" s="109" t="n">
        <v>400</v>
      </c>
      <c r="T29" s="109" t="n">
        <v>350</v>
      </c>
      <c r="U29" s="69" t="n">
        <v>0.003</v>
      </c>
      <c r="V29" s="69" t="n">
        <v>0.7</v>
      </c>
      <c r="X29" s="19" t="s">
        <v>1485</v>
      </c>
      <c r="Y29" s="109" t="n">
        <v>550</v>
      </c>
      <c r="Z29" s="109" t="n">
        <v>200</v>
      </c>
      <c r="AA29" s="40" t="n">
        <v>0.86</v>
      </c>
      <c r="AB29" s="69" t="n">
        <v>0.008</v>
      </c>
      <c r="AC29" s="40" t="n">
        <v>0.89</v>
      </c>
    </row>
    <row r="30" customFormat="false" ht="15" hidden="false" customHeight="true" outlineLevel="0" collapsed="false">
      <c r="H30" s="19" t="s">
        <v>1486</v>
      </c>
      <c r="I30" s="40" t="n">
        <v>14.5</v>
      </c>
      <c r="J30" s="69" t="n">
        <v>1.941</v>
      </c>
      <c r="L30" s="19" t="s">
        <v>1487</v>
      </c>
      <c r="M30" s="109" t="n">
        <v>400</v>
      </c>
      <c r="N30" s="109" t="n">
        <v>350</v>
      </c>
      <c r="O30" s="69" t="n">
        <v>0.016</v>
      </c>
      <c r="P30" s="40" t="n">
        <v>0.89</v>
      </c>
      <c r="R30" s="19" t="s">
        <v>1487</v>
      </c>
      <c r="S30" s="109" t="n">
        <v>400</v>
      </c>
      <c r="T30" s="109" t="n">
        <v>350</v>
      </c>
      <c r="U30" s="69" t="n">
        <v>0.004</v>
      </c>
      <c r="V30" s="69" t="n">
        <v>0.73</v>
      </c>
      <c r="X30" s="19" t="s">
        <v>1487</v>
      </c>
      <c r="Y30" s="109" t="n">
        <v>550</v>
      </c>
      <c r="Z30" s="109" t="n">
        <v>250</v>
      </c>
      <c r="AA30" s="40" t="n">
        <v>1</v>
      </c>
      <c r="AB30" s="69" t="n">
        <v>0.009</v>
      </c>
      <c r="AC30" s="40" t="n">
        <v>1.05</v>
      </c>
    </row>
    <row r="31" customFormat="false" ht="15" hidden="false" customHeight="true" outlineLevel="0" collapsed="false">
      <c r="H31" s="19" t="s">
        <v>1488</v>
      </c>
      <c r="I31" s="40" t="n">
        <v>14.29</v>
      </c>
      <c r="J31" s="69" t="n">
        <v>1.816</v>
      </c>
      <c r="L31" s="19" t="s">
        <v>1489</v>
      </c>
      <c r="M31" s="109" t="n">
        <v>400</v>
      </c>
      <c r="N31" s="109" t="n">
        <v>400</v>
      </c>
      <c r="O31" s="69" t="n">
        <v>0.019</v>
      </c>
      <c r="P31" s="40" t="n">
        <v>0.93</v>
      </c>
      <c r="R31" s="19" t="s">
        <v>1489</v>
      </c>
      <c r="S31" s="109" t="n">
        <v>400</v>
      </c>
      <c r="T31" s="109" t="n">
        <v>400</v>
      </c>
      <c r="U31" s="69" t="n">
        <v>0.005</v>
      </c>
      <c r="V31" s="69" t="n">
        <v>0.76</v>
      </c>
      <c r="X31" s="19" t="s">
        <v>1490</v>
      </c>
      <c r="Y31" s="109" t="n">
        <v>550</v>
      </c>
      <c r="Z31" s="109" t="n">
        <v>250</v>
      </c>
      <c r="AA31" s="40" t="n">
        <v>1.06</v>
      </c>
      <c r="AB31" s="69" t="n">
        <v>0.012</v>
      </c>
      <c r="AC31" s="40" t="n">
        <v>1.08</v>
      </c>
    </row>
    <row r="32" customFormat="false" ht="15" hidden="false" customHeight="true" outlineLevel="0" collapsed="false">
      <c r="H32" s="19" t="s">
        <v>1491</v>
      </c>
      <c r="I32" s="40" t="n">
        <v>15.8</v>
      </c>
      <c r="J32" s="69" t="n">
        <v>2.102</v>
      </c>
      <c r="L32" s="19" t="s">
        <v>1492</v>
      </c>
      <c r="M32" s="109" t="n">
        <v>400</v>
      </c>
      <c r="N32" s="109" t="n">
        <v>400</v>
      </c>
      <c r="O32" s="69" t="n">
        <v>0.024</v>
      </c>
      <c r="P32" s="40" t="n">
        <v>0.98</v>
      </c>
      <c r="R32" s="19" t="s">
        <v>1492</v>
      </c>
      <c r="S32" s="109" t="n">
        <v>400</v>
      </c>
      <c r="T32" s="109" t="n">
        <v>400</v>
      </c>
      <c r="U32" s="69" t="n">
        <v>0.006</v>
      </c>
      <c r="V32" s="69" t="n">
        <v>0.81</v>
      </c>
      <c r="X32" s="19" t="s">
        <v>1493</v>
      </c>
      <c r="Y32" s="109" t="n">
        <v>550</v>
      </c>
      <c r="Z32" s="109" t="n">
        <v>250</v>
      </c>
      <c r="AA32" s="40" t="n">
        <v>1.09</v>
      </c>
      <c r="AB32" s="69" t="n">
        <v>0.013</v>
      </c>
      <c r="AC32" s="40" t="n">
        <v>1.1</v>
      </c>
    </row>
    <row r="33" customFormat="false" ht="15" hidden="false" customHeight="true" outlineLevel="0" collapsed="false">
      <c r="H33" s="19" t="s">
        <v>1494</v>
      </c>
      <c r="I33" s="40" t="n">
        <v>16.9</v>
      </c>
      <c r="J33" s="69" t="n">
        <v>2.143</v>
      </c>
      <c r="L33" s="19" t="s">
        <v>1495</v>
      </c>
      <c r="M33" s="109" t="n">
        <v>400</v>
      </c>
      <c r="N33" s="109" t="n">
        <v>350</v>
      </c>
      <c r="O33" s="69" t="n">
        <v>0.008</v>
      </c>
      <c r="P33" s="40" t="n">
        <v>0.86</v>
      </c>
      <c r="R33" s="19" t="s">
        <v>1495</v>
      </c>
      <c r="S33" s="109" t="n">
        <v>400</v>
      </c>
      <c r="T33" s="109" t="n">
        <v>350</v>
      </c>
      <c r="U33" s="69" t="n">
        <v>0.002</v>
      </c>
      <c r="V33" s="69" t="n">
        <v>0.7</v>
      </c>
      <c r="X33" s="19" t="s">
        <v>1495</v>
      </c>
      <c r="Y33" s="109" t="n">
        <v>650</v>
      </c>
      <c r="Z33" s="109" t="n">
        <v>290</v>
      </c>
      <c r="AA33" s="40" t="n">
        <v>1.2</v>
      </c>
      <c r="AB33" s="69" t="n">
        <v>0.006</v>
      </c>
      <c r="AC33" s="40" t="n">
        <v>1.26</v>
      </c>
    </row>
    <row r="34" customFormat="false" ht="15" hidden="false" customHeight="true" outlineLevel="0" collapsed="false">
      <c r="H34" s="19" t="s">
        <v>1496</v>
      </c>
      <c r="I34" s="40" t="n">
        <v>18.4</v>
      </c>
      <c r="J34" s="69" t="n">
        <v>2.333</v>
      </c>
      <c r="L34" s="19" t="s">
        <v>1470</v>
      </c>
      <c r="M34" s="109" t="n">
        <v>400</v>
      </c>
      <c r="N34" s="109" t="n">
        <v>350</v>
      </c>
      <c r="O34" s="69" t="n">
        <v>0.01</v>
      </c>
      <c r="P34" s="40" t="n">
        <v>0.89</v>
      </c>
      <c r="R34" s="19" t="s">
        <v>1470</v>
      </c>
      <c r="S34" s="109" t="n">
        <v>400</v>
      </c>
      <c r="T34" s="109" t="n">
        <v>350</v>
      </c>
      <c r="U34" s="69" t="n">
        <v>0.003</v>
      </c>
      <c r="V34" s="69" t="n">
        <v>0.73</v>
      </c>
      <c r="X34" s="19" t="s">
        <v>1470</v>
      </c>
      <c r="Y34" s="109" t="n">
        <v>650</v>
      </c>
      <c r="Z34" s="109" t="n">
        <v>290</v>
      </c>
      <c r="AA34" s="40" t="n">
        <v>1.24</v>
      </c>
      <c r="AB34" s="69" t="n">
        <v>0.008</v>
      </c>
      <c r="AC34" s="40" t="n">
        <v>1.28</v>
      </c>
    </row>
    <row r="35" customFormat="false" ht="15" hidden="false" customHeight="true" outlineLevel="0" collapsed="false">
      <c r="H35" s="19" t="s">
        <v>1497</v>
      </c>
      <c r="I35" s="40" t="n">
        <v>18.1</v>
      </c>
      <c r="J35" s="69" t="n">
        <v>2.365</v>
      </c>
      <c r="L35" s="19" t="s">
        <v>1498</v>
      </c>
      <c r="M35" s="109" t="n">
        <v>400</v>
      </c>
      <c r="N35" s="109" t="n">
        <v>400</v>
      </c>
      <c r="O35" s="69" t="n">
        <v>0.014</v>
      </c>
      <c r="P35" s="40" t="n">
        <v>0.95</v>
      </c>
      <c r="R35" s="19" t="s">
        <v>1498</v>
      </c>
      <c r="S35" s="109" t="n">
        <v>400</v>
      </c>
      <c r="T35" s="109" t="n">
        <v>400</v>
      </c>
      <c r="U35" s="69" t="n">
        <v>0.004</v>
      </c>
      <c r="V35" s="69" t="n">
        <v>0.78</v>
      </c>
      <c r="X35" s="19" t="s">
        <v>1498</v>
      </c>
      <c r="Y35" s="109" t="n">
        <v>650</v>
      </c>
      <c r="Z35" s="109" t="n">
        <v>290</v>
      </c>
      <c r="AA35" s="40" t="n">
        <v>1.31</v>
      </c>
      <c r="AB35" s="69" t="n">
        <v>0.011</v>
      </c>
      <c r="AC35" s="40" t="n">
        <v>1.32</v>
      </c>
    </row>
    <row r="36" customFormat="false" ht="15" hidden="false" customHeight="true" outlineLevel="0" collapsed="false">
      <c r="H36" s="19" t="s">
        <v>1499</v>
      </c>
      <c r="I36" s="40" t="n">
        <v>19.6</v>
      </c>
      <c r="J36" s="69" t="n">
        <v>2.301</v>
      </c>
      <c r="L36" s="19" t="s">
        <v>1500</v>
      </c>
      <c r="M36" s="109" t="n">
        <v>420</v>
      </c>
      <c r="N36" s="109" t="n">
        <v>400</v>
      </c>
      <c r="O36" s="69" t="n">
        <v>0.018</v>
      </c>
      <c r="P36" s="40" t="n">
        <v>1.02</v>
      </c>
      <c r="R36" s="19" t="s">
        <v>1500</v>
      </c>
      <c r="S36" s="109" t="n">
        <v>420</v>
      </c>
      <c r="T36" s="109" t="n">
        <v>400</v>
      </c>
      <c r="U36" s="69" t="n">
        <v>0.005</v>
      </c>
      <c r="V36" s="69" t="n">
        <v>0.84</v>
      </c>
      <c r="X36" s="19" t="s">
        <v>1500</v>
      </c>
      <c r="Y36" s="109" t="n">
        <v>650</v>
      </c>
      <c r="Z36" s="109" t="n">
        <v>350</v>
      </c>
      <c r="AA36" s="40" t="n">
        <v>1.49</v>
      </c>
      <c r="AB36" s="69" t="n">
        <v>0.013</v>
      </c>
      <c r="AC36" s="40" t="n">
        <v>1.53</v>
      </c>
    </row>
    <row r="37" customFormat="false" ht="15" hidden="false" customHeight="true" outlineLevel="0" collapsed="false">
      <c r="H37" s="19" t="s">
        <v>1501</v>
      </c>
      <c r="I37" s="40" t="n">
        <v>20.67</v>
      </c>
      <c r="J37" s="69" t="n">
        <v>2.624</v>
      </c>
      <c r="L37" s="19" t="s">
        <v>1502</v>
      </c>
      <c r="M37" s="109" t="n">
        <v>420</v>
      </c>
      <c r="N37" s="109" t="n">
        <v>450</v>
      </c>
      <c r="O37" s="69" t="n">
        <v>0.021</v>
      </c>
      <c r="P37" s="40" t="n">
        <v>1.05</v>
      </c>
      <c r="R37" s="19" t="s">
        <v>1502</v>
      </c>
      <c r="S37" s="109" t="n">
        <v>420</v>
      </c>
      <c r="T37" s="109" t="n">
        <v>450</v>
      </c>
      <c r="U37" s="69" t="n">
        <v>0.006</v>
      </c>
      <c r="V37" s="69" t="n">
        <v>0.88</v>
      </c>
      <c r="X37" s="19" t="s">
        <v>1503</v>
      </c>
      <c r="Y37" s="109" t="n">
        <v>650</v>
      </c>
      <c r="Z37" s="109" t="n">
        <v>350</v>
      </c>
      <c r="AA37" s="40" t="n">
        <v>1.56</v>
      </c>
      <c r="AB37" s="69" t="n">
        <v>0.017</v>
      </c>
      <c r="AC37" s="40" t="n">
        <v>1.57</v>
      </c>
    </row>
    <row r="38" customFormat="false" ht="15" hidden="false" customHeight="true" outlineLevel="0" collapsed="false">
      <c r="H38" s="19" t="s">
        <v>1504</v>
      </c>
      <c r="I38" s="40" t="n">
        <v>22.2</v>
      </c>
      <c r="J38" s="69" t="n">
        <v>2.94</v>
      </c>
      <c r="L38" s="19" t="s">
        <v>1505</v>
      </c>
      <c r="M38" s="109" t="n">
        <v>420</v>
      </c>
      <c r="N38" s="109" t="n">
        <v>450</v>
      </c>
      <c r="O38" s="69" t="n">
        <v>0.025</v>
      </c>
      <c r="P38" s="40" t="n">
        <v>1.11</v>
      </c>
      <c r="R38" s="19" t="s">
        <v>1505</v>
      </c>
      <c r="S38" s="109" t="n">
        <v>420</v>
      </c>
      <c r="T38" s="109" t="n">
        <v>450</v>
      </c>
      <c r="U38" s="69" t="n">
        <v>0.007</v>
      </c>
      <c r="V38" s="69" t="n">
        <v>0.93</v>
      </c>
      <c r="X38" s="19" t="s">
        <v>1505</v>
      </c>
      <c r="Y38" s="109" t="n">
        <v>650</v>
      </c>
      <c r="Z38" s="109" t="n">
        <v>350</v>
      </c>
      <c r="AA38" s="40" t="n">
        <v>1.6</v>
      </c>
      <c r="AB38" s="69" t="n">
        <v>0.019</v>
      </c>
      <c r="AC38" s="40" t="n">
        <v>1.6</v>
      </c>
    </row>
    <row r="39" customFormat="false" ht="15" hidden="false" customHeight="true" outlineLevel="0" collapsed="false">
      <c r="H39" s="19" t="s">
        <v>1442</v>
      </c>
      <c r="I39" s="40" t="n">
        <v>3.23</v>
      </c>
      <c r="J39" s="19"/>
      <c r="L39" s="19" t="s">
        <v>1506</v>
      </c>
      <c r="M39" s="109" t="n">
        <v>420</v>
      </c>
      <c r="N39" s="109" t="n">
        <v>400</v>
      </c>
      <c r="O39" s="69" t="n">
        <v>0.034</v>
      </c>
      <c r="P39" s="40" t="n">
        <v>1.19</v>
      </c>
      <c r="R39" s="19" t="s">
        <v>1506</v>
      </c>
      <c r="S39" s="109" t="n">
        <v>420</v>
      </c>
      <c r="T39" s="109" t="n">
        <v>400</v>
      </c>
      <c r="U39" s="69" t="n">
        <v>0.01</v>
      </c>
      <c r="V39" s="69" t="n">
        <v>1.01</v>
      </c>
      <c r="X39" s="19" t="s">
        <v>1506</v>
      </c>
      <c r="Y39" s="109" t="n">
        <v>650</v>
      </c>
      <c r="Z39" s="109" t="n">
        <v>490</v>
      </c>
      <c r="AA39" s="40" t="n">
        <v>2.07</v>
      </c>
      <c r="AB39" s="69" t="n">
        <v>0.025</v>
      </c>
      <c r="AC39" s="40" t="n">
        <v>2.12</v>
      </c>
    </row>
    <row r="40" customFormat="false" ht="15" hidden="false" customHeight="true" outlineLevel="0" collapsed="false">
      <c r="H40" s="19" t="s">
        <v>1474</v>
      </c>
      <c r="I40" s="40" t="n">
        <v>7.91</v>
      </c>
      <c r="J40" s="19"/>
      <c r="L40" s="19" t="s">
        <v>1507</v>
      </c>
      <c r="M40" s="109" t="n">
        <v>420</v>
      </c>
      <c r="N40" s="109" t="n">
        <v>400</v>
      </c>
      <c r="O40" s="69" t="n">
        <v>0.01</v>
      </c>
      <c r="P40" s="40" t="n">
        <v>0.98</v>
      </c>
      <c r="R40" s="19" t="s">
        <v>1507</v>
      </c>
      <c r="S40" s="109" t="n">
        <v>420</v>
      </c>
      <c r="T40" s="109" t="n">
        <v>400</v>
      </c>
      <c r="U40" s="69" t="n">
        <v>0.003</v>
      </c>
      <c r="V40" s="69" t="n">
        <v>0.81</v>
      </c>
      <c r="X40" s="19" t="s">
        <v>1507</v>
      </c>
      <c r="Y40" s="109" t="n">
        <v>700</v>
      </c>
      <c r="Z40" s="109" t="n">
        <v>490</v>
      </c>
      <c r="AA40" s="40" t="n">
        <v>1.87</v>
      </c>
      <c r="AB40" s="69" t="n">
        <v>0.008</v>
      </c>
      <c r="AC40" s="40" t="n">
        <v>2.01</v>
      </c>
    </row>
    <row r="41" customFormat="false" ht="15" hidden="false" customHeight="true" outlineLevel="0" collapsed="false">
      <c r="H41" s="19" t="s">
        <v>1487</v>
      </c>
      <c r="I41" s="40" t="n">
        <v>9.24</v>
      </c>
      <c r="J41" s="19"/>
      <c r="L41" s="19" t="s">
        <v>1473</v>
      </c>
      <c r="M41" s="109" t="n">
        <v>420</v>
      </c>
      <c r="N41" s="109" t="n">
        <v>400</v>
      </c>
      <c r="O41" s="69" t="n">
        <v>0.013</v>
      </c>
      <c r="P41" s="40" t="n">
        <v>1.02</v>
      </c>
      <c r="R41" s="19" t="s">
        <v>1473</v>
      </c>
      <c r="S41" s="109" t="n">
        <v>420</v>
      </c>
      <c r="T41" s="109" t="n">
        <v>400</v>
      </c>
      <c r="U41" s="69" t="n">
        <v>0.004</v>
      </c>
      <c r="V41" s="69" t="n">
        <v>0.85</v>
      </c>
      <c r="X41" s="19" t="s">
        <v>1473</v>
      </c>
      <c r="Y41" s="109" t="n">
        <v>700</v>
      </c>
      <c r="Z41" s="109" t="n">
        <v>490</v>
      </c>
      <c r="AA41" s="40" t="n">
        <v>1.92</v>
      </c>
      <c r="AB41" s="69" t="n">
        <v>0.01</v>
      </c>
      <c r="AC41" s="40" t="n">
        <v>2.04</v>
      </c>
    </row>
    <row r="42" customFormat="false" ht="15" hidden="false" customHeight="true" outlineLevel="0" collapsed="false">
      <c r="H42" s="19" t="s">
        <v>1500</v>
      </c>
      <c r="I42" s="40" t="n">
        <v>10.5</v>
      </c>
      <c r="J42" s="19"/>
      <c r="L42" s="19" t="s">
        <v>1508</v>
      </c>
      <c r="M42" s="109" t="n">
        <v>420</v>
      </c>
      <c r="N42" s="109" t="n">
        <v>450</v>
      </c>
      <c r="O42" s="69" t="n">
        <v>0.017</v>
      </c>
      <c r="P42" s="40" t="n">
        <v>1.07</v>
      </c>
      <c r="R42" s="19" t="s">
        <v>1508</v>
      </c>
      <c r="S42" s="109" t="n">
        <v>420</v>
      </c>
      <c r="T42" s="109" t="n">
        <v>450</v>
      </c>
      <c r="U42" s="69" t="n">
        <v>0.005</v>
      </c>
      <c r="V42" s="69" t="n">
        <v>0.9</v>
      </c>
      <c r="X42" s="19" t="s">
        <v>1508</v>
      </c>
      <c r="Y42" s="109" t="n">
        <v>700</v>
      </c>
      <c r="Z42" s="109" t="n">
        <v>490</v>
      </c>
      <c r="AA42" s="40" t="n">
        <v>2</v>
      </c>
      <c r="AB42" s="69" t="n">
        <v>0.014</v>
      </c>
      <c r="AC42" s="40" t="n">
        <v>2.09</v>
      </c>
    </row>
    <row r="43" customFormat="false" ht="15" hidden="false" customHeight="true" outlineLevel="0" collapsed="false">
      <c r="H43" s="19" t="s">
        <v>1509</v>
      </c>
      <c r="I43" s="40" t="n">
        <v>11.8</v>
      </c>
      <c r="J43" s="19"/>
      <c r="L43" s="19" t="s">
        <v>1509</v>
      </c>
      <c r="M43" s="109" t="n">
        <v>420</v>
      </c>
      <c r="N43" s="109" t="n">
        <v>450</v>
      </c>
      <c r="O43" s="69" t="n">
        <v>0.02</v>
      </c>
      <c r="P43" s="40" t="n">
        <v>1.11</v>
      </c>
      <c r="R43" s="19" t="s">
        <v>1509</v>
      </c>
      <c r="S43" s="109" t="n">
        <v>420</v>
      </c>
      <c r="T43" s="109" t="n">
        <v>450</v>
      </c>
      <c r="U43" s="69" t="n">
        <v>0.006</v>
      </c>
      <c r="V43" s="69" t="n">
        <v>0.93</v>
      </c>
      <c r="X43" s="19" t="s">
        <v>1509</v>
      </c>
      <c r="Y43" s="109" t="n">
        <v>700</v>
      </c>
      <c r="Z43" s="109" t="n">
        <v>500</v>
      </c>
      <c r="AA43" s="40" t="n">
        <v>2.08</v>
      </c>
      <c r="AB43" s="69" t="n">
        <v>0.017</v>
      </c>
      <c r="AC43" s="40" t="n">
        <v>2.16</v>
      </c>
    </row>
    <row r="44" customFormat="false" ht="15" hidden="false" customHeight="true" outlineLevel="0" collapsed="false">
      <c r="L44" s="19" t="s">
        <v>1510</v>
      </c>
      <c r="M44" s="109" t="n">
        <v>420</v>
      </c>
      <c r="N44" s="109" t="n">
        <v>500</v>
      </c>
      <c r="O44" s="69" t="n">
        <v>0.024</v>
      </c>
      <c r="P44" s="40" t="n">
        <v>1.14</v>
      </c>
      <c r="R44" s="19" t="s">
        <v>1510</v>
      </c>
      <c r="S44" s="109" t="n">
        <v>420</v>
      </c>
      <c r="T44" s="109" t="n">
        <v>500</v>
      </c>
      <c r="U44" s="69" t="n">
        <v>0.007</v>
      </c>
      <c r="V44" s="69" t="n">
        <v>0.96</v>
      </c>
      <c r="X44" s="19" t="s">
        <v>1511</v>
      </c>
      <c r="Y44" s="109" t="n">
        <v>700</v>
      </c>
      <c r="Z44" s="109" t="n">
        <v>500</v>
      </c>
      <c r="AA44" s="40" t="n">
        <v>2.16</v>
      </c>
      <c r="AB44" s="69" t="n">
        <v>0.021</v>
      </c>
      <c r="AC44" s="40" t="n">
        <v>2.21</v>
      </c>
    </row>
    <row r="45" customFormat="false" ht="15" hidden="false" customHeight="true" outlineLevel="0" collapsed="false">
      <c r="L45" s="19" t="s">
        <v>1512</v>
      </c>
      <c r="M45" s="109" t="n">
        <v>420</v>
      </c>
      <c r="N45" s="109" t="n">
        <v>500</v>
      </c>
      <c r="O45" s="69" t="n">
        <v>0.029</v>
      </c>
      <c r="P45" s="40" t="n">
        <v>1.2</v>
      </c>
      <c r="R45" s="19" t="s">
        <v>1512</v>
      </c>
      <c r="S45" s="109" t="n">
        <v>420</v>
      </c>
      <c r="T45" s="109" t="n">
        <v>500</v>
      </c>
      <c r="U45" s="69" t="n">
        <v>0.008</v>
      </c>
      <c r="V45" s="69" t="n">
        <v>1.01</v>
      </c>
      <c r="X45" s="19" t="s">
        <v>1512</v>
      </c>
      <c r="Y45" s="109" t="n">
        <v>700</v>
      </c>
      <c r="Z45" s="109" t="n">
        <v>500</v>
      </c>
      <c r="AA45" s="40" t="n">
        <v>2.22</v>
      </c>
      <c r="AB45" s="69" t="n">
        <v>0.024</v>
      </c>
      <c r="AC45" s="40" t="n">
        <v>2.24</v>
      </c>
    </row>
    <row r="46" customFormat="false" ht="15" hidden="false" customHeight="true" outlineLevel="0" collapsed="false">
      <c r="L46" s="19" t="s">
        <v>1513</v>
      </c>
      <c r="M46" s="109" t="n">
        <v>420</v>
      </c>
      <c r="N46" s="109" t="n">
        <v>450</v>
      </c>
      <c r="O46" s="69" t="n">
        <v>0.038</v>
      </c>
      <c r="P46" s="40" t="n">
        <v>1.29</v>
      </c>
      <c r="R46" s="19" t="s">
        <v>1513</v>
      </c>
      <c r="S46" s="109" t="n">
        <v>420</v>
      </c>
      <c r="T46" s="109" t="n">
        <v>450</v>
      </c>
      <c r="U46" s="69" t="n">
        <v>0.011</v>
      </c>
      <c r="V46" s="69" t="n">
        <v>1.09</v>
      </c>
      <c r="X46" s="19" t="s">
        <v>1513</v>
      </c>
      <c r="Y46" s="109" t="n">
        <v>700</v>
      </c>
      <c r="Z46" s="109" t="n">
        <v>500</v>
      </c>
      <c r="AA46" s="40" t="n">
        <v>2.35</v>
      </c>
      <c r="AB46" s="69" t="n">
        <v>0.031</v>
      </c>
      <c r="AC46" s="40" t="n">
        <v>2.33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9"/>
    <col collapsed="false" customWidth="true" hidden="false" outlineLevel="0" max="7" min="7" style="1" width="3"/>
    <col collapsed="false" customWidth="true" hidden="false" outlineLevel="0" max="8" min="8" style="1" width="44"/>
    <col collapsed="false" customWidth="true" hidden="false" outlineLevel="0" max="22" min="9" style="1" width="7"/>
    <col collapsed="false" customWidth="true" hidden="false" outlineLevel="0" max="24" min="24" style="1" width="11"/>
    <col collapsed="false" customWidth="true" hidden="false" outlineLevel="0" max="25" min="25" style="1" width="9"/>
    <col collapsed="false" customWidth="true" hidden="false" outlineLevel="0" max="26" min="26" style="1" width="3"/>
    <col collapsed="false" customWidth="true" hidden="false" outlineLevel="0" max="29" min="27" style="1" width="9"/>
    <col collapsed="false" customWidth="true" hidden="false" outlineLevel="0" max="31" min="30" style="1" width="3"/>
    <col collapsed="false" customWidth="true" hidden="false" outlineLevel="0" max="32" min="32" style="1" width="34"/>
    <col collapsed="false" customWidth="true" hidden="false" outlineLevel="0" max="33" min="33" style="1" width="10"/>
    <col collapsed="false" customWidth="true" hidden="false" outlineLevel="0" max="34" min="34" style="1" width="42"/>
    <col collapsed="false" customWidth="true" hidden="false" outlineLevel="0" max="36" min="35" style="1" width="3"/>
    <col collapsed="false" customWidth="true" hidden="false" outlineLevel="0" max="38" min="37" style="1" width="9"/>
    <col collapsed="false" customWidth="true" hidden="false" outlineLevel="0" max="40" min="39" style="1" width="11"/>
    <col collapsed="false" customWidth="true" hidden="false" outlineLevel="0" max="41" min="41" style="1" width="3"/>
    <col collapsed="false" customWidth="true" hidden="false" outlineLevel="0" max="43" min="42" style="1" width="9"/>
  </cols>
  <sheetData>
    <row r="1" customFormat="false" ht="19.5" hidden="false" customHeight="true" outlineLevel="0" collapsed="false">
      <c r="A1" s="49" t="s">
        <v>1514</v>
      </c>
    </row>
    <row r="2" customFormat="false" ht="15" hidden="false" customHeight="true" outlineLevel="0" collapsed="false">
      <c r="A2" s="3" t="s">
        <v>1515</v>
      </c>
    </row>
    <row r="3" customFormat="false" ht="15" hidden="false" customHeight="true" outlineLevel="0" collapsed="false">
      <c r="A3" s="50" t="s">
        <v>1516</v>
      </c>
      <c r="H3" s="50" t="s">
        <v>1517</v>
      </c>
      <c r="X3" s="50" t="s">
        <v>1518</v>
      </c>
      <c r="AA3" s="50" t="s">
        <v>1519</v>
      </c>
      <c r="AF3" s="50" t="s">
        <v>1520</v>
      </c>
      <c r="AK3" s="50" t="s">
        <v>1521</v>
      </c>
      <c r="AP3" s="91" t="s">
        <v>1522</v>
      </c>
    </row>
    <row r="4" customFormat="false" ht="33.75" hidden="false" customHeight="true" outlineLevel="0" collapsed="false">
      <c r="A4" s="4" t="s">
        <v>680</v>
      </c>
      <c r="B4" s="4" t="s">
        <v>1523</v>
      </c>
      <c r="C4" s="31" t="s">
        <v>262</v>
      </c>
      <c r="D4" s="31" t="s">
        <v>706</v>
      </c>
      <c r="E4" s="31" t="s">
        <v>1524</v>
      </c>
      <c r="F4" s="31" t="s">
        <v>1525</v>
      </c>
      <c r="H4" s="4" t="s">
        <v>1526</v>
      </c>
      <c r="I4" s="4" t="n">
        <v>50</v>
      </c>
      <c r="J4" s="4" t="n">
        <v>80</v>
      </c>
      <c r="K4" s="4" t="n">
        <v>100</v>
      </c>
      <c r="L4" s="4" t="n">
        <v>125</v>
      </c>
      <c r="M4" s="4" t="n">
        <v>150</v>
      </c>
      <c r="N4" s="4" t="n">
        <v>200</v>
      </c>
      <c r="O4" s="4" t="n">
        <v>250</v>
      </c>
      <c r="P4" s="4" t="n">
        <v>300</v>
      </c>
      <c r="Q4" s="4" t="n">
        <v>350</v>
      </c>
      <c r="R4" s="4" t="n">
        <v>400</v>
      </c>
      <c r="S4" s="4" t="n">
        <v>450</v>
      </c>
      <c r="T4" s="4" t="n">
        <v>500</v>
      </c>
      <c r="U4" s="4" t="n">
        <v>550</v>
      </c>
      <c r="V4" s="4" t="n">
        <v>600</v>
      </c>
      <c r="X4" s="4" t="s">
        <v>1527</v>
      </c>
      <c r="Y4" s="4" t="s">
        <v>1528</v>
      </c>
      <c r="AA4" s="4" t="s">
        <v>680</v>
      </c>
      <c r="AB4" s="31" t="s">
        <v>1529</v>
      </c>
      <c r="AC4" s="31" t="s">
        <v>818</v>
      </c>
      <c r="AF4" s="4" t="s">
        <v>1207</v>
      </c>
      <c r="AG4" s="4" t="s">
        <v>475</v>
      </c>
      <c r="AH4" s="4" t="s">
        <v>476</v>
      </c>
      <c r="AK4" s="4" t="s">
        <v>680</v>
      </c>
      <c r="AL4" s="31" t="s">
        <v>881</v>
      </c>
      <c r="AM4" s="4" t="s">
        <v>1530</v>
      </c>
      <c r="AN4" s="31" t="s">
        <v>1531</v>
      </c>
      <c r="AP4" s="4" t="s">
        <v>1330</v>
      </c>
      <c r="AQ4" s="31" t="s">
        <v>1532</v>
      </c>
    </row>
    <row r="5" customFormat="false" ht="15" hidden="false" customHeight="true" outlineLevel="0" collapsed="false">
      <c r="A5" s="19" t="n">
        <v>6</v>
      </c>
      <c r="B5" s="117" t="n">
        <v>10.5</v>
      </c>
      <c r="C5" s="117" t="n">
        <v>0.419</v>
      </c>
      <c r="D5" s="117" t="n">
        <v>0.369</v>
      </c>
      <c r="E5" s="117" t="n">
        <v>0.479</v>
      </c>
      <c r="F5" s="117" t="s">
        <v>9</v>
      </c>
      <c r="H5" s="32" t="s">
        <v>1533</v>
      </c>
      <c r="I5" s="110" t="n">
        <v>25</v>
      </c>
      <c r="J5" s="110" t="n">
        <v>27.5</v>
      </c>
      <c r="K5" s="110" t="n">
        <v>30</v>
      </c>
      <c r="L5" s="110" t="n">
        <v>31.5</v>
      </c>
      <c r="M5" s="110" t="n">
        <v>34.5</v>
      </c>
      <c r="N5" s="110" t="n">
        <v>39</v>
      </c>
      <c r="O5" s="110" t="n">
        <v>42.5</v>
      </c>
      <c r="P5" s="110" t="n">
        <v>45</v>
      </c>
      <c r="Q5" s="110" t="n">
        <v>49</v>
      </c>
      <c r="R5" s="110" t="n">
        <v>52.5</v>
      </c>
      <c r="S5" s="110" t="n">
        <v>59</v>
      </c>
      <c r="T5" s="110" t="n">
        <v>65</v>
      </c>
      <c r="U5" s="110" t="n">
        <v>69</v>
      </c>
      <c r="V5" s="110" t="n">
        <v>73</v>
      </c>
      <c r="X5" s="19" t="n">
        <v>0</v>
      </c>
      <c r="Y5" s="19" t="n">
        <v>2</v>
      </c>
      <c r="AA5" s="19" t="n">
        <v>6</v>
      </c>
      <c r="AB5" s="19" t="n">
        <v>101</v>
      </c>
      <c r="AC5" s="19" t="n">
        <v>101</v>
      </c>
      <c r="AF5" s="16" t="s">
        <v>1534</v>
      </c>
      <c r="AG5" s="109" t="n">
        <v>50</v>
      </c>
      <c r="AH5" s="7" t="s">
        <v>1535</v>
      </c>
      <c r="AK5" s="33" t="n">
        <v>15</v>
      </c>
      <c r="AL5" s="33" t="n">
        <v>64</v>
      </c>
      <c r="AM5" s="33" t="n">
        <v>2</v>
      </c>
      <c r="AN5" s="33" t="n">
        <v>3</v>
      </c>
      <c r="AP5" s="40" t="n">
        <v>3.25</v>
      </c>
      <c r="AQ5" s="33" t="n">
        <v>1207</v>
      </c>
    </row>
    <row r="6" customFormat="false" ht="15" hidden="false" customHeight="true" outlineLevel="0" collapsed="false">
      <c r="A6" s="19" t="n">
        <v>8</v>
      </c>
      <c r="B6" s="117" t="n">
        <v>13.8</v>
      </c>
      <c r="C6" s="117" t="n">
        <v>0.664</v>
      </c>
      <c r="D6" s="117" t="n">
        <v>0.629</v>
      </c>
      <c r="E6" s="117" t="n">
        <v>0.799</v>
      </c>
      <c r="F6" s="117" t="s">
        <v>9</v>
      </c>
      <c r="H6" s="32" t="s">
        <v>1536</v>
      </c>
      <c r="I6" s="110" t="n">
        <v>33.5</v>
      </c>
      <c r="J6" s="110" t="n">
        <v>37</v>
      </c>
      <c r="K6" s="110" t="n">
        <v>40</v>
      </c>
      <c r="L6" s="110" t="n">
        <v>42</v>
      </c>
      <c r="M6" s="110" t="n">
        <v>46</v>
      </c>
      <c r="N6" s="110" t="n">
        <v>52</v>
      </c>
      <c r="O6" s="110" t="n">
        <v>57</v>
      </c>
      <c r="P6" s="110" t="n">
        <v>60</v>
      </c>
      <c r="Q6" s="110" t="n">
        <v>66.5</v>
      </c>
      <c r="R6" s="110" t="n">
        <v>70</v>
      </c>
      <c r="S6" s="110" t="n">
        <v>79</v>
      </c>
      <c r="T6" s="110" t="n">
        <v>87</v>
      </c>
      <c r="U6" s="110" t="n">
        <v>92.5</v>
      </c>
      <c r="V6" s="110" t="n">
        <v>98</v>
      </c>
      <c r="X6" s="19" t="n">
        <v>80</v>
      </c>
      <c r="Y6" s="19" t="n">
        <v>3</v>
      </c>
      <c r="AA6" s="19" t="n">
        <v>8</v>
      </c>
      <c r="AB6" s="19" t="n">
        <v>102</v>
      </c>
      <c r="AC6" s="19" t="n">
        <v>102</v>
      </c>
      <c r="AF6" s="16" t="s">
        <v>1537</v>
      </c>
      <c r="AG6" s="40" t="n">
        <v>0.3</v>
      </c>
      <c r="AH6" s="16" t="s">
        <v>1538</v>
      </c>
      <c r="AK6" s="33" t="n">
        <v>20</v>
      </c>
      <c r="AL6" s="33" t="n">
        <v>95</v>
      </c>
      <c r="AM6" s="33" t="n">
        <v>2</v>
      </c>
      <c r="AN6" s="33" t="n">
        <v>3</v>
      </c>
      <c r="AP6" s="40" t="n">
        <v>4.25</v>
      </c>
      <c r="AQ6" s="33" t="n">
        <v>1453</v>
      </c>
    </row>
    <row r="7" customFormat="false" ht="15" hidden="false" customHeight="true" outlineLevel="0" collapsed="false">
      <c r="A7" s="19" t="n">
        <v>10</v>
      </c>
      <c r="B7" s="117" t="n">
        <v>17.3</v>
      </c>
      <c r="C7" s="117" t="n">
        <v>0.866</v>
      </c>
      <c r="D7" s="117" t="n">
        <v>0.851</v>
      </c>
      <c r="E7" s="117" t="n">
        <v>1.11</v>
      </c>
      <c r="F7" s="117" t="s">
        <v>9</v>
      </c>
      <c r="H7" s="32" t="s">
        <v>1539</v>
      </c>
      <c r="I7" s="110" t="n">
        <v>45</v>
      </c>
      <c r="J7" s="110" t="n">
        <v>49.5</v>
      </c>
      <c r="K7" s="110" t="n">
        <v>54</v>
      </c>
      <c r="L7" s="110" t="n">
        <v>57</v>
      </c>
      <c r="M7" s="110" t="n">
        <v>62</v>
      </c>
      <c r="N7" s="110" t="n">
        <v>70</v>
      </c>
      <c r="O7" s="110" t="n">
        <v>76.5</v>
      </c>
      <c r="P7" s="110" t="n">
        <v>81</v>
      </c>
      <c r="Q7" s="110" t="n">
        <v>88</v>
      </c>
      <c r="R7" s="110" t="n">
        <v>94.5</v>
      </c>
      <c r="S7" s="110" t="n">
        <v>106</v>
      </c>
      <c r="T7" s="110" t="n">
        <v>117</v>
      </c>
      <c r="U7" s="110" t="n">
        <v>124</v>
      </c>
      <c r="V7" s="110" t="n">
        <v>131</v>
      </c>
      <c r="X7" s="19" t="n">
        <v>250</v>
      </c>
      <c r="Y7" s="19" t="n">
        <v>4</v>
      </c>
      <c r="AA7" s="19" t="n">
        <v>10</v>
      </c>
      <c r="AB7" s="19" t="n">
        <v>103</v>
      </c>
      <c r="AC7" s="19" t="n">
        <v>103</v>
      </c>
      <c r="AF7" s="16" t="s">
        <v>1540</v>
      </c>
      <c r="AG7" s="110" t="n">
        <v>3</v>
      </c>
      <c r="AH7" s="16" t="s">
        <v>1541</v>
      </c>
      <c r="AK7" s="33" t="n">
        <v>25</v>
      </c>
      <c r="AL7" s="33" t="n">
        <v>129</v>
      </c>
      <c r="AM7" s="33" t="n">
        <v>2</v>
      </c>
      <c r="AN7" s="33" t="n">
        <v>3</v>
      </c>
      <c r="AP7" s="40" t="n">
        <v>4.55</v>
      </c>
      <c r="AQ7" s="33" t="n">
        <v>2224</v>
      </c>
    </row>
    <row r="8" customFormat="false" ht="15" hidden="false" customHeight="true" outlineLevel="0" collapsed="false">
      <c r="A8" s="19" t="n">
        <v>15</v>
      </c>
      <c r="B8" s="117" t="n">
        <v>21.7</v>
      </c>
      <c r="C8" s="117" t="n">
        <v>1.25</v>
      </c>
      <c r="D8" s="117" t="n">
        <v>1.31</v>
      </c>
      <c r="E8" s="117" t="n">
        <v>1.64</v>
      </c>
      <c r="F8" s="117" t="n">
        <v>1.97</v>
      </c>
      <c r="H8" s="42" t="s">
        <v>1542</v>
      </c>
      <c r="I8" s="110" t="n">
        <v>47.5</v>
      </c>
      <c r="J8" s="110" t="n">
        <v>52</v>
      </c>
      <c r="K8" s="110" t="n">
        <v>57</v>
      </c>
      <c r="L8" s="110" t="n">
        <v>60</v>
      </c>
      <c r="M8" s="110" t="n">
        <v>63.5</v>
      </c>
      <c r="N8" s="110" t="n">
        <v>72</v>
      </c>
      <c r="O8" s="110" t="n">
        <v>81</v>
      </c>
      <c r="P8" s="110" t="n">
        <v>86</v>
      </c>
      <c r="Q8" s="110" t="n">
        <v>93</v>
      </c>
      <c r="R8" s="110" t="n">
        <v>100</v>
      </c>
      <c r="S8" s="110" t="n">
        <v>112</v>
      </c>
      <c r="T8" s="110" t="n">
        <v>123.5</v>
      </c>
      <c r="U8" s="110" t="n">
        <v>131</v>
      </c>
      <c r="V8" s="110" t="n">
        <v>139</v>
      </c>
      <c r="X8" s="19" t="n">
        <v>350</v>
      </c>
      <c r="Y8" s="19" t="n">
        <v>5</v>
      </c>
      <c r="AA8" s="19" t="n">
        <v>15</v>
      </c>
      <c r="AB8" s="19" t="n">
        <v>104</v>
      </c>
      <c r="AC8" s="19" t="n">
        <v>104</v>
      </c>
      <c r="AF8" s="16" t="s">
        <v>1543</v>
      </c>
      <c r="AG8" s="69" t="n">
        <v>0.333333333333333</v>
      </c>
      <c r="AH8" s="16" t="s">
        <v>1544</v>
      </c>
      <c r="AK8" s="33" t="n">
        <v>40</v>
      </c>
      <c r="AL8" s="33" t="n">
        <v>191</v>
      </c>
      <c r="AM8" s="33" t="n">
        <v>2</v>
      </c>
      <c r="AN8" s="33" t="n">
        <v>3</v>
      </c>
      <c r="AP8" s="40" t="n">
        <v>5.05</v>
      </c>
      <c r="AQ8" s="33" t="n">
        <v>2475</v>
      </c>
    </row>
    <row r="9" customFormat="false" ht="15" hidden="false" customHeight="true" outlineLevel="0" collapsed="false">
      <c r="A9" s="19" t="n">
        <v>20</v>
      </c>
      <c r="B9" s="117" t="n">
        <v>27.2</v>
      </c>
      <c r="C9" s="117" t="n">
        <v>1.6</v>
      </c>
      <c r="D9" s="117" t="n">
        <v>1.74</v>
      </c>
      <c r="E9" s="117" t="n">
        <v>2.24</v>
      </c>
      <c r="F9" s="117" t="n">
        <v>2.94</v>
      </c>
      <c r="H9" s="42" t="s">
        <v>1545</v>
      </c>
      <c r="I9" s="110" t="n">
        <v>20</v>
      </c>
      <c r="J9" s="110" t="n">
        <v>23</v>
      </c>
      <c r="K9" s="110" t="n">
        <v>25</v>
      </c>
      <c r="L9" s="110" t="n">
        <v>27.5</v>
      </c>
      <c r="M9" s="110" t="n">
        <v>30</v>
      </c>
      <c r="N9" s="110" t="n">
        <v>50</v>
      </c>
      <c r="O9" s="110" t="n">
        <v>75</v>
      </c>
      <c r="P9" s="110" t="n">
        <v>80</v>
      </c>
      <c r="Q9" s="110" t="n">
        <v>100</v>
      </c>
      <c r="R9" s="110" t="n">
        <v>110</v>
      </c>
      <c r="S9" s="110" t="n">
        <v>115</v>
      </c>
      <c r="T9" s="110" t="n">
        <v>125</v>
      </c>
      <c r="U9" s="110" t="n">
        <v>133</v>
      </c>
      <c r="V9" s="110" t="n">
        <v>140</v>
      </c>
      <c r="X9" s="19" t="n">
        <v>400</v>
      </c>
      <c r="Y9" s="19" t="n">
        <v>6</v>
      </c>
      <c r="AA9" s="19" t="n">
        <v>20</v>
      </c>
      <c r="AB9" s="19" t="n">
        <v>105</v>
      </c>
      <c r="AC9" s="19" t="n">
        <v>105</v>
      </c>
      <c r="AF9" s="16" t="s">
        <v>1546</v>
      </c>
      <c r="AG9" s="33" t="n">
        <v>7000</v>
      </c>
      <c r="AH9" s="16" t="s">
        <v>1547</v>
      </c>
      <c r="AK9" s="33" t="n">
        <v>50</v>
      </c>
      <c r="AL9" s="33" t="n">
        <v>265</v>
      </c>
      <c r="AM9" s="33" t="n">
        <v>2</v>
      </c>
      <c r="AN9" s="33" t="n">
        <v>3</v>
      </c>
      <c r="AP9" s="40" t="n">
        <v>6.05</v>
      </c>
      <c r="AQ9" s="33" t="n">
        <v>3417</v>
      </c>
    </row>
    <row r="10" customFormat="false" ht="15" hidden="false" customHeight="true" outlineLevel="0" collapsed="false">
      <c r="A10" s="19" t="n">
        <v>25</v>
      </c>
      <c r="B10" s="117" t="n">
        <v>34</v>
      </c>
      <c r="C10" s="117" t="n">
        <v>2.45</v>
      </c>
      <c r="D10" s="117" t="n">
        <v>2.57</v>
      </c>
      <c r="E10" s="117" t="n">
        <v>3.27</v>
      </c>
      <c r="F10" s="117" t="n">
        <v>4.36</v>
      </c>
      <c r="H10" s="42" t="s">
        <v>1548</v>
      </c>
      <c r="I10" s="110" t="n">
        <v>58</v>
      </c>
      <c r="J10" s="110" t="n">
        <v>61</v>
      </c>
      <c r="K10" s="110" t="n">
        <v>68</v>
      </c>
      <c r="L10" s="110" t="n">
        <v>73</v>
      </c>
      <c r="M10" s="110" t="n">
        <v>75</v>
      </c>
      <c r="N10" s="110" t="n">
        <v>87.5</v>
      </c>
      <c r="O10" s="110" t="n">
        <v>95</v>
      </c>
      <c r="P10" s="110" t="n">
        <v>104</v>
      </c>
      <c r="Q10" s="110" t="n">
        <v>117</v>
      </c>
      <c r="R10" s="110" t="n">
        <v>128</v>
      </c>
      <c r="S10" s="110" t="n">
        <v>138</v>
      </c>
      <c r="T10" s="110" t="n">
        <v>149</v>
      </c>
      <c r="U10" s="110" t="n">
        <v>154.5</v>
      </c>
      <c r="V10" s="110" t="n">
        <v>160</v>
      </c>
      <c r="X10" s="19" t="n">
        <v>500</v>
      </c>
      <c r="Y10" s="19" t="n">
        <v>7</v>
      </c>
      <c r="AA10" s="19" t="n">
        <v>25</v>
      </c>
      <c r="AB10" s="19" t="n">
        <v>106</v>
      </c>
      <c r="AC10" s="19" t="n">
        <v>106</v>
      </c>
      <c r="AF10" s="16" t="s">
        <v>1549</v>
      </c>
      <c r="AG10" s="70" t="n">
        <v>0.1</v>
      </c>
      <c r="AH10" s="16" t="s">
        <v>1550</v>
      </c>
      <c r="AK10" s="33" t="n">
        <v>65</v>
      </c>
      <c r="AL10" s="33" t="n">
        <v>343</v>
      </c>
      <c r="AM10" s="33" t="n">
        <v>2</v>
      </c>
      <c r="AN10" s="33" t="n">
        <v>3</v>
      </c>
      <c r="AP10" s="40" t="n">
        <v>7.05</v>
      </c>
      <c r="AQ10" s="33" t="n">
        <v>3999</v>
      </c>
    </row>
    <row r="11" customFormat="false" ht="15" hidden="false" customHeight="true" outlineLevel="0" collapsed="false">
      <c r="A11" s="19" t="n">
        <v>32</v>
      </c>
      <c r="B11" s="117" t="n">
        <v>42.7</v>
      </c>
      <c r="C11" s="117" t="n">
        <v>3.16</v>
      </c>
      <c r="D11" s="117" t="n">
        <v>3.47</v>
      </c>
      <c r="E11" s="117" t="n">
        <v>4.57</v>
      </c>
      <c r="F11" s="117" t="n">
        <v>5.73</v>
      </c>
      <c r="H11" s="32" t="s">
        <v>1551</v>
      </c>
      <c r="I11" s="110" t="n">
        <v>125</v>
      </c>
      <c r="J11" s="110" t="n">
        <v>132</v>
      </c>
      <c r="K11" s="110" t="n">
        <v>135</v>
      </c>
      <c r="L11" s="110" t="s">
        <v>9</v>
      </c>
      <c r="M11" s="110" t="n">
        <v>140</v>
      </c>
      <c r="N11" s="110" t="n">
        <v>150</v>
      </c>
      <c r="O11" s="110" t="n">
        <v>175</v>
      </c>
      <c r="P11" s="110" t="n">
        <v>200</v>
      </c>
      <c r="Q11" s="110" t="s">
        <v>9</v>
      </c>
      <c r="R11" s="110" t="s">
        <v>9</v>
      </c>
      <c r="S11" s="110" t="s">
        <v>9</v>
      </c>
      <c r="T11" s="110" t="s">
        <v>9</v>
      </c>
      <c r="U11" s="110" t="s">
        <v>9</v>
      </c>
      <c r="V11" s="110" t="s">
        <v>9</v>
      </c>
      <c r="X11" s="19" t="n">
        <v>600</v>
      </c>
      <c r="Y11" s="19" t="n">
        <v>8</v>
      </c>
      <c r="AA11" s="19" t="n">
        <v>32</v>
      </c>
      <c r="AB11" s="19" t="n">
        <v>107</v>
      </c>
      <c r="AC11" s="19" t="n">
        <v>107</v>
      </c>
      <c r="AF11" s="7" t="s">
        <v>1552</v>
      </c>
      <c r="AG11" s="110" t="n">
        <v>-0.8</v>
      </c>
      <c r="AH11" s="7" t="s">
        <v>1553</v>
      </c>
      <c r="AK11" s="33" t="n">
        <v>80</v>
      </c>
      <c r="AL11" s="33" t="n">
        <v>430</v>
      </c>
      <c r="AM11" s="33" t="n">
        <v>2</v>
      </c>
      <c r="AN11" s="33" t="n">
        <v>3</v>
      </c>
    </row>
    <row r="12" customFormat="false" ht="26.25" hidden="false" customHeight="true" outlineLevel="0" collapsed="false">
      <c r="A12" s="19" t="n">
        <v>40</v>
      </c>
      <c r="B12" s="117" t="n">
        <v>48.6</v>
      </c>
      <c r="C12" s="117" t="n">
        <v>3.63</v>
      </c>
      <c r="D12" s="117" t="n">
        <v>4.1</v>
      </c>
      <c r="E12" s="117" t="n">
        <v>5.47</v>
      </c>
      <c r="F12" s="117" t="n">
        <v>7.27</v>
      </c>
      <c r="H12" s="42" t="s">
        <v>1554</v>
      </c>
      <c r="I12" s="110" t="n">
        <v>54</v>
      </c>
      <c r="J12" s="110" t="n">
        <v>58</v>
      </c>
      <c r="K12" s="110" t="n">
        <v>61</v>
      </c>
      <c r="L12" s="110" t="n">
        <v>63</v>
      </c>
      <c r="M12" s="110" t="n">
        <v>65</v>
      </c>
      <c r="N12" s="110" t="n">
        <v>74</v>
      </c>
      <c r="O12" s="110" t="n">
        <v>85</v>
      </c>
      <c r="P12" s="110" t="n">
        <v>95</v>
      </c>
      <c r="Q12" s="110" t="n">
        <v>100</v>
      </c>
      <c r="R12" s="110" t="n">
        <v>115</v>
      </c>
      <c r="S12" s="110" t="n">
        <v>123</v>
      </c>
      <c r="T12" s="110" t="n">
        <v>130</v>
      </c>
      <c r="U12" s="110" t="n">
        <v>139</v>
      </c>
      <c r="V12" s="110" t="n">
        <v>145</v>
      </c>
      <c r="X12" s="19" t="n">
        <v>650</v>
      </c>
      <c r="Y12" s="19" t="n">
        <v>9</v>
      </c>
      <c r="AA12" s="19" t="n">
        <v>40</v>
      </c>
      <c r="AB12" s="19" t="n">
        <v>108</v>
      </c>
      <c r="AC12" s="19" t="n">
        <v>108</v>
      </c>
      <c r="AF12" s="7" t="s">
        <v>1555</v>
      </c>
      <c r="AG12" s="118" t="n">
        <f aca="false">공통할증!$C$8</f>
        <v>0.15</v>
      </c>
      <c r="AH12" s="7" t="s">
        <v>1556</v>
      </c>
      <c r="AK12" s="33" t="n">
        <v>90</v>
      </c>
      <c r="AL12" s="33" t="n">
        <v>565</v>
      </c>
      <c r="AM12" s="33" t="n">
        <v>2</v>
      </c>
      <c r="AN12" s="33" t="n">
        <v>3</v>
      </c>
    </row>
    <row r="13" customFormat="false" ht="29.25" hidden="false" customHeight="true" outlineLevel="0" collapsed="false">
      <c r="A13" s="19" t="n">
        <v>50</v>
      </c>
      <c r="B13" s="117" t="n">
        <v>60.5</v>
      </c>
      <c r="C13" s="117" t="n">
        <v>5.12</v>
      </c>
      <c r="D13" s="117" t="n">
        <v>5.44</v>
      </c>
      <c r="E13" s="117" t="n">
        <v>7.46</v>
      </c>
      <c r="F13" s="117" t="n">
        <v>11.1</v>
      </c>
      <c r="H13" s="42" t="s">
        <v>1557</v>
      </c>
      <c r="I13" s="110" t="n">
        <v>69</v>
      </c>
      <c r="J13" s="110" t="n">
        <v>76.9</v>
      </c>
      <c r="K13" s="110" t="n">
        <v>82.5</v>
      </c>
      <c r="L13" s="110" t="n">
        <v>87</v>
      </c>
      <c r="M13" s="110" t="n">
        <v>95</v>
      </c>
      <c r="N13" s="110" t="n">
        <v>107</v>
      </c>
      <c r="O13" s="110" t="n">
        <v>117</v>
      </c>
      <c r="P13" s="110" t="n">
        <v>124</v>
      </c>
      <c r="Q13" s="110" t="n">
        <v>135</v>
      </c>
      <c r="R13" s="110" t="n">
        <v>144</v>
      </c>
      <c r="S13" s="110" t="n">
        <v>162</v>
      </c>
      <c r="T13" s="110" t="n">
        <v>179</v>
      </c>
      <c r="U13" s="110" t="n">
        <v>190</v>
      </c>
      <c r="V13" s="110" t="n">
        <v>201</v>
      </c>
      <c r="X13" s="19" t="n">
        <v>750</v>
      </c>
      <c r="Y13" s="19" t="n">
        <v>10</v>
      </c>
      <c r="AA13" s="19" t="n">
        <v>50</v>
      </c>
      <c r="AB13" s="19" t="n">
        <v>109</v>
      </c>
      <c r="AC13" s="19" t="n">
        <v>109</v>
      </c>
      <c r="AF13" s="16" t="s">
        <v>1558</v>
      </c>
      <c r="AG13" s="109" t="n">
        <v>40</v>
      </c>
      <c r="AH13" s="7" t="s">
        <v>1559</v>
      </c>
      <c r="AK13" s="33" t="n">
        <v>100</v>
      </c>
      <c r="AL13" s="33" t="n">
        <v>699</v>
      </c>
      <c r="AM13" s="33" t="n">
        <v>2</v>
      </c>
      <c r="AN13" s="33" t="n">
        <v>3</v>
      </c>
    </row>
    <row r="14" customFormat="false" ht="15" hidden="false" customHeight="true" outlineLevel="0" collapsed="false">
      <c r="A14" s="19" t="n">
        <v>65</v>
      </c>
      <c r="B14" s="117" t="n">
        <v>76.3</v>
      </c>
      <c r="C14" s="117" t="n">
        <v>6.34</v>
      </c>
      <c r="D14" s="117" t="n">
        <v>9.12</v>
      </c>
      <c r="E14" s="117" t="n">
        <v>12</v>
      </c>
      <c r="F14" s="117" t="n">
        <v>15.6</v>
      </c>
      <c r="H14" s="42" t="s">
        <v>817</v>
      </c>
      <c r="I14" s="19" t="s">
        <v>9</v>
      </c>
      <c r="J14" s="19" t="s">
        <v>9</v>
      </c>
      <c r="K14" s="19" t="s">
        <v>9</v>
      </c>
      <c r="L14" s="19" t="s">
        <v>9</v>
      </c>
      <c r="M14" s="19" t="s">
        <v>9</v>
      </c>
      <c r="N14" s="19" t="s">
        <v>9</v>
      </c>
      <c r="O14" s="19" t="s">
        <v>9</v>
      </c>
      <c r="P14" s="19" t="s">
        <v>9</v>
      </c>
      <c r="Q14" s="19" t="s">
        <v>9</v>
      </c>
      <c r="R14" s="19" t="s">
        <v>9</v>
      </c>
      <c r="S14" s="19" t="s">
        <v>9</v>
      </c>
      <c r="T14" s="19" t="s">
        <v>9</v>
      </c>
      <c r="U14" s="19" t="s">
        <v>9</v>
      </c>
      <c r="V14" s="19" t="s">
        <v>9</v>
      </c>
      <c r="X14" s="19" t="n">
        <v>800</v>
      </c>
      <c r="Y14" s="19" t="n">
        <v>11</v>
      </c>
      <c r="AA14" s="19" t="n">
        <v>65</v>
      </c>
      <c r="AB14" s="19" t="n">
        <v>110</v>
      </c>
      <c r="AC14" s="19" t="n">
        <v>110</v>
      </c>
      <c r="AF14" s="16" t="s">
        <v>1560</v>
      </c>
      <c r="AG14" s="70" t="n">
        <v>0.1</v>
      </c>
      <c r="AH14" s="7" t="s">
        <v>1561</v>
      </c>
      <c r="AK14" s="33" t="n">
        <v>125</v>
      </c>
      <c r="AL14" s="33" t="n">
        <v>1098</v>
      </c>
      <c r="AM14" s="33" t="n">
        <v>1</v>
      </c>
      <c r="AN14" s="33" t="n">
        <v>2</v>
      </c>
    </row>
    <row r="15" customFormat="false" ht="15" hidden="false" customHeight="true" outlineLevel="0" collapsed="false">
      <c r="A15" s="19" t="n">
        <v>80</v>
      </c>
      <c r="B15" s="117" t="n">
        <v>89.1</v>
      </c>
      <c r="C15" s="117" t="n">
        <v>8.49</v>
      </c>
      <c r="D15" s="117" t="n">
        <v>11.3</v>
      </c>
      <c r="E15" s="117" t="n">
        <v>15.3</v>
      </c>
      <c r="F15" s="117" t="n">
        <v>21.4</v>
      </c>
      <c r="X15" s="19" t="n">
        <v>900</v>
      </c>
      <c r="Y15" s="19" t="n">
        <v>12</v>
      </c>
      <c r="AA15" s="19" t="n">
        <v>80</v>
      </c>
      <c r="AB15" s="19" t="n">
        <v>111</v>
      </c>
      <c r="AC15" s="19" t="n">
        <v>111</v>
      </c>
      <c r="AF15" s="7" t="s">
        <v>1562</v>
      </c>
      <c r="AG15" s="109" t="n">
        <v>650</v>
      </c>
      <c r="AH15" s="7" t="s">
        <v>1563</v>
      </c>
      <c r="AK15" s="33" t="n">
        <v>150</v>
      </c>
      <c r="AL15" s="33" t="n">
        <v>1285</v>
      </c>
      <c r="AM15" s="33" t="n">
        <v>1</v>
      </c>
      <c r="AN15" s="33" t="n">
        <v>2</v>
      </c>
    </row>
    <row r="16" customFormat="false" ht="15" hidden="false" customHeight="true" outlineLevel="0" collapsed="false">
      <c r="A16" s="19" t="n">
        <v>90</v>
      </c>
      <c r="B16" s="117" t="n">
        <v>101.6</v>
      </c>
      <c r="C16" s="117" t="n">
        <v>9.74</v>
      </c>
      <c r="D16" s="117" t="n">
        <v>13.5</v>
      </c>
      <c r="E16" s="117" t="n">
        <v>18.7</v>
      </c>
      <c r="F16" s="117" t="n">
        <v>27.8</v>
      </c>
      <c r="X16" s="19" t="n">
        <v>1000</v>
      </c>
      <c r="Y16" s="19" t="n">
        <v>13</v>
      </c>
      <c r="AA16" s="19" t="n">
        <v>90</v>
      </c>
      <c r="AB16" s="19" t="n">
        <v>112</v>
      </c>
      <c r="AC16" s="19" t="n">
        <v>112</v>
      </c>
      <c r="AF16" s="7" t="s">
        <v>1564</v>
      </c>
      <c r="AG16" s="110" t="n">
        <v>6</v>
      </c>
      <c r="AH16" s="16" t="s">
        <v>1565</v>
      </c>
      <c r="AK16" s="33" t="n">
        <v>200</v>
      </c>
      <c r="AL16" s="33" t="n">
        <v>2170</v>
      </c>
      <c r="AM16" s="33" t="n">
        <v>1</v>
      </c>
      <c r="AN16" s="33" t="n">
        <v>2</v>
      </c>
    </row>
    <row r="17" customFormat="false" ht="15" hidden="false" customHeight="true" outlineLevel="0" collapsed="false">
      <c r="A17" s="19" t="n">
        <v>100</v>
      </c>
      <c r="B17" s="117" t="n">
        <v>114.3</v>
      </c>
      <c r="C17" s="117" t="n">
        <v>12.2</v>
      </c>
      <c r="D17" s="117" t="n">
        <v>16</v>
      </c>
      <c r="E17" s="117" t="n">
        <v>22.4</v>
      </c>
      <c r="F17" s="117" t="n">
        <v>33.6</v>
      </c>
      <c r="X17" s="19" t="n">
        <v>1100</v>
      </c>
      <c r="Y17" s="19" t="n">
        <v>14</v>
      </c>
      <c r="AA17" s="19" t="n">
        <v>100</v>
      </c>
      <c r="AB17" s="19" t="n">
        <v>113</v>
      </c>
      <c r="AC17" s="19" t="n">
        <v>113</v>
      </c>
      <c r="AF17" s="7" t="s">
        <v>1566</v>
      </c>
      <c r="AG17" s="19" t="s">
        <v>146</v>
      </c>
      <c r="AH17" s="16" t="s">
        <v>1567</v>
      </c>
      <c r="AK17" s="33" t="n">
        <v>250</v>
      </c>
      <c r="AL17" s="33" t="n">
        <v>3060</v>
      </c>
      <c r="AM17" s="33" t="n">
        <v>1</v>
      </c>
      <c r="AN17" s="33" t="n">
        <v>2</v>
      </c>
    </row>
    <row r="18" customFormat="false" ht="15" hidden="false" customHeight="true" outlineLevel="0" collapsed="false">
      <c r="A18" s="19" t="n">
        <v>125</v>
      </c>
      <c r="B18" s="117" t="n">
        <v>139.8</v>
      </c>
      <c r="C18" s="117" t="n">
        <v>16.1</v>
      </c>
      <c r="D18" s="117" t="n">
        <v>21.7</v>
      </c>
      <c r="E18" s="117" t="n">
        <v>30.5</v>
      </c>
      <c r="F18" s="117" t="n">
        <v>48.6</v>
      </c>
      <c r="X18" s="19" t="n">
        <v>1200</v>
      </c>
      <c r="Y18" s="19" t="n">
        <v>16</v>
      </c>
      <c r="AA18" s="19" t="n">
        <v>125</v>
      </c>
      <c r="AB18" s="19" t="n">
        <v>114</v>
      </c>
      <c r="AC18" s="19" t="n">
        <v>114</v>
      </c>
      <c r="AK18" s="33" t="n">
        <v>300</v>
      </c>
      <c r="AL18" s="33" t="n">
        <v>3945</v>
      </c>
      <c r="AM18" s="33" t="n">
        <v>1</v>
      </c>
      <c r="AN18" s="33" t="n">
        <v>2</v>
      </c>
    </row>
    <row r="19" customFormat="false" ht="15" hidden="false" customHeight="true" outlineLevel="0" collapsed="false">
      <c r="A19" s="19" t="n">
        <v>150</v>
      </c>
      <c r="B19" s="117" t="n">
        <v>165.2</v>
      </c>
      <c r="C19" s="117" t="n">
        <v>19.2</v>
      </c>
      <c r="D19" s="117" t="n">
        <v>27.7</v>
      </c>
      <c r="E19" s="117" t="n">
        <v>41.8</v>
      </c>
      <c r="F19" s="117" t="n">
        <v>66</v>
      </c>
      <c r="X19" s="19" t="n">
        <v>1350</v>
      </c>
      <c r="Y19" s="19" t="n">
        <v>17</v>
      </c>
      <c r="AA19" s="19" t="n">
        <v>150</v>
      </c>
      <c r="AB19" s="19" t="n">
        <v>115</v>
      </c>
      <c r="AC19" s="19" t="n">
        <v>115</v>
      </c>
    </row>
    <row r="20" customFormat="false" ht="15" hidden="false" customHeight="true" outlineLevel="0" collapsed="false">
      <c r="A20" s="19" t="n">
        <v>200</v>
      </c>
      <c r="B20" s="117" t="n">
        <v>216.3</v>
      </c>
      <c r="C20" s="117" t="n">
        <v>30.4</v>
      </c>
      <c r="D20" s="117" t="n">
        <v>42.1</v>
      </c>
      <c r="E20" s="117" t="n">
        <v>63.8</v>
      </c>
      <c r="F20" s="117" t="n">
        <v>110</v>
      </c>
      <c r="X20" s="19" t="n">
        <v>1500</v>
      </c>
      <c r="Y20" s="19" t="n">
        <v>20</v>
      </c>
      <c r="AA20" s="19" t="n">
        <v>175</v>
      </c>
      <c r="AB20" s="19" t="n">
        <v>116</v>
      </c>
      <c r="AC20" s="19" t="s">
        <v>9</v>
      </c>
      <c r="AK20" s="3" t="s">
        <v>1568</v>
      </c>
    </row>
    <row r="21" customFormat="false" ht="15" hidden="false" customHeight="true" outlineLevel="0" collapsed="false">
      <c r="A21" s="19" t="n">
        <v>250</v>
      </c>
      <c r="B21" s="117" t="n">
        <v>267.4</v>
      </c>
      <c r="C21" s="117" t="n">
        <v>41.2</v>
      </c>
      <c r="D21" s="117" t="n">
        <v>59.2</v>
      </c>
      <c r="E21" s="117" t="n">
        <v>93.9</v>
      </c>
      <c r="F21" s="117" t="n">
        <v>168</v>
      </c>
      <c r="AA21" s="19" t="n">
        <v>200</v>
      </c>
      <c r="AB21" s="19" t="n">
        <v>117</v>
      </c>
      <c r="AC21" s="19" t="n">
        <v>116</v>
      </c>
    </row>
    <row r="22" customFormat="false" ht="15" hidden="false" customHeight="true" outlineLevel="0" collapsed="false">
      <c r="A22" s="19" t="n">
        <v>300</v>
      </c>
      <c r="B22" s="117" t="n">
        <v>318.5</v>
      </c>
      <c r="C22" s="117" t="n">
        <v>53.8</v>
      </c>
      <c r="D22" s="117" t="n">
        <v>78.3</v>
      </c>
      <c r="E22" s="117" t="n">
        <v>129</v>
      </c>
      <c r="F22" s="117" t="n">
        <v>234</v>
      </c>
      <c r="AA22" s="19" t="n">
        <v>225</v>
      </c>
      <c r="AB22" s="19" t="n">
        <v>118</v>
      </c>
      <c r="AC22" s="19" t="s">
        <v>9</v>
      </c>
    </row>
    <row r="23" customFormat="false" ht="15" hidden="false" customHeight="true" outlineLevel="0" collapsed="false">
      <c r="A23" s="19" t="n">
        <v>350</v>
      </c>
      <c r="B23" s="117" t="n">
        <v>355.6</v>
      </c>
      <c r="C23" s="117" t="n">
        <v>65.2</v>
      </c>
      <c r="D23" s="117" t="n">
        <v>94.3</v>
      </c>
      <c r="E23" s="117" t="n">
        <v>158</v>
      </c>
      <c r="F23" s="117" t="n">
        <v>282</v>
      </c>
      <c r="AA23" s="19" t="n">
        <v>250</v>
      </c>
      <c r="AB23" s="19" t="n">
        <v>119</v>
      </c>
      <c r="AC23" s="19" t="n">
        <v>117</v>
      </c>
    </row>
    <row r="24" customFormat="false" ht="15" hidden="false" customHeight="true" outlineLevel="0" collapsed="false">
      <c r="A24" s="19" t="n">
        <v>400</v>
      </c>
      <c r="B24" s="117" t="n">
        <v>406.4</v>
      </c>
      <c r="C24" s="117" t="n">
        <v>77.6</v>
      </c>
      <c r="D24" s="117" t="n">
        <v>123</v>
      </c>
      <c r="E24" s="117" t="n">
        <v>203</v>
      </c>
      <c r="F24" s="117" t="n">
        <v>365</v>
      </c>
      <c r="AA24" s="19" t="n">
        <v>300</v>
      </c>
      <c r="AB24" s="19" t="n">
        <v>120</v>
      </c>
      <c r="AC24" s="19" t="n">
        <v>118</v>
      </c>
    </row>
    <row r="25" customFormat="false" ht="15" hidden="false" customHeight="true" outlineLevel="0" collapsed="false">
      <c r="A25" s="19" t="n">
        <v>450</v>
      </c>
      <c r="B25" s="117" t="n">
        <v>457.2</v>
      </c>
      <c r="C25" s="117" t="n">
        <v>87.5</v>
      </c>
      <c r="D25" s="117" t="n">
        <v>156</v>
      </c>
      <c r="E25" s="117" t="n">
        <v>254</v>
      </c>
      <c r="F25" s="117" t="n">
        <v>459</v>
      </c>
      <c r="AA25" s="19" t="n">
        <v>350</v>
      </c>
      <c r="AB25" s="19" t="s">
        <v>9</v>
      </c>
      <c r="AC25" s="19" t="n">
        <v>119</v>
      </c>
    </row>
    <row r="26" customFormat="false" ht="15" hidden="false" customHeight="true" outlineLevel="0" collapsed="false">
      <c r="A26" s="19" t="n">
        <v>500</v>
      </c>
      <c r="B26" s="117" t="n">
        <v>508</v>
      </c>
      <c r="C26" s="117" t="n">
        <v>97.4</v>
      </c>
      <c r="D26" s="117" t="n">
        <v>184</v>
      </c>
      <c r="E26" s="117" t="n">
        <v>311</v>
      </c>
      <c r="F26" s="117" t="n">
        <v>565</v>
      </c>
      <c r="AA26" s="19" t="n">
        <v>400</v>
      </c>
      <c r="AB26" s="19" t="s">
        <v>9</v>
      </c>
      <c r="AC26" s="19" t="n">
        <v>120</v>
      </c>
    </row>
    <row r="27" customFormat="false" ht="15" hidden="false" customHeight="true" outlineLevel="0" collapsed="false">
      <c r="A27" s="19" t="n">
        <v>550</v>
      </c>
      <c r="B27" s="117" t="n">
        <v>558.8</v>
      </c>
      <c r="C27" s="117" t="n">
        <v>107</v>
      </c>
      <c r="D27" s="117" t="n">
        <v>213</v>
      </c>
      <c r="E27" s="117" t="n">
        <v>374</v>
      </c>
      <c r="F27" s="117" t="n">
        <v>672</v>
      </c>
      <c r="AA27" s="19" t="n">
        <v>450</v>
      </c>
      <c r="AB27" s="19" t="s">
        <v>9</v>
      </c>
      <c r="AC27" s="19" t="n">
        <v>121</v>
      </c>
    </row>
    <row r="28" customFormat="false" ht="15" hidden="false" customHeight="true" outlineLevel="0" collapsed="false">
      <c r="A28" s="19" t="n">
        <v>600</v>
      </c>
      <c r="B28" s="117" t="n">
        <v>609.6</v>
      </c>
      <c r="C28" s="117" t="n">
        <v>117</v>
      </c>
      <c r="D28" s="117" t="n">
        <v>256</v>
      </c>
      <c r="E28" s="117" t="n">
        <v>442</v>
      </c>
      <c r="F28" s="117" t="n">
        <v>807</v>
      </c>
      <c r="AA28" s="19" t="n">
        <v>500</v>
      </c>
      <c r="AB28" s="19" t="s">
        <v>9</v>
      </c>
      <c r="AC28" s="19" t="n">
        <v>122</v>
      </c>
    </row>
    <row r="29" customFormat="false" ht="15" hidden="false" customHeight="true" outlineLevel="0" collapsed="false">
      <c r="A29" s="19" t="n">
        <v>650</v>
      </c>
      <c r="B29" s="117" t="n">
        <v>660.4</v>
      </c>
      <c r="C29" s="117" t="n">
        <v>127</v>
      </c>
      <c r="D29" s="117" t="n">
        <v>299</v>
      </c>
      <c r="E29" s="117" t="n">
        <v>525</v>
      </c>
      <c r="F29" s="117" t="n">
        <v>944</v>
      </c>
    </row>
    <row r="30" customFormat="false" ht="15" hidden="false" customHeight="true" outlineLevel="0" collapsed="false">
      <c r="A30" s="19" t="n">
        <v>700</v>
      </c>
      <c r="B30" s="117" t="n">
        <v>711.2</v>
      </c>
      <c r="C30" s="117" t="n">
        <v>137</v>
      </c>
      <c r="D30" s="117" t="s">
        <v>9</v>
      </c>
      <c r="E30" s="117" t="s">
        <v>9</v>
      </c>
      <c r="F30" s="117" t="s">
        <v>9</v>
      </c>
    </row>
    <row r="31" customFormat="false" ht="15" hidden="false" customHeight="true" outlineLevel="0" collapsed="false">
      <c r="A31" s="19" t="n">
        <v>750</v>
      </c>
      <c r="B31" s="117" t="n">
        <v>762</v>
      </c>
      <c r="C31" s="117" t="n">
        <v>147</v>
      </c>
      <c r="D31" s="117" t="s">
        <v>9</v>
      </c>
      <c r="E31" s="117" t="s">
        <v>9</v>
      </c>
      <c r="F31" s="117" t="s">
        <v>9</v>
      </c>
    </row>
    <row r="32" customFormat="false" ht="15" hidden="false" customHeight="true" outlineLevel="0" collapsed="false">
      <c r="A32" s="19" t="n">
        <v>800</v>
      </c>
      <c r="B32" s="117" t="n">
        <v>812.8</v>
      </c>
      <c r="C32" s="117" t="n">
        <v>157</v>
      </c>
      <c r="D32" s="117" t="s">
        <v>9</v>
      </c>
      <c r="E32" s="117" t="s">
        <v>9</v>
      </c>
      <c r="F32" s="117" t="s">
        <v>9</v>
      </c>
    </row>
    <row r="33" customFormat="false" ht="15" hidden="false" customHeight="true" outlineLevel="0" collapsed="false">
      <c r="A33" s="19" t="n">
        <v>850</v>
      </c>
      <c r="B33" s="117" t="n">
        <v>863.6</v>
      </c>
      <c r="C33" s="117" t="n">
        <v>167</v>
      </c>
      <c r="D33" s="117" t="s">
        <v>9</v>
      </c>
      <c r="E33" s="117" t="s">
        <v>9</v>
      </c>
      <c r="F33" s="117" t="s">
        <v>9</v>
      </c>
    </row>
    <row r="34" customFormat="false" ht="15" hidden="false" customHeight="true" outlineLevel="0" collapsed="false">
      <c r="A34" s="19" t="n">
        <v>900</v>
      </c>
      <c r="B34" s="117" t="n">
        <v>914.4</v>
      </c>
      <c r="C34" s="117" t="n">
        <v>194</v>
      </c>
      <c r="D34" s="117" t="s">
        <v>9</v>
      </c>
      <c r="E34" s="117" t="s">
        <v>9</v>
      </c>
      <c r="F34" s="117" t="s">
        <v>9</v>
      </c>
    </row>
    <row r="35" customFormat="false" ht="15" hidden="false" customHeight="true" outlineLevel="0" collapsed="false">
      <c r="A35" s="19" t="n">
        <v>1000</v>
      </c>
      <c r="B35" s="117" t="n">
        <v>1016</v>
      </c>
      <c r="C35" s="117" t="n">
        <v>255</v>
      </c>
      <c r="D35" s="117" t="s">
        <v>9</v>
      </c>
      <c r="E35" s="117" t="s">
        <v>9</v>
      </c>
      <c r="F35" s="117" t="s">
        <v>9</v>
      </c>
    </row>
    <row r="36" customFormat="false" ht="15" hidden="false" customHeight="true" outlineLevel="0" collapsed="false">
      <c r="A36" s="19" t="n">
        <v>1100</v>
      </c>
      <c r="B36" s="117" t="n">
        <v>1117.6</v>
      </c>
      <c r="C36" s="117" t="n">
        <v>303</v>
      </c>
      <c r="D36" s="117" t="s">
        <v>9</v>
      </c>
      <c r="E36" s="117" t="s">
        <v>9</v>
      </c>
      <c r="F36" s="117" t="s">
        <v>9</v>
      </c>
    </row>
    <row r="37" customFormat="false" ht="15" hidden="false" customHeight="true" outlineLevel="0" collapsed="false">
      <c r="A37" s="19" t="n">
        <v>1200</v>
      </c>
      <c r="B37" s="117" t="n">
        <v>1219.2</v>
      </c>
      <c r="C37" s="117" t="n">
        <v>354</v>
      </c>
      <c r="D37" s="117" t="s">
        <v>9</v>
      </c>
      <c r="E37" s="117" t="s">
        <v>9</v>
      </c>
      <c r="F37" s="117" t="s">
        <v>9</v>
      </c>
    </row>
    <row r="38" customFormat="false" ht="15" hidden="false" customHeight="true" outlineLevel="0" collapsed="false">
      <c r="A38" s="19" t="n">
        <v>1350</v>
      </c>
      <c r="B38" s="117" t="n">
        <v>1371.6</v>
      </c>
      <c r="C38" s="117" t="n">
        <v>426</v>
      </c>
      <c r="D38" s="117" t="s">
        <v>9</v>
      </c>
      <c r="E38" s="117" t="s">
        <v>9</v>
      </c>
      <c r="F38" s="117" t="s">
        <v>9</v>
      </c>
    </row>
    <row r="39" customFormat="false" ht="15" hidden="false" customHeight="true" outlineLevel="0" collapsed="false">
      <c r="A39" s="19" t="n">
        <v>1500</v>
      </c>
      <c r="B39" s="117" t="n">
        <v>1524</v>
      </c>
      <c r="C39" s="117" t="n">
        <v>488</v>
      </c>
      <c r="D39" s="117" t="s">
        <v>9</v>
      </c>
      <c r="E39" s="117" t="s">
        <v>9</v>
      </c>
      <c r="F39" s="117" t="s">
        <v>9</v>
      </c>
    </row>
  </sheetData>
  <dataValidations count="1">
    <dataValidation allowBlank="false" errorStyle="stop" operator="between" showDropDown="false" showErrorMessage="false" showInputMessage="false" sqref="AG1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3" min="2" style="1" width="8"/>
  </cols>
  <sheetData>
    <row r="1" customFormat="false" ht="19.5" hidden="false" customHeight="true" outlineLevel="0" collapsed="false">
      <c r="A1" s="119" t="s">
        <v>1569</v>
      </c>
    </row>
    <row r="2" customFormat="false" ht="15" hidden="false" customHeight="true" outlineLevel="0" collapsed="false">
      <c r="A2" s="3" t="s">
        <v>1570</v>
      </c>
    </row>
    <row r="4" customFormat="false" ht="15" hidden="false" customHeight="true" outlineLevel="0" collapsed="false">
      <c r="A4" s="4" t="s">
        <v>680</v>
      </c>
      <c r="B4" s="31" t="s">
        <v>262</v>
      </c>
      <c r="C4" s="31" t="s">
        <v>1571</v>
      </c>
      <c r="D4" s="31"/>
      <c r="E4" s="31"/>
      <c r="F4" s="31"/>
      <c r="G4" s="31"/>
      <c r="H4" s="31"/>
      <c r="I4" s="31"/>
      <c r="J4" s="31" t="s">
        <v>887</v>
      </c>
      <c r="K4" s="31"/>
      <c r="L4" s="31"/>
      <c r="M4" s="31"/>
      <c r="N4" s="31"/>
      <c r="O4" s="31"/>
      <c r="P4" s="31"/>
      <c r="Q4" s="31" t="s">
        <v>1572</v>
      </c>
      <c r="R4" s="31"/>
      <c r="S4" s="31"/>
      <c r="T4" s="31"/>
      <c r="U4" s="31"/>
      <c r="V4" s="31"/>
      <c r="W4" s="31"/>
    </row>
    <row r="5" customFormat="false" ht="23.25" hidden="false" customHeight="true" outlineLevel="0" collapsed="false">
      <c r="A5" s="4"/>
      <c r="B5" s="31" t="s">
        <v>1573</v>
      </c>
      <c r="C5" s="31" t="s">
        <v>1574</v>
      </c>
      <c r="D5" s="31" t="s">
        <v>1575</v>
      </c>
      <c r="E5" s="31" t="s">
        <v>706</v>
      </c>
      <c r="F5" s="31" t="s">
        <v>1576</v>
      </c>
      <c r="G5" s="31" t="s">
        <v>1524</v>
      </c>
      <c r="H5" s="31" t="s">
        <v>1577</v>
      </c>
      <c r="I5" s="31" t="s">
        <v>1525</v>
      </c>
      <c r="J5" s="31" t="s">
        <v>1578</v>
      </c>
      <c r="K5" s="31" t="s">
        <v>1574</v>
      </c>
      <c r="L5" s="31" t="s">
        <v>1575</v>
      </c>
      <c r="M5" s="31" t="s">
        <v>706</v>
      </c>
      <c r="N5" s="31" t="s">
        <v>1524</v>
      </c>
      <c r="O5" s="31" t="s">
        <v>1577</v>
      </c>
      <c r="P5" s="31" t="s">
        <v>1525</v>
      </c>
      <c r="Q5" s="31" t="s">
        <v>1578</v>
      </c>
      <c r="R5" s="31" t="s">
        <v>1574</v>
      </c>
      <c r="S5" s="31" t="s">
        <v>1575</v>
      </c>
      <c r="T5" s="31" t="s">
        <v>706</v>
      </c>
      <c r="U5" s="31" t="s">
        <v>1524</v>
      </c>
      <c r="V5" s="31" t="s">
        <v>1577</v>
      </c>
      <c r="W5" s="31" t="s">
        <v>1525</v>
      </c>
    </row>
    <row r="6" customFormat="false" ht="20.25" hidden="false" customHeight="true" outlineLevel="0" collapsed="false">
      <c r="A6" s="4"/>
      <c r="B6" s="120" t="s">
        <v>262</v>
      </c>
      <c r="C6" s="120" t="s">
        <v>1579</v>
      </c>
      <c r="D6" s="120" t="s">
        <v>1580</v>
      </c>
      <c r="E6" s="120" t="s">
        <v>1581</v>
      </c>
      <c r="F6" s="120" t="s">
        <v>1582</v>
      </c>
      <c r="G6" s="120" t="s">
        <v>1583</v>
      </c>
      <c r="H6" s="120" t="s">
        <v>1584</v>
      </c>
      <c r="I6" s="120" t="s">
        <v>1585</v>
      </c>
      <c r="J6" s="120" t="s">
        <v>1586</v>
      </c>
      <c r="K6" s="120" t="s">
        <v>1587</v>
      </c>
      <c r="L6" s="120" t="s">
        <v>1588</v>
      </c>
      <c r="M6" s="120" t="s">
        <v>1589</v>
      </c>
      <c r="N6" s="120" t="s">
        <v>1590</v>
      </c>
      <c r="O6" s="120" t="s">
        <v>1591</v>
      </c>
      <c r="P6" s="120" t="s">
        <v>1592</v>
      </c>
      <c r="Q6" s="120" t="s">
        <v>1593</v>
      </c>
      <c r="R6" s="120" t="s">
        <v>1594</v>
      </c>
      <c r="S6" s="120" t="s">
        <v>1595</v>
      </c>
      <c r="T6" s="120" t="s">
        <v>1596</v>
      </c>
      <c r="U6" s="120" t="s">
        <v>1597</v>
      </c>
      <c r="V6" s="120" t="s">
        <v>1598</v>
      </c>
      <c r="W6" s="120" t="s">
        <v>1599</v>
      </c>
    </row>
    <row r="7" customFormat="false" ht="15" hidden="false" customHeight="true" outlineLevel="0" collapsed="false">
      <c r="A7" s="19" t="n">
        <v>6</v>
      </c>
      <c r="B7" s="117" t="n">
        <v>0.419</v>
      </c>
      <c r="C7" s="117"/>
      <c r="D7" s="117"/>
      <c r="E7" s="117" t="n">
        <v>0.369</v>
      </c>
      <c r="F7" s="117" t="n">
        <v>0.45</v>
      </c>
      <c r="G7" s="117" t="n">
        <v>0.479</v>
      </c>
      <c r="H7" s="117"/>
      <c r="I7" s="117"/>
      <c r="J7" s="117" t="n">
        <v>0.237</v>
      </c>
      <c r="K7" s="117" t="n">
        <v>0.278</v>
      </c>
      <c r="L7" s="117" t="n">
        <v>0.336</v>
      </c>
      <c r="M7" s="117" t="n">
        <v>0.373</v>
      </c>
      <c r="N7" s="117" t="n">
        <v>0.484</v>
      </c>
      <c r="O7" s="117"/>
      <c r="P7" s="117"/>
      <c r="Q7" s="117" t="n">
        <v>0.238</v>
      </c>
      <c r="R7" s="117" t="n">
        <v>0.28</v>
      </c>
      <c r="S7" s="117" t="n">
        <v>0.338</v>
      </c>
      <c r="T7" s="117" t="n">
        <v>0.375</v>
      </c>
      <c r="U7" s="117" t="n">
        <v>0.487</v>
      </c>
      <c r="V7" s="117"/>
      <c r="W7" s="117"/>
    </row>
    <row r="8" customFormat="false" ht="15" hidden="false" customHeight="true" outlineLevel="0" collapsed="false">
      <c r="A8" s="19" t="n">
        <v>8</v>
      </c>
      <c r="B8" s="117" t="n">
        <v>0.664</v>
      </c>
      <c r="C8" s="117"/>
      <c r="D8" s="117"/>
      <c r="E8" s="117" t="n">
        <v>0.629</v>
      </c>
      <c r="F8" s="117" t="n">
        <v>0.675</v>
      </c>
      <c r="G8" s="117" t="n">
        <v>0.799</v>
      </c>
      <c r="H8" s="117"/>
      <c r="I8" s="117"/>
      <c r="J8" s="117" t="n">
        <v>0.377</v>
      </c>
      <c r="K8" s="117" t="n">
        <v>0.499</v>
      </c>
      <c r="L8" s="117" t="n">
        <v>0.588</v>
      </c>
      <c r="M8" s="117" t="n">
        <v>0.636</v>
      </c>
      <c r="N8" s="117" t="n">
        <v>0.807</v>
      </c>
      <c r="O8" s="117"/>
      <c r="P8" s="117"/>
      <c r="Q8" s="117" t="n">
        <v>0.379</v>
      </c>
      <c r="R8" s="117" t="n">
        <v>0.503</v>
      </c>
      <c r="S8" s="117" t="n">
        <v>0.592</v>
      </c>
      <c r="T8" s="117" t="n">
        <v>0.64</v>
      </c>
      <c r="U8" s="117" t="n">
        <v>0.812</v>
      </c>
      <c r="V8" s="117"/>
      <c r="W8" s="117"/>
    </row>
    <row r="9" customFormat="false" ht="15" hidden="false" customHeight="true" outlineLevel="0" collapsed="false">
      <c r="A9" s="19" t="n">
        <v>10</v>
      </c>
      <c r="B9" s="117" t="n">
        <v>0.866</v>
      </c>
      <c r="C9" s="117"/>
      <c r="D9" s="117"/>
      <c r="E9" s="117" t="n">
        <v>0.851</v>
      </c>
      <c r="F9" s="117" t="n">
        <v>1</v>
      </c>
      <c r="G9" s="117" t="n">
        <v>1.11</v>
      </c>
      <c r="H9" s="117"/>
      <c r="I9" s="117"/>
      <c r="J9" s="117" t="n">
        <v>0.481</v>
      </c>
      <c r="K9" s="117" t="n">
        <v>0.643</v>
      </c>
      <c r="L9" s="117" t="n">
        <v>0.762</v>
      </c>
      <c r="M9" s="117" t="n">
        <v>0.859</v>
      </c>
      <c r="N9" s="117" t="n">
        <v>1.12</v>
      </c>
      <c r="O9" s="117"/>
      <c r="P9" s="117"/>
      <c r="Q9" s="117" t="n">
        <v>0.484</v>
      </c>
      <c r="R9" s="117" t="n">
        <v>0.647</v>
      </c>
      <c r="S9" s="117" t="n">
        <v>0.767</v>
      </c>
      <c r="T9" s="117" t="n">
        <v>0.865</v>
      </c>
      <c r="U9" s="117" t="n">
        <v>1.13</v>
      </c>
      <c r="V9" s="117"/>
      <c r="W9" s="117"/>
    </row>
    <row r="10" customFormat="false" ht="15" hidden="false" customHeight="true" outlineLevel="0" collapsed="false">
      <c r="A10" s="19" t="n">
        <v>15</v>
      </c>
      <c r="B10" s="117" t="n">
        <v>1.25</v>
      </c>
      <c r="C10" s="117"/>
      <c r="D10" s="117"/>
      <c r="E10" s="117" t="n">
        <v>1.31</v>
      </c>
      <c r="F10" s="117" t="n">
        <v>1.46</v>
      </c>
      <c r="G10" s="117" t="n">
        <v>1.64</v>
      </c>
      <c r="H10" s="117"/>
      <c r="I10" s="117" t="n">
        <v>1.97</v>
      </c>
      <c r="J10" s="117" t="n">
        <v>0.824</v>
      </c>
      <c r="K10" s="117" t="n">
        <v>1.03</v>
      </c>
      <c r="L10" s="117" t="n">
        <v>1.2</v>
      </c>
      <c r="M10" s="117" t="n">
        <v>1.32</v>
      </c>
      <c r="N10" s="117" t="n">
        <v>1.66</v>
      </c>
      <c r="O10" s="117"/>
      <c r="P10" s="117" t="n">
        <v>1.99</v>
      </c>
      <c r="Q10" s="117" t="n">
        <v>0.829</v>
      </c>
      <c r="R10" s="117" t="n">
        <v>1.03</v>
      </c>
      <c r="S10" s="117" t="n">
        <v>1.2</v>
      </c>
      <c r="T10" s="117" t="n">
        <v>1.33</v>
      </c>
      <c r="U10" s="117" t="n">
        <v>1.67</v>
      </c>
      <c r="V10" s="117"/>
      <c r="W10" s="117" t="n">
        <v>2</v>
      </c>
    </row>
    <row r="11" customFormat="false" ht="15" hidden="false" customHeight="true" outlineLevel="0" collapsed="false">
      <c r="A11" s="19" t="n">
        <v>20</v>
      </c>
      <c r="B11" s="117" t="n">
        <v>1.6</v>
      </c>
      <c r="C11" s="117"/>
      <c r="D11" s="117"/>
      <c r="E11" s="117" t="n">
        <v>1.74</v>
      </c>
      <c r="F11" s="117" t="n">
        <v>2</v>
      </c>
      <c r="G11" s="117" t="n">
        <v>2.24</v>
      </c>
      <c r="H11" s="117"/>
      <c r="I11" s="117" t="n">
        <v>2.94</v>
      </c>
      <c r="J11" s="117" t="n">
        <v>1.05</v>
      </c>
      <c r="K11" s="117" t="n">
        <v>1.31</v>
      </c>
      <c r="L11" s="117" t="n">
        <v>1.54</v>
      </c>
      <c r="M11" s="117" t="n">
        <v>1.76</v>
      </c>
      <c r="N11" s="117" t="n">
        <v>2.26</v>
      </c>
      <c r="O11" s="117"/>
      <c r="P11" s="117" t="n">
        <v>2.97</v>
      </c>
      <c r="Q11" s="117" t="n">
        <v>1.06</v>
      </c>
      <c r="R11" s="117" t="n">
        <v>1.32</v>
      </c>
      <c r="S11" s="117" t="n">
        <v>1.55</v>
      </c>
      <c r="T11" s="117" t="n">
        <v>1.77</v>
      </c>
      <c r="U11" s="117" t="n">
        <v>2.28</v>
      </c>
      <c r="V11" s="117"/>
      <c r="W11" s="117" t="n">
        <v>2.99</v>
      </c>
    </row>
    <row r="12" customFormat="false" ht="15" hidden="false" customHeight="true" outlineLevel="0" collapsed="false">
      <c r="A12" s="19" t="n">
        <v>25</v>
      </c>
      <c r="B12" s="117" t="n">
        <v>2.45</v>
      </c>
      <c r="C12" s="117"/>
      <c r="D12" s="117"/>
      <c r="E12" s="117" t="n">
        <v>2.57</v>
      </c>
      <c r="F12" s="117" t="n">
        <v>2.89</v>
      </c>
      <c r="G12" s="117" t="n">
        <v>3.27</v>
      </c>
      <c r="H12" s="117"/>
      <c r="I12" s="117" t="n">
        <v>4.36</v>
      </c>
      <c r="J12" s="117" t="n">
        <v>1.33</v>
      </c>
      <c r="K12" s="117" t="n">
        <v>2.18</v>
      </c>
      <c r="L12" s="117" t="n">
        <v>2.32</v>
      </c>
      <c r="M12" s="117" t="n">
        <v>2.59</v>
      </c>
      <c r="N12" s="117" t="n">
        <v>3.31</v>
      </c>
      <c r="O12" s="117"/>
      <c r="P12" s="117" t="n">
        <v>4.4</v>
      </c>
      <c r="Q12" s="117" t="n">
        <v>1.34</v>
      </c>
      <c r="R12" s="117" t="n">
        <v>2.19</v>
      </c>
      <c r="S12" s="117" t="n">
        <v>2.33</v>
      </c>
      <c r="T12" s="117" t="n">
        <v>2.61</v>
      </c>
      <c r="U12" s="117" t="n">
        <v>3.33</v>
      </c>
      <c r="V12" s="117"/>
      <c r="W12" s="117" t="n">
        <v>4.43</v>
      </c>
    </row>
    <row r="13" customFormat="false" ht="15" hidden="false" customHeight="true" outlineLevel="0" collapsed="false">
      <c r="A13" s="19" t="n">
        <v>32</v>
      </c>
      <c r="B13" s="117" t="n">
        <v>3.16</v>
      </c>
      <c r="C13" s="117"/>
      <c r="D13" s="117"/>
      <c r="E13" s="117" t="n">
        <v>3.47</v>
      </c>
      <c r="F13" s="117" t="n">
        <v>4.24</v>
      </c>
      <c r="G13" s="117" t="n">
        <v>4.57</v>
      </c>
      <c r="H13" s="117"/>
      <c r="I13" s="117" t="n">
        <v>5.73</v>
      </c>
      <c r="J13" s="117" t="n">
        <v>1.69</v>
      </c>
      <c r="K13" s="117" t="n">
        <v>2.78</v>
      </c>
      <c r="L13" s="117" t="n">
        <v>2.97</v>
      </c>
      <c r="M13" s="117" t="n">
        <v>3.51</v>
      </c>
      <c r="N13" s="117" t="n">
        <v>4.61</v>
      </c>
      <c r="O13" s="117"/>
      <c r="P13" s="117" t="n">
        <v>5.79</v>
      </c>
      <c r="Q13" s="117" t="n">
        <v>1.7</v>
      </c>
      <c r="R13" s="117" t="n">
        <v>2.8</v>
      </c>
      <c r="S13" s="117" t="n">
        <v>2.99</v>
      </c>
      <c r="T13" s="117" t="n">
        <v>3.53</v>
      </c>
      <c r="U13" s="117" t="n">
        <v>4.64</v>
      </c>
      <c r="V13" s="117"/>
      <c r="W13" s="117" t="n">
        <v>5.82</v>
      </c>
    </row>
    <row r="14" customFormat="false" ht="15" hidden="false" customHeight="true" outlineLevel="0" collapsed="false">
      <c r="A14" s="19" t="n">
        <v>40</v>
      </c>
      <c r="B14" s="117" t="n">
        <v>3.63</v>
      </c>
      <c r="C14" s="117"/>
      <c r="D14" s="117"/>
      <c r="E14" s="117" t="n">
        <v>4.1</v>
      </c>
      <c r="F14" s="117" t="n">
        <v>4.89</v>
      </c>
      <c r="G14" s="117" t="n">
        <v>5.47</v>
      </c>
      <c r="H14" s="117"/>
      <c r="I14" s="117" t="n">
        <v>7.27</v>
      </c>
      <c r="J14" s="117" t="n">
        <v>1.93</v>
      </c>
      <c r="K14" s="117" t="n">
        <v>3.19</v>
      </c>
      <c r="L14" s="117" t="n">
        <v>3.41</v>
      </c>
      <c r="M14" s="117" t="n">
        <v>4.14</v>
      </c>
      <c r="N14" s="117" t="n">
        <v>5.53</v>
      </c>
      <c r="O14" s="117"/>
      <c r="P14" s="117" t="n">
        <v>7.34</v>
      </c>
      <c r="Q14" s="117" t="n">
        <v>1.94</v>
      </c>
      <c r="R14" s="117" t="n">
        <v>3.21</v>
      </c>
      <c r="S14" s="117" t="n">
        <v>3.43</v>
      </c>
      <c r="T14" s="117" t="n">
        <v>4.16</v>
      </c>
      <c r="U14" s="117" t="n">
        <v>5.56</v>
      </c>
      <c r="V14" s="117"/>
      <c r="W14" s="117" t="n">
        <v>7.39</v>
      </c>
    </row>
    <row r="15" customFormat="false" ht="15" hidden="false" customHeight="true" outlineLevel="0" collapsed="false">
      <c r="A15" s="19" t="n">
        <v>50</v>
      </c>
      <c r="B15" s="117" t="n">
        <v>5.12</v>
      </c>
      <c r="C15" s="117"/>
      <c r="D15" s="117" t="n">
        <v>4.52</v>
      </c>
      <c r="E15" s="117" t="n">
        <v>5.44</v>
      </c>
      <c r="F15" s="117" t="n">
        <v>6.72</v>
      </c>
      <c r="G15" s="117" t="n">
        <v>7.46</v>
      </c>
      <c r="H15" s="117"/>
      <c r="I15" s="117" t="n">
        <v>11.1</v>
      </c>
      <c r="J15" s="117" t="n">
        <v>2.42</v>
      </c>
      <c r="K15" s="117" t="n">
        <v>4.02</v>
      </c>
      <c r="L15" s="117" t="n">
        <v>4.97</v>
      </c>
      <c r="M15" s="117" t="n">
        <v>5.5</v>
      </c>
      <c r="N15" s="117" t="n">
        <v>7.54</v>
      </c>
      <c r="O15" s="117"/>
      <c r="P15" s="117" t="n">
        <v>11.2</v>
      </c>
      <c r="Q15" s="117" t="n">
        <v>2.43</v>
      </c>
      <c r="R15" s="117" t="n">
        <v>4.05</v>
      </c>
      <c r="S15" s="117" t="n">
        <v>5</v>
      </c>
      <c r="T15" s="117" t="n">
        <v>5.53</v>
      </c>
      <c r="U15" s="117" t="n">
        <v>7.58</v>
      </c>
      <c r="V15" s="117"/>
      <c r="W15" s="117" t="n">
        <v>11.3</v>
      </c>
    </row>
    <row r="16" customFormat="false" ht="15" hidden="false" customHeight="true" outlineLevel="0" collapsed="false">
      <c r="A16" s="19" t="n">
        <v>65</v>
      </c>
      <c r="B16" s="117" t="n">
        <v>6.34</v>
      </c>
      <c r="C16" s="117"/>
      <c r="D16" s="117" t="n">
        <v>7.97</v>
      </c>
      <c r="E16" s="117" t="n">
        <v>9.12</v>
      </c>
      <c r="F16" s="117" t="n">
        <v>10.4</v>
      </c>
      <c r="G16" s="117" t="n">
        <v>12</v>
      </c>
      <c r="H16" s="117"/>
      <c r="I16" s="117" t="n">
        <v>15.6</v>
      </c>
      <c r="J16" s="117" t="n">
        <v>3.88</v>
      </c>
      <c r="K16" s="117" t="n">
        <v>5.48</v>
      </c>
      <c r="L16" s="117" t="n">
        <v>6.35</v>
      </c>
      <c r="M16" s="117" t="n">
        <v>9.21</v>
      </c>
      <c r="N16" s="117" t="n">
        <v>12.1</v>
      </c>
      <c r="O16" s="117"/>
      <c r="P16" s="117" t="n">
        <v>15.8</v>
      </c>
      <c r="Q16" s="117" t="n">
        <v>3.91</v>
      </c>
      <c r="R16" s="117" t="n">
        <v>5.51</v>
      </c>
      <c r="S16" s="117" t="n">
        <v>6.39</v>
      </c>
      <c r="T16" s="117" t="n">
        <v>9.27</v>
      </c>
      <c r="U16" s="117" t="n">
        <v>12.2</v>
      </c>
      <c r="V16" s="117"/>
      <c r="W16" s="117" t="n">
        <v>15.9</v>
      </c>
    </row>
    <row r="17" customFormat="false" ht="15" hidden="false" customHeight="true" outlineLevel="0" collapsed="false">
      <c r="A17" s="19" t="n">
        <v>80</v>
      </c>
      <c r="B17" s="117" t="n">
        <v>8.49</v>
      </c>
      <c r="C17" s="117"/>
      <c r="D17" s="117" t="n">
        <v>9.39</v>
      </c>
      <c r="E17" s="117" t="n">
        <v>11.3</v>
      </c>
      <c r="F17" s="117" t="n">
        <v>13.4</v>
      </c>
      <c r="G17" s="117" t="n">
        <v>15.3</v>
      </c>
      <c r="H17" s="117"/>
      <c r="I17" s="117" t="n">
        <v>21.4</v>
      </c>
      <c r="J17" s="117" t="n">
        <v>4.55</v>
      </c>
      <c r="K17" s="117" t="n">
        <v>6.43</v>
      </c>
      <c r="L17" s="117" t="n">
        <v>8.48</v>
      </c>
      <c r="M17" s="117" t="n">
        <v>11.5</v>
      </c>
      <c r="N17" s="117" t="n">
        <v>15.4</v>
      </c>
      <c r="O17" s="117"/>
      <c r="P17" s="117" t="n">
        <v>21.6</v>
      </c>
      <c r="Q17" s="117" t="n">
        <v>4.58</v>
      </c>
      <c r="R17" s="117" t="n">
        <v>6.48</v>
      </c>
      <c r="S17" s="117" t="n">
        <v>8.53</v>
      </c>
      <c r="T17" s="117" t="n">
        <v>11.5</v>
      </c>
      <c r="U17" s="117" t="n">
        <v>15.5</v>
      </c>
      <c r="V17" s="117"/>
      <c r="W17" s="117" t="n">
        <v>21.7</v>
      </c>
    </row>
    <row r="18" customFormat="false" ht="15" hidden="false" customHeight="true" outlineLevel="0" collapsed="false">
      <c r="A18" s="19" t="n">
        <v>90</v>
      </c>
      <c r="B18" s="117" t="n">
        <v>9.74</v>
      </c>
      <c r="C18" s="117"/>
      <c r="D18" s="117" t="n">
        <v>10.8</v>
      </c>
      <c r="E18" s="117" t="n">
        <v>13.5</v>
      </c>
      <c r="F18" s="117" t="n">
        <v>16.3</v>
      </c>
      <c r="G18" s="117" t="n">
        <v>18.7</v>
      </c>
      <c r="H18" s="117"/>
      <c r="I18" s="117" t="n">
        <v>27.8</v>
      </c>
      <c r="J18" s="117" t="n">
        <v>5.2</v>
      </c>
      <c r="K18" s="117" t="n">
        <v>7.37</v>
      </c>
      <c r="L18" s="117" t="n">
        <v>9.72</v>
      </c>
      <c r="M18" s="117" t="n">
        <v>13.6</v>
      </c>
      <c r="N18" s="117" t="n">
        <v>18.9</v>
      </c>
      <c r="O18" s="117"/>
      <c r="P18" s="117" t="n">
        <v>28.1</v>
      </c>
      <c r="Q18" s="117" t="n">
        <v>5.24</v>
      </c>
      <c r="R18" s="117" t="n">
        <v>7.42</v>
      </c>
      <c r="S18" s="117" t="n">
        <v>9.79</v>
      </c>
      <c r="T18" s="117" t="n">
        <v>13.7</v>
      </c>
      <c r="U18" s="117" t="n">
        <v>19</v>
      </c>
      <c r="V18" s="117"/>
      <c r="W18" s="117" t="n">
        <v>28.3</v>
      </c>
    </row>
    <row r="19" customFormat="false" ht="15" hidden="false" customHeight="true" outlineLevel="0" collapsed="false">
      <c r="A19" s="19" t="n">
        <v>100</v>
      </c>
      <c r="B19" s="117" t="n">
        <v>12.2</v>
      </c>
      <c r="C19" s="117"/>
      <c r="D19" s="117" t="n">
        <v>13.2</v>
      </c>
      <c r="E19" s="117" t="n">
        <v>16</v>
      </c>
      <c r="F19" s="117" t="n">
        <v>18.8</v>
      </c>
      <c r="G19" s="117" t="n">
        <v>22.4</v>
      </c>
      <c r="H19" s="117" t="n">
        <v>28.2</v>
      </c>
      <c r="I19" s="117" t="n">
        <v>33.6</v>
      </c>
      <c r="J19" s="117" t="n">
        <v>5.87</v>
      </c>
      <c r="K19" s="117" t="n">
        <v>8.32</v>
      </c>
      <c r="L19" s="117" t="n">
        <v>11</v>
      </c>
      <c r="M19" s="117" t="n">
        <v>16.2</v>
      </c>
      <c r="N19" s="117" t="n">
        <v>22.6</v>
      </c>
      <c r="O19" s="117" t="n">
        <v>28.5</v>
      </c>
      <c r="P19" s="117" t="n">
        <v>33.9</v>
      </c>
      <c r="Q19" s="117" t="n">
        <v>5.91</v>
      </c>
      <c r="R19" s="117" t="n">
        <v>8.37</v>
      </c>
      <c r="S19" s="117" t="n">
        <v>11.1</v>
      </c>
      <c r="T19" s="117" t="n">
        <v>16.3</v>
      </c>
      <c r="U19" s="117" t="n">
        <v>22.8</v>
      </c>
      <c r="V19" s="117" t="n">
        <v>28.7</v>
      </c>
      <c r="W19" s="117" t="n">
        <v>34.1</v>
      </c>
    </row>
    <row r="20" customFormat="false" ht="15" hidden="false" customHeight="true" outlineLevel="0" collapsed="false">
      <c r="A20" s="19" t="n">
        <v>125</v>
      </c>
      <c r="B20" s="117" t="n">
        <v>16.1</v>
      </c>
      <c r="C20" s="117"/>
      <c r="D20" s="117" t="n">
        <v>16.9</v>
      </c>
      <c r="E20" s="117" t="n">
        <v>21.7</v>
      </c>
      <c r="F20" s="117" t="n">
        <v>26.3</v>
      </c>
      <c r="G20" s="117" t="n">
        <v>30.5</v>
      </c>
      <c r="H20" s="117" t="n">
        <v>39.8</v>
      </c>
      <c r="I20" s="117" t="n">
        <v>48.6</v>
      </c>
      <c r="J20" s="117" t="n">
        <v>9.56</v>
      </c>
      <c r="K20" s="117" t="n">
        <v>11.6</v>
      </c>
      <c r="L20" s="117" t="n">
        <v>16.8</v>
      </c>
      <c r="M20" s="117" t="n">
        <v>21.9</v>
      </c>
      <c r="N20" s="117" t="n">
        <v>30.8</v>
      </c>
      <c r="O20" s="117" t="n">
        <v>40.2</v>
      </c>
      <c r="P20" s="117" t="n">
        <v>49.1</v>
      </c>
      <c r="Q20" s="117" t="n">
        <v>9.62</v>
      </c>
      <c r="R20" s="117" t="n">
        <v>11.6</v>
      </c>
      <c r="S20" s="117" t="n">
        <v>16.9</v>
      </c>
      <c r="T20" s="117" t="n">
        <v>22</v>
      </c>
      <c r="U20" s="117" t="n">
        <v>31</v>
      </c>
      <c r="V20" s="117" t="n">
        <v>40.5</v>
      </c>
      <c r="W20" s="117" t="n">
        <v>49.4</v>
      </c>
    </row>
    <row r="21" customFormat="false" ht="15" hidden="false" customHeight="true" outlineLevel="0" collapsed="false">
      <c r="A21" s="19" t="n">
        <v>150</v>
      </c>
      <c r="B21" s="117" t="n">
        <v>19.2</v>
      </c>
      <c r="C21" s="117"/>
      <c r="D21" s="117" t="n">
        <v>21.7</v>
      </c>
      <c r="E21" s="117" t="n">
        <v>27.7</v>
      </c>
      <c r="F21" s="117" t="n">
        <v>35.8</v>
      </c>
      <c r="G21" s="117" t="n">
        <v>41.8</v>
      </c>
      <c r="H21" s="117" t="n">
        <v>53.2</v>
      </c>
      <c r="I21" s="117" t="n">
        <v>66</v>
      </c>
      <c r="J21" s="117" t="n">
        <v>11.3</v>
      </c>
      <c r="K21" s="117" t="n">
        <v>13.7</v>
      </c>
      <c r="L21" s="117" t="n">
        <v>20</v>
      </c>
      <c r="M21" s="117" t="n">
        <v>28</v>
      </c>
      <c r="N21" s="117" t="n">
        <v>42.3</v>
      </c>
      <c r="O21" s="117" t="n">
        <v>53.8</v>
      </c>
      <c r="P21" s="117" t="n">
        <v>66.6</v>
      </c>
      <c r="Q21" s="117" t="n">
        <v>11.4</v>
      </c>
      <c r="R21" s="117" t="n">
        <v>13.8</v>
      </c>
      <c r="S21" s="117" t="n">
        <v>20.1</v>
      </c>
      <c r="T21" s="117" t="n">
        <v>28.1</v>
      </c>
      <c r="U21" s="117" t="n">
        <v>42.5</v>
      </c>
      <c r="V21" s="117" t="n">
        <v>54.1</v>
      </c>
      <c r="W21" s="117" t="n">
        <v>67.1</v>
      </c>
    </row>
    <row r="22" customFormat="false" ht="15" hidden="false" customHeight="true" outlineLevel="0" collapsed="false">
      <c r="A22" s="19" t="n">
        <v>200</v>
      </c>
      <c r="B22" s="117" t="n">
        <v>30.4</v>
      </c>
      <c r="C22" s="117"/>
      <c r="D22" s="117" t="n">
        <v>33.1</v>
      </c>
      <c r="E22" s="117" t="n">
        <v>42.1</v>
      </c>
      <c r="F22" s="117" t="n">
        <v>52.3</v>
      </c>
      <c r="G22" s="117" t="n">
        <v>63.8</v>
      </c>
      <c r="H22" s="117" t="n">
        <v>88.9</v>
      </c>
      <c r="I22" s="117" t="n">
        <v>110</v>
      </c>
      <c r="J22" s="117" t="n">
        <v>14.9</v>
      </c>
      <c r="K22" s="117" t="n">
        <v>21.2</v>
      </c>
      <c r="L22" s="117" t="n">
        <v>34</v>
      </c>
      <c r="M22" s="117" t="n">
        <v>42.5</v>
      </c>
      <c r="N22" s="117" t="n">
        <v>64.4</v>
      </c>
      <c r="O22" s="117" t="n">
        <v>89.8</v>
      </c>
      <c r="P22" s="117" t="n">
        <v>111</v>
      </c>
      <c r="Q22" s="117" t="n">
        <v>15</v>
      </c>
      <c r="R22" s="117" t="n">
        <v>21.3</v>
      </c>
      <c r="S22" s="117" t="n">
        <v>34.2</v>
      </c>
      <c r="T22" s="117" t="n">
        <v>42.8</v>
      </c>
      <c r="U22" s="117" t="n">
        <v>64.8</v>
      </c>
      <c r="V22" s="117" t="n">
        <v>90.4</v>
      </c>
      <c r="W22" s="117" t="n">
        <v>111</v>
      </c>
    </row>
    <row r="23" customFormat="false" ht="15" hidden="false" customHeight="true" outlineLevel="0" collapsed="false">
      <c r="A23" s="19" t="n">
        <v>250</v>
      </c>
      <c r="B23" s="117" t="n">
        <v>41.2</v>
      </c>
      <c r="C23" s="117"/>
      <c r="D23" s="117" t="n">
        <v>41.2</v>
      </c>
      <c r="E23" s="117" t="n">
        <v>59.2</v>
      </c>
      <c r="F23" s="117" t="n">
        <v>79.8</v>
      </c>
      <c r="G23" s="117" t="n">
        <v>93.9</v>
      </c>
      <c r="H23" s="117" t="n">
        <v>130</v>
      </c>
      <c r="I23" s="117" t="n">
        <v>168</v>
      </c>
      <c r="J23" s="117" t="n">
        <v>22.4</v>
      </c>
      <c r="K23" s="117" t="n">
        <v>26.2</v>
      </c>
      <c r="L23" s="117" t="n">
        <v>42.2</v>
      </c>
      <c r="M23" s="117" t="n">
        <v>59.8</v>
      </c>
      <c r="N23" s="117" t="n">
        <v>94.9</v>
      </c>
      <c r="O23" s="117" t="n">
        <v>131</v>
      </c>
      <c r="P23" s="117" t="n">
        <v>170</v>
      </c>
      <c r="Q23" s="117" t="n">
        <v>22.5</v>
      </c>
      <c r="R23" s="117" t="n">
        <v>26.4</v>
      </c>
      <c r="S23" s="117" t="n">
        <v>42.5</v>
      </c>
      <c r="T23" s="117" t="n">
        <v>60.2</v>
      </c>
      <c r="U23" s="117" t="n">
        <v>95.5</v>
      </c>
      <c r="V23" s="117" t="n">
        <v>132</v>
      </c>
      <c r="W23" s="117" t="n">
        <v>171</v>
      </c>
    </row>
    <row r="24" customFormat="false" ht="15" hidden="false" customHeight="true" outlineLevel="0" collapsed="false">
      <c r="A24" s="19" t="n">
        <v>300</v>
      </c>
      <c r="B24" s="117" t="n">
        <v>53.8</v>
      </c>
      <c r="C24" s="117"/>
      <c r="D24" s="117" t="n">
        <v>49.3</v>
      </c>
      <c r="E24" s="117" t="n">
        <v>78.3</v>
      </c>
      <c r="F24" s="117" t="n">
        <v>107</v>
      </c>
      <c r="G24" s="117" t="n">
        <v>129</v>
      </c>
      <c r="H24" s="117" t="n">
        <v>184</v>
      </c>
      <c r="I24" s="117" t="n">
        <v>234</v>
      </c>
      <c r="J24" s="117" t="n">
        <v>31.3</v>
      </c>
      <c r="K24" s="117" t="n">
        <v>35.2</v>
      </c>
      <c r="L24" s="117" t="n">
        <v>50.5</v>
      </c>
      <c r="M24" s="117" t="n">
        <v>79.1</v>
      </c>
      <c r="N24" s="117" t="n">
        <v>131</v>
      </c>
      <c r="O24" s="117" t="n">
        <v>185</v>
      </c>
      <c r="P24" s="117" t="n">
        <v>237</v>
      </c>
      <c r="Q24" s="117" t="n">
        <v>31.5</v>
      </c>
      <c r="R24" s="117" t="n">
        <v>35.4</v>
      </c>
      <c r="S24" s="117" t="n">
        <v>50.8</v>
      </c>
      <c r="T24" s="117" t="n">
        <v>79.6</v>
      </c>
      <c r="U24" s="117" t="n">
        <v>131</v>
      </c>
      <c r="V24" s="117" t="n">
        <v>187</v>
      </c>
      <c r="W24" s="117" t="n">
        <v>238</v>
      </c>
    </row>
    <row r="25" customFormat="false" ht="15" hidden="false" customHeight="true" outlineLevel="0" collapsed="false">
      <c r="A25" s="19" t="n">
        <v>350</v>
      </c>
      <c r="B25" s="117" t="n">
        <v>65.2</v>
      </c>
      <c r="C25" s="117"/>
      <c r="D25" s="117" t="n">
        <v>67.7</v>
      </c>
      <c r="E25" s="117" t="n">
        <v>94.3</v>
      </c>
      <c r="F25" s="117" t="n">
        <v>127</v>
      </c>
      <c r="G25" s="117" t="n">
        <v>158</v>
      </c>
      <c r="H25" s="117" t="n">
        <v>225</v>
      </c>
      <c r="I25" s="117" t="n">
        <v>282</v>
      </c>
      <c r="J25" s="117"/>
      <c r="K25" s="117"/>
      <c r="L25" s="117"/>
      <c r="M25" s="117" t="n">
        <v>95.3</v>
      </c>
      <c r="N25" s="117" t="n">
        <v>159</v>
      </c>
      <c r="O25" s="117" t="n">
        <v>227</v>
      </c>
      <c r="P25" s="117" t="n">
        <v>284</v>
      </c>
      <c r="Q25" s="117"/>
      <c r="R25" s="117"/>
      <c r="S25" s="117"/>
      <c r="T25" s="117" t="n">
        <v>95.9</v>
      </c>
      <c r="U25" s="117" t="n">
        <v>160</v>
      </c>
      <c r="V25" s="117" t="n">
        <v>228</v>
      </c>
      <c r="W25" s="117" t="n">
        <v>286</v>
      </c>
    </row>
    <row r="26" customFormat="false" ht="15" hidden="false" customHeight="true" outlineLevel="0" collapsed="false">
      <c r="A26" s="19" t="n">
        <v>400</v>
      </c>
      <c r="B26" s="117" t="n">
        <v>77.6</v>
      </c>
      <c r="C26" s="117"/>
      <c r="D26" s="117" t="n">
        <v>77.6</v>
      </c>
      <c r="E26" s="117" t="n">
        <v>123</v>
      </c>
      <c r="F26" s="117" t="n">
        <v>160</v>
      </c>
      <c r="G26" s="117" t="n">
        <v>203</v>
      </c>
      <c r="H26" s="117" t="n">
        <v>286</v>
      </c>
      <c r="I26" s="117" t="n">
        <v>365</v>
      </c>
      <c r="J26" s="117"/>
      <c r="K26" s="117"/>
      <c r="L26" s="117"/>
      <c r="M26" s="117" t="n">
        <v>125</v>
      </c>
      <c r="N26" s="117" t="n">
        <v>205</v>
      </c>
      <c r="O26" s="117" t="n">
        <v>289</v>
      </c>
      <c r="P26" s="117" t="n">
        <v>369</v>
      </c>
      <c r="Q26" s="117"/>
      <c r="R26" s="117"/>
      <c r="S26" s="117"/>
      <c r="T26" s="117" t="n">
        <v>125</v>
      </c>
      <c r="U26" s="117" t="n">
        <v>207</v>
      </c>
      <c r="V26" s="117" t="n">
        <v>291</v>
      </c>
      <c r="W26" s="117" t="n">
        <v>372</v>
      </c>
    </row>
    <row r="27" customFormat="false" ht="15" hidden="false" customHeight="true" outlineLevel="0" collapsed="false">
      <c r="A27" s="19" t="n">
        <v>450</v>
      </c>
      <c r="B27" s="117" t="n">
        <v>87.5</v>
      </c>
      <c r="C27" s="117"/>
      <c r="D27" s="117" t="n">
        <v>87.5</v>
      </c>
      <c r="E27" s="117" t="n">
        <v>156</v>
      </c>
      <c r="F27" s="117" t="n">
        <v>205</v>
      </c>
      <c r="G27" s="117" t="n">
        <v>254</v>
      </c>
      <c r="H27" s="117" t="n">
        <v>363</v>
      </c>
      <c r="I27" s="117" t="n">
        <v>459</v>
      </c>
      <c r="J27" s="117"/>
      <c r="K27" s="117"/>
      <c r="L27" s="117"/>
      <c r="M27" s="117" t="n">
        <v>158</v>
      </c>
      <c r="N27" s="117" t="n">
        <v>257</v>
      </c>
      <c r="O27" s="117" t="n">
        <v>367</v>
      </c>
      <c r="P27" s="117" t="n">
        <v>464</v>
      </c>
      <c r="Q27" s="117"/>
      <c r="R27" s="117"/>
      <c r="S27" s="117"/>
      <c r="T27" s="117" t="n">
        <v>159</v>
      </c>
      <c r="U27" s="117" t="n">
        <v>259</v>
      </c>
      <c r="V27" s="117" t="n">
        <v>369</v>
      </c>
      <c r="W27" s="117" t="n">
        <v>467</v>
      </c>
    </row>
    <row r="28" customFormat="false" ht="15" hidden="false" customHeight="true" outlineLevel="0" collapsed="false">
      <c r="A28" s="19" t="n">
        <v>500</v>
      </c>
      <c r="B28" s="117" t="n">
        <v>97.4</v>
      </c>
      <c r="C28" s="117"/>
      <c r="D28" s="117" t="n">
        <v>117</v>
      </c>
      <c r="E28" s="117" t="n">
        <v>184</v>
      </c>
      <c r="F28" s="117" t="n">
        <v>248</v>
      </c>
      <c r="G28" s="117" t="n">
        <v>311</v>
      </c>
      <c r="H28" s="117" t="n">
        <v>441</v>
      </c>
      <c r="I28" s="117" t="n">
        <v>565</v>
      </c>
      <c r="J28" s="117"/>
      <c r="K28" s="117"/>
      <c r="L28" s="117"/>
      <c r="M28" s="117" t="n">
        <v>185</v>
      </c>
      <c r="N28" s="117" t="n">
        <v>314</v>
      </c>
      <c r="O28" s="117" t="n">
        <v>446</v>
      </c>
      <c r="P28" s="117" t="n">
        <v>570</v>
      </c>
      <c r="Q28" s="117"/>
      <c r="R28" s="117"/>
      <c r="S28" s="117"/>
      <c r="T28" s="117" t="n">
        <v>187</v>
      </c>
      <c r="U28" s="117" t="n">
        <v>316</v>
      </c>
      <c r="V28" s="117" t="n">
        <v>449</v>
      </c>
      <c r="W28" s="117" t="n">
        <v>574</v>
      </c>
    </row>
    <row r="29" customFormat="false" ht="15" hidden="false" customHeight="true" outlineLevel="0" collapsed="false">
      <c r="A29" s="19" t="n">
        <v>550</v>
      </c>
      <c r="B29" s="117" t="n">
        <v>107</v>
      </c>
      <c r="C29" s="117"/>
      <c r="D29" s="117" t="n">
        <v>129</v>
      </c>
      <c r="E29" s="117" t="n">
        <v>213</v>
      </c>
      <c r="F29" s="117" t="n">
        <v>294</v>
      </c>
      <c r="G29" s="117" t="n">
        <v>374</v>
      </c>
      <c r="H29" s="117" t="n">
        <v>527</v>
      </c>
      <c r="I29" s="117" t="n">
        <v>672</v>
      </c>
      <c r="J29" s="117"/>
      <c r="K29" s="117"/>
      <c r="L29" s="117"/>
      <c r="M29" s="117" t="n">
        <v>215</v>
      </c>
      <c r="N29" s="117" t="n">
        <v>378</v>
      </c>
      <c r="O29" s="117" t="n">
        <v>532</v>
      </c>
      <c r="P29" s="117" t="n">
        <v>679</v>
      </c>
      <c r="Q29" s="117"/>
      <c r="R29" s="117"/>
      <c r="S29" s="117"/>
      <c r="T29" s="117" t="n">
        <v>216</v>
      </c>
      <c r="U29" s="117" t="n">
        <v>380</v>
      </c>
      <c r="V29" s="117" t="n">
        <v>536</v>
      </c>
      <c r="W29" s="117" t="n">
        <v>683</v>
      </c>
    </row>
    <row r="30" customFormat="false" ht="15" hidden="false" customHeight="true" outlineLevel="0" collapsed="false">
      <c r="A30" s="19" t="n">
        <v>600</v>
      </c>
      <c r="B30" s="117" t="n">
        <v>117</v>
      </c>
      <c r="C30" s="117"/>
      <c r="D30" s="117" t="n">
        <v>141</v>
      </c>
      <c r="E30" s="117" t="n">
        <v>256</v>
      </c>
      <c r="F30" s="117" t="n">
        <v>355</v>
      </c>
      <c r="G30" s="117" t="n">
        <v>442</v>
      </c>
      <c r="H30" s="117" t="n">
        <v>639</v>
      </c>
      <c r="I30" s="117" t="n">
        <v>807</v>
      </c>
      <c r="J30" s="117"/>
      <c r="K30" s="117"/>
      <c r="L30" s="117"/>
      <c r="M30" s="117" t="n">
        <v>258</v>
      </c>
      <c r="N30" s="117" t="n">
        <v>447</v>
      </c>
      <c r="O30" s="117" t="n">
        <v>646</v>
      </c>
      <c r="P30" s="117" t="n">
        <v>815</v>
      </c>
      <c r="Q30" s="117"/>
      <c r="R30" s="117"/>
      <c r="S30" s="117"/>
      <c r="T30" s="117" t="n">
        <v>260</v>
      </c>
      <c r="U30" s="117" t="n">
        <v>450</v>
      </c>
      <c r="V30" s="117" t="n">
        <v>650</v>
      </c>
      <c r="W30" s="117" t="n">
        <v>821</v>
      </c>
    </row>
    <row r="31" customFormat="false" ht="15" hidden="false" customHeight="true" outlineLevel="0" collapsed="false">
      <c r="A31" s="19" t="n">
        <v>650</v>
      </c>
      <c r="B31" s="117" t="n">
        <v>127</v>
      </c>
      <c r="C31" s="117"/>
      <c r="D31" s="117" t="n">
        <v>203</v>
      </c>
      <c r="E31" s="117" t="n">
        <v>299</v>
      </c>
      <c r="F31" s="117" t="n">
        <v>413</v>
      </c>
      <c r="G31" s="117" t="n">
        <v>525</v>
      </c>
      <c r="H31" s="117" t="n">
        <v>740</v>
      </c>
      <c r="I31" s="117" t="n">
        <v>944</v>
      </c>
      <c r="J31" s="117"/>
      <c r="K31" s="117"/>
      <c r="L31" s="117"/>
      <c r="M31" s="117" t="n">
        <v>302</v>
      </c>
      <c r="N31" s="117" t="n">
        <v>531</v>
      </c>
      <c r="O31" s="117" t="n">
        <v>748</v>
      </c>
      <c r="P31" s="117" t="n">
        <v>953</v>
      </c>
      <c r="Q31" s="117"/>
      <c r="R31" s="117"/>
      <c r="S31" s="117"/>
      <c r="T31" s="117" t="n">
        <v>304</v>
      </c>
      <c r="U31" s="117" t="n">
        <v>534</v>
      </c>
      <c r="V31" s="117" t="n">
        <v>752</v>
      </c>
      <c r="W31" s="117" t="n">
        <v>960</v>
      </c>
    </row>
    <row r="32" customFormat="false" ht="15" hidden="false" customHeight="true" outlineLevel="0" collapsed="false">
      <c r="A32" s="19" t="n">
        <v>700</v>
      </c>
      <c r="B32" s="117" t="n">
        <v>137</v>
      </c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</row>
    <row r="33" customFormat="false" ht="15" hidden="false" customHeight="true" outlineLevel="0" collapsed="false">
      <c r="A33" s="19" t="n">
        <v>750</v>
      </c>
      <c r="B33" s="117" t="n">
        <v>147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</row>
    <row r="34" customFormat="false" ht="15" hidden="false" customHeight="true" outlineLevel="0" collapsed="false">
      <c r="A34" s="19" t="n">
        <v>800</v>
      </c>
      <c r="B34" s="117" t="n">
        <v>157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 customFormat="false" ht="15" hidden="false" customHeight="true" outlineLevel="0" collapsed="false">
      <c r="A35" s="19" t="n">
        <v>850</v>
      </c>
      <c r="B35" s="117" t="n">
        <v>167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</row>
    <row r="36" customFormat="false" ht="15" hidden="false" customHeight="true" outlineLevel="0" collapsed="false">
      <c r="A36" s="19" t="n">
        <v>900</v>
      </c>
      <c r="B36" s="117" t="n">
        <v>194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</row>
    <row r="37" customFormat="false" ht="15" hidden="false" customHeight="true" outlineLevel="0" collapsed="false">
      <c r="A37" s="19" t="n">
        <v>1000</v>
      </c>
      <c r="B37" s="117" t="n">
        <v>255</v>
      </c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 customFormat="false" ht="15" hidden="false" customHeight="true" outlineLevel="0" collapsed="false">
      <c r="A38" s="19" t="n">
        <v>1100</v>
      </c>
      <c r="B38" s="117" t="n">
        <v>303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</row>
    <row r="39" customFormat="false" ht="15" hidden="false" customHeight="true" outlineLevel="0" collapsed="false">
      <c r="A39" s="19" t="n">
        <v>1200</v>
      </c>
      <c r="B39" s="117" t="n">
        <v>354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</row>
    <row r="40" customFormat="false" ht="15" hidden="false" customHeight="true" outlineLevel="0" collapsed="false">
      <c r="A40" s="19" t="n">
        <v>1350</v>
      </c>
      <c r="B40" s="117" t="n">
        <v>426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</row>
    <row r="41" customFormat="false" ht="15" hidden="false" customHeight="true" outlineLevel="0" collapsed="false">
      <c r="A41" s="19" t="n">
        <v>1500</v>
      </c>
      <c r="B41" s="117" t="n">
        <v>488</v>
      </c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</row>
    <row r="43" customFormat="false" ht="15" hidden="false" customHeight="true" outlineLevel="0" collapsed="false">
      <c r="A43" s="3" t="s">
        <v>1600</v>
      </c>
    </row>
    <row r="44" customFormat="false" ht="15" hidden="false" customHeight="true" outlineLevel="0" collapsed="false">
      <c r="A44" s="29" t="s">
        <v>1601</v>
      </c>
    </row>
  </sheetData>
  <mergeCells count="4">
    <mergeCell ref="A4:A6"/>
    <mergeCell ref="C4:I4"/>
    <mergeCell ref="J4:P4"/>
    <mergeCell ref="Q4:W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52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9" min="9" style="1" width="16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2" min="12" style="1" width="8"/>
    <col collapsed="false" customWidth="true" hidden="false" outlineLevel="0" max="13" min="13" style="1" width="14"/>
    <col collapsed="false" customWidth="true" hidden="false" outlineLevel="0" max="14" min="14" style="1" width="8"/>
  </cols>
  <sheetData>
    <row r="1" customFormat="false" ht="21" hidden="false" customHeight="true" outlineLevel="0" collapsed="false">
      <c r="A1" s="30" t="s">
        <v>1602</v>
      </c>
    </row>
    <row r="2" customFormat="false" ht="15" hidden="false" customHeight="true" outlineLevel="0" collapsed="false">
      <c r="A2" s="3" t="s">
        <v>1603</v>
      </c>
    </row>
    <row r="4" customFormat="false" ht="25.5" hidden="false" customHeight="true" outlineLevel="0" collapsed="false">
      <c r="A4" s="4" t="s">
        <v>192</v>
      </c>
      <c r="B4" s="4" t="s">
        <v>1604</v>
      </c>
      <c r="C4" s="4" t="s">
        <v>1605</v>
      </c>
      <c r="D4" s="4" t="s">
        <v>1606</v>
      </c>
      <c r="E4" s="4" t="s">
        <v>1607</v>
      </c>
      <c r="F4" s="4" t="s">
        <v>475</v>
      </c>
      <c r="G4" s="4" t="s">
        <v>1608</v>
      </c>
      <c r="H4" s="4" t="s">
        <v>475</v>
      </c>
      <c r="I4" s="4" t="s">
        <v>1609</v>
      </c>
      <c r="J4" s="4" t="s">
        <v>475</v>
      </c>
      <c r="K4" s="4" t="s">
        <v>1610</v>
      </c>
      <c r="L4" s="4" t="s">
        <v>475</v>
      </c>
      <c r="M4" s="4" t="s">
        <v>1611</v>
      </c>
      <c r="N4" s="4" t="s">
        <v>475</v>
      </c>
    </row>
    <row r="6" customFormat="false" ht="29.25" hidden="false" customHeight="true" outlineLevel="0" collapsed="false">
      <c r="A6" s="121" t="s">
        <v>1612</v>
      </c>
      <c r="B6" s="7" t="s">
        <v>1613</v>
      </c>
      <c r="C6" s="122" t="n">
        <f aca="false">MAX(기본물량산출!$R$6:$R$13)</f>
        <v>0</v>
      </c>
      <c r="D6" s="7" t="s">
        <v>1614</v>
      </c>
      <c r="E6" s="16"/>
      <c r="F6" s="19"/>
      <c r="G6" s="16"/>
      <c r="H6" s="19"/>
      <c r="I6" s="16"/>
      <c r="J6" s="19"/>
      <c r="K6" s="16"/>
      <c r="L6" s="19"/>
      <c r="M6" s="16"/>
      <c r="N6" s="19"/>
    </row>
    <row r="7" customFormat="false" ht="15" hidden="false" customHeight="true" outlineLevel="0" collapsed="false">
      <c r="A7" s="121" t="s">
        <v>1615</v>
      </c>
      <c r="B7" s="7" t="s">
        <v>1616</v>
      </c>
      <c r="C7" s="67" t="n">
        <v>0</v>
      </c>
      <c r="D7" s="7" t="s">
        <v>1617</v>
      </c>
      <c r="E7" s="16"/>
      <c r="F7" s="19"/>
      <c r="G7" s="16"/>
      <c r="H7" s="19"/>
      <c r="I7" s="16"/>
      <c r="J7" s="19"/>
      <c r="K7" s="16"/>
      <c r="L7" s="19"/>
      <c r="M7" s="16"/>
      <c r="N7" s="19"/>
    </row>
    <row r="8" customFormat="false" ht="29.25" hidden="false" customHeight="true" outlineLevel="0" collapsed="false">
      <c r="A8" s="121" t="s">
        <v>310</v>
      </c>
      <c r="B8" s="7" t="s">
        <v>1618</v>
      </c>
      <c r="C8" s="58" t="n">
        <f aca="false">IFERROR(INDEX($F$22:$F$26,MATCH($F$8,$E$22:$E$26,0)),0)</f>
        <v>0.15</v>
      </c>
      <c r="D8" s="7" t="s">
        <v>1619</v>
      </c>
      <c r="E8" s="7" t="s">
        <v>1620</v>
      </c>
      <c r="F8" s="20" t="s">
        <v>1621</v>
      </c>
      <c r="G8" s="16"/>
      <c r="H8" s="19"/>
      <c r="I8" s="16"/>
      <c r="J8" s="19"/>
      <c r="K8" s="16"/>
      <c r="L8" s="19"/>
      <c r="M8" s="16"/>
      <c r="N8" s="19"/>
    </row>
    <row r="9" customFormat="false" ht="15" hidden="false" customHeight="true" outlineLevel="0" collapsed="false">
      <c r="A9" s="121" t="s">
        <v>1622</v>
      </c>
      <c r="B9" s="7" t="s">
        <v>1623</v>
      </c>
      <c r="C9" s="67" t="n">
        <v>0</v>
      </c>
      <c r="D9" s="7" t="s">
        <v>1624</v>
      </c>
      <c r="E9" s="16"/>
      <c r="F9" s="19"/>
      <c r="G9" s="16"/>
      <c r="H9" s="19"/>
      <c r="I9" s="16"/>
      <c r="J9" s="19"/>
      <c r="K9" s="16"/>
      <c r="L9" s="19"/>
      <c r="M9" s="16"/>
      <c r="N9" s="19"/>
    </row>
    <row r="10" customFormat="false" ht="15" hidden="false" customHeight="true" outlineLevel="0" collapsed="false">
      <c r="A10" s="121" t="s">
        <v>1625</v>
      </c>
      <c r="B10" s="7" t="s">
        <v>1626</v>
      </c>
      <c r="C10" s="58" t="n">
        <f aca="false">IF(N($H$10)&gt;0,N($F$10)/$H$10*0.5,0)</f>
        <v>0</v>
      </c>
      <c r="D10" s="16" t="s">
        <v>1627</v>
      </c>
      <c r="E10" s="16" t="s">
        <v>1628</v>
      </c>
      <c r="F10" s="109" t="n">
        <v>0</v>
      </c>
      <c r="G10" s="16" t="s">
        <v>1629</v>
      </c>
      <c r="H10" s="109" t="n">
        <v>40</v>
      </c>
      <c r="I10" s="16"/>
      <c r="J10" s="19"/>
      <c r="K10" s="16"/>
      <c r="L10" s="19"/>
      <c r="M10" s="16"/>
      <c r="N10" s="19"/>
    </row>
    <row r="11" customFormat="false" ht="15" hidden="false" customHeight="true" outlineLevel="0" collapsed="false">
      <c r="A11" s="121" t="s">
        <v>1630</v>
      </c>
      <c r="B11" s="16" t="s">
        <v>1631</v>
      </c>
      <c r="C11" s="58" t="n">
        <f aca="false">C12+C13+C14</f>
        <v>0</v>
      </c>
      <c r="D11" s="16" t="s">
        <v>1632</v>
      </c>
      <c r="E11" s="16"/>
      <c r="F11" s="19"/>
      <c r="G11" s="16"/>
      <c r="H11" s="19"/>
      <c r="I11" s="16"/>
      <c r="J11" s="19"/>
      <c r="K11" s="16"/>
      <c r="L11" s="19"/>
      <c r="M11" s="16"/>
      <c r="N11" s="19"/>
    </row>
    <row r="12" customFormat="false" ht="29.25" hidden="false" customHeight="true" outlineLevel="0" collapsed="false">
      <c r="A12" s="121" t="s">
        <v>1633</v>
      </c>
      <c r="B12" s="16" t="s">
        <v>1634</v>
      </c>
      <c r="C12" s="58" t="n">
        <f aca="false">IF(N($J$12)&gt;0,0.25*0.5*N($L$12)/$J$12*7,0)</f>
        <v>0</v>
      </c>
      <c r="D12" s="16" t="s">
        <v>1635</v>
      </c>
      <c r="E12" s="7" t="s">
        <v>1636</v>
      </c>
      <c r="F12" s="109" t="n">
        <v>0</v>
      </c>
      <c r="G12" s="7" t="s">
        <v>1637</v>
      </c>
      <c r="H12" s="109" t="n">
        <v>0</v>
      </c>
      <c r="I12" s="16" t="s">
        <v>1638</v>
      </c>
      <c r="J12" s="110" t="n">
        <v>0</v>
      </c>
      <c r="K12" s="7" t="s">
        <v>1639</v>
      </c>
      <c r="L12" s="110" t="n">
        <v>0</v>
      </c>
      <c r="M12" s="16"/>
      <c r="N12" s="19"/>
    </row>
    <row r="13" customFormat="false" ht="29.25" hidden="false" customHeight="true" outlineLevel="0" collapsed="false">
      <c r="A13" s="121" t="s">
        <v>1640</v>
      </c>
      <c r="B13" s="16" t="s">
        <v>1641</v>
      </c>
      <c r="C13" s="58" t="n">
        <f aca="false">IF(N($J$13)&gt;0,N($J$13)*0.5/(40+N($J$13)),0)</f>
        <v>0</v>
      </c>
      <c r="D13" s="16" t="s">
        <v>1642</v>
      </c>
      <c r="E13" s="7" t="s">
        <v>1636</v>
      </c>
      <c r="F13" s="109" t="n">
        <v>0</v>
      </c>
      <c r="G13" s="7" t="s">
        <v>1637</v>
      </c>
      <c r="H13" s="109" t="n">
        <v>0</v>
      </c>
      <c r="I13" s="16" t="s">
        <v>1643</v>
      </c>
      <c r="J13" s="110" t="n">
        <v>0</v>
      </c>
      <c r="K13" s="16"/>
      <c r="L13" s="19"/>
      <c r="M13" s="16"/>
      <c r="N13" s="19"/>
    </row>
    <row r="14" customFormat="false" ht="26.25" hidden="false" customHeight="true" outlineLevel="0" collapsed="false">
      <c r="A14" s="121" t="s">
        <v>1644</v>
      </c>
      <c r="B14" s="16" t="s">
        <v>1645</v>
      </c>
      <c r="C14" s="58" t="n">
        <f aca="false">IF(N($N$14)&gt;0,N($L$14)/$N$14*0.5*(N($J$14)/8),0)</f>
        <v>0</v>
      </c>
      <c r="D14" s="16" t="s">
        <v>1646</v>
      </c>
      <c r="E14" s="7" t="s">
        <v>1636</v>
      </c>
      <c r="F14" s="109" t="n">
        <v>0</v>
      </c>
      <c r="G14" s="7" t="s">
        <v>1637</v>
      </c>
      <c r="H14" s="109" t="n">
        <v>0</v>
      </c>
      <c r="I14" s="16" t="s">
        <v>1647</v>
      </c>
      <c r="J14" s="110" t="n">
        <v>0</v>
      </c>
      <c r="K14" s="7" t="s">
        <v>1648</v>
      </c>
      <c r="L14" s="109" t="n">
        <v>3</v>
      </c>
      <c r="M14" s="7" t="s">
        <v>1649</v>
      </c>
      <c r="N14" s="109" t="n">
        <v>21</v>
      </c>
    </row>
    <row r="15" customFormat="false" ht="29.25" hidden="false" customHeight="true" outlineLevel="0" collapsed="false">
      <c r="A15" s="121" t="s">
        <v>1650</v>
      </c>
      <c r="B15" s="7" t="s">
        <v>1651</v>
      </c>
      <c r="C15" s="58" t="n">
        <f aca="false">IF(AND(N($J$15)&gt;0,N($N$15)&gt;0),N($L$15)/$N$15*0.5,0)</f>
        <v>0</v>
      </c>
      <c r="D15" s="16" t="s">
        <v>1652</v>
      </c>
      <c r="E15" s="7" t="s">
        <v>1636</v>
      </c>
      <c r="F15" s="109" t="n">
        <v>0</v>
      </c>
      <c r="G15" s="7" t="s">
        <v>1637</v>
      </c>
      <c r="H15" s="109" t="n">
        <v>0</v>
      </c>
      <c r="I15" s="16" t="s">
        <v>1647</v>
      </c>
      <c r="J15" s="110" t="n">
        <v>0</v>
      </c>
      <c r="K15" s="7" t="s">
        <v>1648</v>
      </c>
      <c r="L15" s="109" t="n">
        <v>1</v>
      </c>
      <c r="M15" s="7" t="s">
        <v>1649</v>
      </c>
      <c r="N15" s="109" t="n">
        <v>60</v>
      </c>
    </row>
    <row r="16" customFormat="false" ht="26.25" hidden="false" customHeight="true" outlineLevel="0" collapsed="false">
      <c r="A16" s="121" t="s">
        <v>1653</v>
      </c>
      <c r="B16" s="7" t="s">
        <v>1654</v>
      </c>
      <c r="C16" s="58" t="n">
        <f aca="false">IF(N($F$16)&gt;=2,0.2,IF(N($F$16)&gt;=0.5,0.1,0))*N($H$16)</f>
        <v>0</v>
      </c>
      <c r="D16" s="16" t="s">
        <v>1655</v>
      </c>
      <c r="E16" s="7" t="s">
        <v>1656</v>
      </c>
      <c r="F16" s="110" t="n">
        <v>0.5</v>
      </c>
      <c r="G16" s="7" t="s">
        <v>1657</v>
      </c>
      <c r="H16" s="70" t="n">
        <v>0</v>
      </c>
      <c r="I16" s="16"/>
      <c r="J16" s="19"/>
      <c r="K16" s="16"/>
      <c r="L16" s="19"/>
      <c r="M16" s="16"/>
      <c r="N16" s="19"/>
    </row>
    <row r="17" customFormat="false" ht="15" hidden="false" customHeight="true" outlineLevel="0" collapsed="false">
      <c r="A17" s="44" t="s">
        <v>1658</v>
      </c>
      <c r="B17" s="5" t="s">
        <v>1659</v>
      </c>
      <c r="C17" s="123" t="n">
        <f aca="false">C6+C7+C8+C9+C10+C11+C15+C16</f>
        <v>0.15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20" customFormat="false" ht="15" hidden="false" customHeight="true" outlineLevel="0" collapsed="false">
      <c r="A20" s="91" t="s">
        <v>1660</v>
      </c>
    </row>
    <row r="21" customFormat="false" ht="15" hidden="false" customHeight="true" outlineLevel="0" collapsed="false">
      <c r="E21" s="4" t="s">
        <v>1661</v>
      </c>
      <c r="F21" s="4" t="s">
        <v>232</v>
      </c>
    </row>
    <row r="22" customFormat="false" ht="15" hidden="false" customHeight="true" outlineLevel="0" collapsed="false">
      <c r="E22" s="42" t="s">
        <v>1662</v>
      </c>
      <c r="F22" s="40" t="n">
        <v>0.3</v>
      </c>
    </row>
    <row r="23" customFormat="false" ht="15" hidden="false" customHeight="true" outlineLevel="0" collapsed="false">
      <c r="E23" s="42" t="s">
        <v>1663</v>
      </c>
      <c r="F23" s="40" t="n">
        <v>0.2</v>
      </c>
    </row>
    <row r="24" customFormat="false" ht="15" hidden="false" customHeight="true" outlineLevel="0" collapsed="false">
      <c r="E24" s="42" t="s">
        <v>1664</v>
      </c>
      <c r="F24" s="40" t="n">
        <v>0.1</v>
      </c>
    </row>
    <row r="25" customFormat="false" ht="15" hidden="false" customHeight="true" outlineLevel="0" collapsed="false">
      <c r="E25" s="42" t="s">
        <v>1665</v>
      </c>
      <c r="F25" s="40" t="n">
        <v>0.1</v>
      </c>
    </row>
    <row r="26" customFormat="false" ht="15" hidden="false" customHeight="true" outlineLevel="0" collapsed="false">
      <c r="E26" s="42" t="s">
        <v>1621</v>
      </c>
      <c r="F26" s="40" t="n">
        <v>0.15</v>
      </c>
    </row>
    <row r="28" customFormat="false" ht="15" hidden="false" customHeight="true" outlineLevel="0" collapsed="false">
      <c r="A28" s="3" t="s">
        <v>1666</v>
      </c>
    </row>
    <row r="29" customFormat="false" ht="15" hidden="false" customHeight="true" outlineLevel="0" collapsed="false">
      <c r="A29" s="3" t="s">
        <v>1667</v>
      </c>
    </row>
  </sheetData>
  <dataValidations count="1">
    <dataValidation allowBlank="false" errorStyle="stop" operator="between" showDropDown="false" showErrorMessage="false" showInputMessage="false" sqref="F8" type="list">
      <formula1>$E$22:$E$26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5" min="4" style="1" width="16"/>
  </cols>
  <sheetData>
    <row r="1" customFormat="false" ht="19.5" hidden="false" customHeight="true" outlineLevel="0" collapsed="false">
      <c r="A1" s="49" t="s">
        <v>1668</v>
      </c>
    </row>
    <row r="2" customFormat="false" ht="15" hidden="false" customHeight="true" outlineLevel="0" collapsed="false">
      <c r="A2" s="3" t="s">
        <v>1669</v>
      </c>
    </row>
    <row r="3" customFormat="false" ht="15" hidden="false" customHeight="true" outlineLevel="0" collapsed="false">
      <c r="A3" s="50" t="s">
        <v>1670</v>
      </c>
    </row>
    <row r="4" customFormat="false" ht="15" hidden="false" customHeight="true" outlineLevel="0" collapsed="false">
      <c r="A4" s="4" t="s">
        <v>1671</v>
      </c>
      <c r="B4" s="4" t="s">
        <v>1672</v>
      </c>
      <c r="C4" s="4" t="s">
        <v>921</v>
      </c>
      <c r="D4" s="4" t="s">
        <v>143</v>
      </c>
      <c r="E4" s="4" t="s">
        <v>14</v>
      </c>
    </row>
    <row r="5" customFormat="false" ht="15" hidden="false" customHeight="true" outlineLevel="0" collapsed="false">
      <c r="A5" s="19" t="n">
        <v>0</v>
      </c>
      <c r="B5" s="19" t="n">
        <v>0.5</v>
      </c>
      <c r="C5" s="19" t="n">
        <v>4</v>
      </c>
      <c r="D5" s="19" t="n">
        <v>3</v>
      </c>
      <c r="E5" s="19" t="n">
        <v>2</v>
      </c>
    </row>
    <row r="6" customFormat="false" ht="15" hidden="false" customHeight="true" outlineLevel="0" collapsed="false">
      <c r="A6" s="19" t="n">
        <v>0.5</v>
      </c>
      <c r="B6" s="19" t="n">
        <v>1</v>
      </c>
      <c r="C6" s="19" t="n">
        <v>6</v>
      </c>
      <c r="D6" s="19" t="n">
        <v>5</v>
      </c>
      <c r="E6" s="19" t="n">
        <v>4</v>
      </c>
    </row>
    <row r="7" customFormat="false" ht="15" hidden="false" customHeight="true" outlineLevel="0" collapsed="false">
      <c r="A7" s="19" t="n">
        <v>1</v>
      </c>
      <c r="B7" s="19" t="n">
        <v>2</v>
      </c>
      <c r="C7" s="19" t="n">
        <v>8</v>
      </c>
      <c r="D7" s="19" t="n">
        <v>7</v>
      </c>
      <c r="E7" s="19" t="n">
        <v>6</v>
      </c>
    </row>
    <row r="8" customFormat="false" ht="15" hidden="false" customHeight="true" outlineLevel="0" collapsed="false">
      <c r="A8" s="19" t="n">
        <v>2</v>
      </c>
      <c r="B8" s="19" t="n">
        <v>3</v>
      </c>
      <c r="C8" s="19" t="n">
        <v>11</v>
      </c>
      <c r="D8" s="19" t="n">
        <v>10</v>
      </c>
      <c r="E8" s="19" t="n">
        <v>8</v>
      </c>
    </row>
    <row r="9" customFormat="false" ht="15" hidden="false" customHeight="true" outlineLevel="0" collapsed="false">
      <c r="A9" s="19" t="n">
        <v>3</v>
      </c>
      <c r="B9" s="19" t="n">
        <v>5</v>
      </c>
      <c r="C9" s="19" t="n">
        <v>16</v>
      </c>
      <c r="D9" s="19" t="n">
        <v>15</v>
      </c>
      <c r="E9" s="19" t="n">
        <v>12</v>
      </c>
    </row>
    <row r="10" customFormat="false" ht="15" hidden="false" customHeight="true" outlineLevel="0" collapsed="false">
      <c r="A10" s="19" t="n">
        <v>5</v>
      </c>
      <c r="B10" s="19" t="n">
        <v>10</v>
      </c>
      <c r="C10" s="19" t="n">
        <v>24</v>
      </c>
      <c r="D10" s="19" t="n">
        <v>23</v>
      </c>
      <c r="E10" s="19" t="n">
        <v>12</v>
      </c>
    </row>
    <row r="11" customFormat="false" ht="15" hidden="false" customHeight="true" outlineLevel="0" collapsed="false">
      <c r="A11" s="19" t="n">
        <v>10</v>
      </c>
      <c r="B11" s="19" t="n">
        <v>15</v>
      </c>
      <c r="C11" s="19" t="n">
        <v>30</v>
      </c>
      <c r="D11" s="19" t="n">
        <v>28</v>
      </c>
      <c r="E11" s="19" t="n">
        <v>12</v>
      </c>
    </row>
    <row r="12" customFormat="false" ht="15" hidden="false" customHeight="true" outlineLevel="0" collapsed="false">
      <c r="A12" s="19" t="n">
        <v>15</v>
      </c>
      <c r="B12" s="19" t="n">
        <v>20</v>
      </c>
      <c r="C12" s="19" t="n">
        <v>35</v>
      </c>
      <c r="D12" s="19" t="n">
        <v>28</v>
      </c>
      <c r="E12" s="19" t="n">
        <v>12</v>
      </c>
    </row>
    <row r="13" customFormat="false" ht="15" hidden="false" customHeight="true" outlineLevel="0" collapsed="false">
      <c r="A13" s="19" t="n">
        <v>20</v>
      </c>
      <c r="B13" s="19" t="n">
        <v>30</v>
      </c>
      <c r="C13" s="19" t="n">
        <v>40</v>
      </c>
      <c r="D13" s="19" t="n">
        <v>28</v>
      </c>
      <c r="E13" s="19" t="n">
        <v>12</v>
      </c>
    </row>
    <row r="14" customFormat="false" ht="15" hidden="false" customHeight="true" outlineLevel="0" collapsed="false">
      <c r="A14" s="19" t="n">
        <v>30</v>
      </c>
      <c r="B14" s="19" t="n">
        <v>40</v>
      </c>
      <c r="C14" s="19" t="n">
        <v>50</v>
      </c>
      <c r="D14" s="19" t="n">
        <v>28</v>
      </c>
      <c r="E14" s="19" t="n">
        <v>12</v>
      </c>
    </row>
    <row r="15" customFormat="false" ht="15" hidden="false" customHeight="true" outlineLevel="0" collapsed="false">
      <c r="A15" s="19" t="n">
        <v>40</v>
      </c>
      <c r="B15" s="19" t="n">
        <v>50</v>
      </c>
      <c r="C15" s="19" t="n">
        <v>60</v>
      </c>
      <c r="D15" s="19" t="n">
        <v>28</v>
      </c>
      <c r="E15" s="19" t="n">
        <v>12</v>
      </c>
    </row>
    <row r="16" customFormat="false" ht="15" hidden="false" customHeight="true" outlineLevel="0" collapsed="false">
      <c r="A16" s="19" t="n">
        <v>50</v>
      </c>
      <c r="B16" s="22" t="s">
        <v>1673</v>
      </c>
      <c r="C16" s="19" t="n">
        <v>70</v>
      </c>
      <c r="D16" s="19" t="n">
        <v>28</v>
      </c>
      <c r="E16" s="19" t="n">
        <v>12</v>
      </c>
    </row>
    <row r="18" customFormat="false" ht="15" hidden="false" customHeight="true" outlineLevel="0" collapsed="false">
      <c r="A18" s="50" t="s">
        <v>1674</v>
      </c>
    </row>
    <row r="19" customFormat="false" ht="15" hidden="false" customHeight="true" outlineLevel="0" collapsed="false">
      <c r="A19" s="4" t="s">
        <v>123</v>
      </c>
      <c r="B19" s="4" t="s">
        <v>1675</v>
      </c>
    </row>
    <row r="20" customFormat="false" ht="15" hidden="false" customHeight="true" outlineLevel="0" collapsed="false">
      <c r="A20" s="22" t="s">
        <v>142</v>
      </c>
      <c r="B20" s="40" t="n">
        <v>1</v>
      </c>
    </row>
    <row r="21" customFormat="false" ht="15" hidden="false" customHeight="true" outlineLevel="0" collapsed="false">
      <c r="A21" s="22" t="s">
        <v>148</v>
      </c>
      <c r="B21" s="40" t="n">
        <v>0.5</v>
      </c>
    </row>
    <row r="22" customFormat="false" ht="15" hidden="false" customHeight="true" outlineLevel="0" collapsed="false">
      <c r="A22" s="22" t="s">
        <v>151</v>
      </c>
      <c r="B22" s="40" t="n">
        <v>1.25</v>
      </c>
    </row>
    <row r="24" customFormat="false" ht="15" hidden="false" customHeight="true" outlineLevel="0" collapsed="false">
      <c r="A24" s="50" t="s">
        <v>1676</v>
      </c>
    </row>
    <row r="25" customFormat="false" ht="15" hidden="false" customHeight="true" outlineLevel="0" collapsed="false">
      <c r="A25" s="4" t="s">
        <v>1677</v>
      </c>
      <c r="B25" s="4" t="s">
        <v>1678</v>
      </c>
      <c r="C25" s="4" t="s">
        <v>1679</v>
      </c>
      <c r="D25" s="4" t="s">
        <v>1680</v>
      </c>
      <c r="E25" s="4" t="s">
        <v>1681</v>
      </c>
    </row>
    <row r="26" customFormat="false" ht="15" hidden="false" customHeight="true" outlineLevel="0" collapsed="false">
      <c r="A26" s="19" t="n">
        <v>0</v>
      </c>
      <c r="B26" s="6" t="s">
        <v>9</v>
      </c>
      <c r="C26" s="40" t="n">
        <v>0</v>
      </c>
      <c r="D26" s="6" t="s">
        <v>9</v>
      </c>
      <c r="E26" s="40" t="n">
        <v>0</v>
      </c>
    </row>
    <row r="27" customFormat="false" ht="15" hidden="false" customHeight="true" outlineLevel="0" collapsed="false">
      <c r="A27" s="19" t="n">
        <v>10</v>
      </c>
      <c r="B27" s="6" t="s">
        <v>1682</v>
      </c>
      <c r="C27" s="40" t="n">
        <v>0.05</v>
      </c>
      <c r="D27" s="6" t="s">
        <v>1683</v>
      </c>
      <c r="E27" s="40" t="n">
        <v>0.04</v>
      </c>
    </row>
    <row r="28" customFormat="false" ht="15" hidden="false" customHeight="true" outlineLevel="0" collapsed="false">
      <c r="A28" s="19" t="n">
        <v>20</v>
      </c>
      <c r="B28" s="6" t="s">
        <v>1684</v>
      </c>
      <c r="C28" s="40" t="n">
        <v>0.08</v>
      </c>
      <c r="D28" s="6" t="s">
        <v>1685</v>
      </c>
      <c r="E28" s="40" t="n">
        <v>0.06</v>
      </c>
    </row>
    <row r="29" customFormat="false" ht="15" hidden="false" customHeight="true" outlineLevel="0" collapsed="false">
      <c r="A29" s="19" t="n">
        <v>30</v>
      </c>
      <c r="B29" s="6" t="s">
        <v>1686</v>
      </c>
      <c r="C29" s="40" t="n">
        <v>0.12</v>
      </c>
      <c r="D29" s="6" t="s">
        <v>1687</v>
      </c>
      <c r="E29" s="40" t="n">
        <v>0.08</v>
      </c>
    </row>
    <row r="30" customFormat="false" ht="15" hidden="false" customHeight="true" outlineLevel="0" collapsed="false">
      <c r="A30" s="19" t="n">
        <v>40</v>
      </c>
      <c r="B30" s="6" t="s">
        <v>1688</v>
      </c>
      <c r="C30" s="40" t="n">
        <v>0.16</v>
      </c>
      <c r="D30" s="6" t="s">
        <v>1689</v>
      </c>
      <c r="E30" s="40" t="n">
        <v>0.1</v>
      </c>
    </row>
    <row r="31" customFormat="false" ht="15" hidden="false" customHeight="true" outlineLevel="0" collapsed="false">
      <c r="A31" s="19" t="n">
        <v>50</v>
      </c>
      <c r="B31" s="6" t="s">
        <v>1690</v>
      </c>
      <c r="C31" s="40" t="n">
        <v>0.2</v>
      </c>
      <c r="D31" s="6" t="s">
        <v>1691</v>
      </c>
      <c r="E31" s="40" t="n">
        <v>0.12</v>
      </c>
    </row>
    <row r="32" customFormat="false" ht="15" hidden="false" customHeight="true" outlineLevel="0" collapsed="false">
      <c r="A32" s="19" t="n">
        <v>60</v>
      </c>
      <c r="B32" s="6" t="s">
        <v>1692</v>
      </c>
      <c r="C32" s="40" t="n">
        <v>0.24</v>
      </c>
      <c r="D32" s="6" t="s">
        <v>1693</v>
      </c>
      <c r="E32" s="40" t="n">
        <v>0.14</v>
      </c>
    </row>
    <row r="33" customFormat="false" ht="15" hidden="false" customHeight="true" outlineLevel="0" collapsed="false">
      <c r="A33" s="19" t="n">
        <v>70</v>
      </c>
      <c r="B33" s="6" t="s">
        <v>1694</v>
      </c>
      <c r="C33" s="40" t="n">
        <v>0.28</v>
      </c>
      <c r="D33" s="6" t="s">
        <v>1695</v>
      </c>
      <c r="E33" s="40" t="n">
        <v>0.16</v>
      </c>
    </row>
    <row r="34" customFormat="false" ht="15" hidden="false" customHeight="true" outlineLevel="0" collapsed="false">
      <c r="A34" s="19" t="n">
        <v>80</v>
      </c>
      <c r="B34" s="6" t="s">
        <v>1696</v>
      </c>
      <c r="C34" s="40" t="n">
        <v>0.32</v>
      </c>
      <c r="D34" s="6" t="s">
        <v>1697</v>
      </c>
      <c r="E34" s="40" t="n">
        <v>0.18</v>
      </c>
    </row>
    <row r="36" customFormat="false" ht="15" hidden="false" customHeight="true" outlineLevel="0" collapsed="false">
      <c r="A36" s="50" t="s">
        <v>1698</v>
      </c>
    </row>
    <row r="37" customFormat="false" ht="15" hidden="false" customHeight="true" outlineLevel="0" collapsed="false">
      <c r="A37" s="7" t="s">
        <v>1699</v>
      </c>
      <c r="B37" s="70" t="n">
        <v>0.7</v>
      </c>
    </row>
    <row r="38" customFormat="false" ht="15" hidden="false" customHeight="true" outlineLevel="0" collapsed="false">
      <c r="A38" s="7" t="s">
        <v>1700</v>
      </c>
      <c r="B38" s="19" t="n">
        <v>8</v>
      </c>
    </row>
    <row r="39" customFormat="false" ht="15" hidden="false" customHeight="true" outlineLevel="0" collapsed="false">
      <c r="A39" s="7" t="s">
        <v>1701</v>
      </c>
      <c r="B39" s="19" t="n">
        <v>4</v>
      </c>
    </row>
    <row r="41" customFormat="false" ht="15" hidden="false" customHeight="true" outlineLevel="0" collapsed="false">
      <c r="A41" s="29" t="s">
        <v>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95"/>
    <col collapsed="false" customWidth="true" hidden="false" outlineLevel="0" max="4" min="4" style="1" width="20"/>
    <col collapsed="false" customWidth="true" hidden="false" outlineLevel="0" max="5" min="5" style="1" width="90"/>
  </cols>
  <sheetData>
    <row r="1" customFormat="false" ht="15.75" hidden="false" customHeight="true" outlineLevel="0" collapsed="false">
      <c r="A1" s="49" t="s">
        <v>1703</v>
      </c>
    </row>
    <row r="3" customFormat="false" ht="15" hidden="false" customHeight="true" outlineLevel="0" collapsed="false">
      <c r="A3" s="31" t="s">
        <v>117</v>
      </c>
      <c r="B3" s="4" t="s">
        <v>192</v>
      </c>
      <c r="C3" s="4" t="s">
        <v>1704</v>
      </c>
      <c r="D3" s="4" t="s">
        <v>1705</v>
      </c>
      <c r="E3" s="4" t="s">
        <v>1706</v>
      </c>
    </row>
    <row r="4" customFormat="false" ht="43.5" hidden="false" customHeight="true" outlineLevel="0" collapsed="false">
      <c r="A4" s="6" t="n">
        <v>1</v>
      </c>
      <c r="B4" s="22" t="s">
        <v>1707</v>
      </c>
      <c r="C4" s="16" t="s">
        <v>1708</v>
      </c>
      <c r="D4" s="7" t="s">
        <v>1709</v>
      </c>
    </row>
    <row r="5" customFormat="false" ht="43.5" hidden="false" customHeight="true" outlineLevel="0" collapsed="false">
      <c r="A5" s="6" t="n">
        <v>2</v>
      </c>
      <c r="B5" s="22" t="s">
        <v>1710</v>
      </c>
      <c r="C5" s="7" t="s">
        <v>1711</v>
      </c>
      <c r="D5" s="7" t="s">
        <v>1712</v>
      </c>
    </row>
    <row r="6" customFormat="false" ht="43.5" hidden="false" customHeight="true" outlineLevel="0" collapsed="false">
      <c r="A6" s="6" t="n">
        <v>3</v>
      </c>
      <c r="B6" s="22" t="s">
        <v>1713</v>
      </c>
      <c r="C6" s="16" t="s">
        <v>1714</v>
      </c>
      <c r="D6" s="7" t="s">
        <v>1715</v>
      </c>
    </row>
    <row r="7" customFormat="false" ht="43.5" hidden="false" customHeight="true" outlineLevel="0" collapsed="false">
      <c r="A7" s="6" t="n">
        <v>4</v>
      </c>
      <c r="B7" s="22" t="s">
        <v>1713</v>
      </c>
      <c r="C7" s="7" t="s">
        <v>1716</v>
      </c>
      <c r="D7" s="7" t="s">
        <v>1717</v>
      </c>
    </row>
    <row r="8" customFormat="false" ht="43.5" hidden="false" customHeight="true" outlineLevel="0" collapsed="false">
      <c r="A8" s="6" t="n">
        <v>5</v>
      </c>
      <c r="B8" s="22" t="s">
        <v>1713</v>
      </c>
      <c r="C8" s="7" t="s">
        <v>1718</v>
      </c>
      <c r="D8" s="7" t="s">
        <v>1719</v>
      </c>
    </row>
    <row r="9" customFormat="false" ht="43.5" hidden="false" customHeight="true" outlineLevel="0" collapsed="false">
      <c r="A9" s="6" t="n">
        <v>6</v>
      </c>
      <c r="B9" s="22" t="s">
        <v>1720</v>
      </c>
      <c r="C9" s="7" t="s">
        <v>1721</v>
      </c>
      <c r="D9" s="16" t="s">
        <v>9</v>
      </c>
    </row>
    <row r="10" customFormat="false" ht="43.5" hidden="false" customHeight="true" outlineLevel="0" collapsed="false">
      <c r="A10" s="6" t="n">
        <v>7</v>
      </c>
      <c r="B10" s="22" t="s">
        <v>1720</v>
      </c>
      <c r="C10" s="7" t="s">
        <v>1722</v>
      </c>
      <c r="D10" s="7" t="s">
        <v>1723</v>
      </c>
    </row>
    <row r="11" customFormat="false" ht="43.5" hidden="false" customHeight="true" outlineLevel="0" collapsed="false">
      <c r="A11" s="6" t="n">
        <v>8</v>
      </c>
      <c r="B11" s="22" t="s">
        <v>1724</v>
      </c>
      <c r="C11" s="7" t="s">
        <v>1725</v>
      </c>
      <c r="D11" s="7" t="s">
        <v>1726</v>
      </c>
    </row>
    <row r="12" customFormat="false" ht="43.5" hidden="false" customHeight="true" outlineLevel="0" collapsed="false">
      <c r="A12" s="6" t="n">
        <v>9</v>
      </c>
      <c r="B12" s="22" t="s">
        <v>1727</v>
      </c>
      <c r="C12" s="7" t="s">
        <v>1728</v>
      </c>
      <c r="D12" s="7" t="s">
        <v>1709</v>
      </c>
    </row>
    <row r="13" customFormat="false" ht="43.5" hidden="false" customHeight="true" outlineLevel="0" collapsed="false">
      <c r="A13" s="6" t="n">
        <v>10</v>
      </c>
      <c r="B13" s="22" t="s">
        <v>1727</v>
      </c>
      <c r="C13" s="7" t="s">
        <v>1729</v>
      </c>
      <c r="D13" s="7" t="s">
        <v>1730</v>
      </c>
    </row>
    <row r="14" customFormat="false" ht="43.5" hidden="false" customHeight="true" outlineLevel="0" collapsed="false">
      <c r="A14" s="6" t="n">
        <v>11</v>
      </c>
      <c r="B14" s="22" t="s">
        <v>1727</v>
      </c>
      <c r="C14" s="7" t="s">
        <v>1731</v>
      </c>
      <c r="D14" s="7" t="s">
        <v>1732</v>
      </c>
    </row>
    <row r="15" customFormat="false" ht="43.5" hidden="false" customHeight="true" outlineLevel="0" collapsed="false">
      <c r="A15" s="6" t="n">
        <v>12</v>
      </c>
      <c r="B15" s="22" t="s">
        <v>1727</v>
      </c>
      <c r="C15" s="7" t="s">
        <v>1733</v>
      </c>
      <c r="D15" s="7" t="s">
        <v>1726</v>
      </c>
    </row>
    <row r="16" customFormat="false" ht="43.5" hidden="false" customHeight="true" outlineLevel="0" collapsed="false">
      <c r="A16" s="6" t="n">
        <v>13</v>
      </c>
      <c r="B16" s="22" t="s">
        <v>1734</v>
      </c>
      <c r="C16" s="16" t="s">
        <v>1735</v>
      </c>
      <c r="D16" s="7" t="s">
        <v>1736</v>
      </c>
    </row>
    <row r="17" customFormat="false" ht="45.75" hidden="false" customHeight="true" outlineLevel="0" collapsed="false">
      <c r="A17" s="6" t="n">
        <v>14</v>
      </c>
      <c r="B17" s="22" t="s">
        <v>1737</v>
      </c>
      <c r="C17" s="7" t="s">
        <v>1738</v>
      </c>
      <c r="D17" s="7" t="s">
        <v>1726</v>
      </c>
    </row>
    <row r="18" customFormat="false" ht="45.75" hidden="false" customHeight="true" outlineLevel="0" collapsed="false">
      <c r="A18" s="6" t="n">
        <v>15</v>
      </c>
      <c r="B18" s="22" t="s">
        <v>1737</v>
      </c>
      <c r="C18" s="7" t="s">
        <v>1739</v>
      </c>
      <c r="D18" s="7" t="s">
        <v>1740</v>
      </c>
    </row>
    <row r="19" customFormat="false" ht="45.75" hidden="false" customHeight="true" outlineLevel="0" collapsed="false">
      <c r="A19" s="6" t="n">
        <v>16</v>
      </c>
      <c r="B19" s="22" t="s">
        <v>1734</v>
      </c>
      <c r="C19" s="7" t="s">
        <v>1741</v>
      </c>
      <c r="D19" s="7" t="s">
        <v>1736</v>
      </c>
    </row>
    <row r="20" customFormat="false" ht="45.75" hidden="false" customHeight="true" outlineLevel="0" collapsed="false">
      <c r="A20" s="6" t="n">
        <v>17</v>
      </c>
      <c r="B20" s="22" t="s">
        <v>1734</v>
      </c>
      <c r="C20" s="16" t="s">
        <v>1742</v>
      </c>
      <c r="D20" s="7" t="s">
        <v>1736</v>
      </c>
    </row>
    <row r="21" customFormat="false" ht="45.75" hidden="false" customHeight="true" outlineLevel="0" collapsed="false">
      <c r="A21" s="6" t="n">
        <v>18</v>
      </c>
      <c r="B21" s="22" t="s">
        <v>1734</v>
      </c>
      <c r="C21" s="16" t="s">
        <v>1743</v>
      </c>
      <c r="D21" s="7" t="s">
        <v>1726</v>
      </c>
    </row>
    <row r="22" customFormat="false" ht="45.75" hidden="false" customHeight="true" outlineLevel="0" collapsed="false">
      <c r="A22" s="6" t="n">
        <v>19</v>
      </c>
      <c r="B22" s="22" t="s">
        <v>1720</v>
      </c>
      <c r="C22" s="16" t="s">
        <v>1744</v>
      </c>
      <c r="D22" s="7" t="s">
        <v>1745</v>
      </c>
    </row>
    <row r="23" customFormat="false" ht="45.75" hidden="false" customHeight="true" outlineLevel="0" collapsed="false">
      <c r="A23" s="6" t="n">
        <v>20</v>
      </c>
      <c r="B23" s="22" t="s">
        <v>1746</v>
      </c>
      <c r="C23" s="7" t="s">
        <v>1747</v>
      </c>
      <c r="D23" s="7" t="s">
        <v>1709</v>
      </c>
    </row>
    <row r="24" customFormat="false" ht="45.75" hidden="false" customHeight="true" outlineLevel="0" collapsed="false">
      <c r="A24" s="6" t="n">
        <v>21</v>
      </c>
      <c r="B24" s="22" t="s">
        <v>1734</v>
      </c>
      <c r="C24" s="16" t="s">
        <v>1748</v>
      </c>
      <c r="D24" s="7" t="s">
        <v>1732</v>
      </c>
    </row>
    <row r="25" customFormat="false" ht="45.75" hidden="false" customHeight="true" outlineLevel="0" collapsed="false">
      <c r="A25" s="6" t="n">
        <v>22</v>
      </c>
      <c r="B25" s="22" t="s">
        <v>1746</v>
      </c>
      <c r="C25" s="7" t="s">
        <v>1749</v>
      </c>
      <c r="D25" s="7" t="s">
        <v>1709</v>
      </c>
    </row>
    <row r="26" customFormat="false" ht="129.75" hidden="false" customHeight="true" outlineLevel="0" collapsed="false">
      <c r="A26" s="6" t="n">
        <v>23</v>
      </c>
      <c r="B26" s="22" t="s">
        <v>1734</v>
      </c>
      <c r="C26" s="16" t="s">
        <v>1750</v>
      </c>
      <c r="D26" s="7" t="s">
        <v>1751</v>
      </c>
      <c r="E26" s="124" t="s">
        <v>1752</v>
      </c>
    </row>
    <row r="27" customFormat="false" ht="45.75" hidden="false" customHeight="true" outlineLevel="0" collapsed="false">
      <c r="A27" s="6" t="n">
        <v>24</v>
      </c>
      <c r="B27" s="22" t="s">
        <v>1720</v>
      </c>
      <c r="C27" s="16" t="s">
        <v>1753</v>
      </c>
      <c r="D27" s="7" t="s">
        <v>1745</v>
      </c>
    </row>
    <row r="28" customFormat="false" ht="45.75" hidden="false" customHeight="true" outlineLevel="0" collapsed="false">
      <c r="A28" s="6" t="n">
        <v>25</v>
      </c>
      <c r="B28" s="22" t="s">
        <v>1754</v>
      </c>
      <c r="C28" s="7" t="s">
        <v>1755</v>
      </c>
      <c r="D28" s="7" t="s">
        <v>1726</v>
      </c>
    </row>
    <row r="29" customFormat="false" ht="45.75" hidden="false" customHeight="true" outlineLevel="0" collapsed="false">
      <c r="A29" s="6" t="n">
        <v>26</v>
      </c>
      <c r="B29" s="22" t="s">
        <v>1734</v>
      </c>
      <c r="C29" s="7" t="s">
        <v>1756</v>
      </c>
      <c r="D29" s="7" t="s">
        <v>1734</v>
      </c>
    </row>
    <row r="30" customFormat="false" ht="45.75" hidden="false" customHeight="true" outlineLevel="0" collapsed="false">
      <c r="A30" s="6" t="n">
        <v>27</v>
      </c>
      <c r="B30" s="22" t="s">
        <v>1757</v>
      </c>
      <c r="C30" s="7" t="s">
        <v>1758</v>
      </c>
      <c r="D30" s="7" t="s">
        <v>1726</v>
      </c>
    </row>
    <row r="31" customFormat="false" ht="45.75" hidden="false" customHeight="true" outlineLevel="0" collapsed="false">
      <c r="A31" s="6" t="n">
        <v>28</v>
      </c>
      <c r="B31" s="22" t="s">
        <v>1734</v>
      </c>
      <c r="C31" s="7" t="s">
        <v>1759</v>
      </c>
      <c r="D31" s="7" t="s">
        <v>1736</v>
      </c>
    </row>
    <row r="32" customFormat="false" ht="45.75" hidden="false" customHeight="true" outlineLevel="0" collapsed="false">
      <c r="A32" s="6" t="n">
        <v>29</v>
      </c>
      <c r="B32" s="22" t="s">
        <v>1720</v>
      </c>
      <c r="C32" s="16" t="s">
        <v>1760</v>
      </c>
      <c r="D32" s="7" t="s">
        <v>1709</v>
      </c>
    </row>
    <row r="33" customFormat="false" ht="45.75" hidden="false" customHeight="true" outlineLevel="0" collapsed="false">
      <c r="A33" s="6" t="n">
        <v>30</v>
      </c>
      <c r="B33" s="22" t="s">
        <v>1761</v>
      </c>
      <c r="C33" s="7" t="s">
        <v>1762</v>
      </c>
      <c r="D33" s="7" t="s">
        <v>1726</v>
      </c>
    </row>
    <row r="34" customFormat="false" ht="45.75" hidden="false" customHeight="true" outlineLevel="0" collapsed="false">
      <c r="A34" s="6" t="n">
        <v>31</v>
      </c>
      <c r="B34" s="22" t="s">
        <v>1763</v>
      </c>
      <c r="C34" s="7" t="s">
        <v>1764</v>
      </c>
      <c r="D34" s="7" t="s">
        <v>1734</v>
      </c>
    </row>
    <row r="35" customFormat="false" ht="60" hidden="false" customHeight="true" outlineLevel="0" collapsed="false">
      <c r="A35" s="6" t="n">
        <v>32</v>
      </c>
      <c r="B35" s="6" t="s">
        <v>1765</v>
      </c>
      <c r="C35" s="7" t="s">
        <v>1766</v>
      </c>
      <c r="D35" s="7" t="s">
        <v>1726</v>
      </c>
    </row>
    <row r="36" customFormat="false" ht="150" hidden="false" customHeight="true" outlineLevel="0" collapsed="false">
      <c r="A36" s="6" t="n">
        <v>33</v>
      </c>
      <c r="B36" s="22" t="s">
        <v>1734</v>
      </c>
      <c r="C36" s="7" t="s">
        <v>1767</v>
      </c>
      <c r="D36" s="7" t="s">
        <v>1768</v>
      </c>
      <c r="E36" s="124" t="s">
        <v>1769</v>
      </c>
    </row>
    <row r="37" customFormat="false" ht="60" hidden="false" customHeight="true" outlineLevel="0" collapsed="false">
      <c r="A37" s="6" t="n">
        <v>34</v>
      </c>
      <c r="B37" s="22" t="s">
        <v>1770</v>
      </c>
      <c r="C37" s="7" t="s">
        <v>1771</v>
      </c>
      <c r="D37" s="7" t="s">
        <v>1726</v>
      </c>
    </row>
    <row r="38" customFormat="false" ht="60" hidden="false" customHeight="true" outlineLevel="0" collapsed="false">
      <c r="A38" s="6" t="n">
        <v>35</v>
      </c>
      <c r="B38" s="22" t="s">
        <v>1734</v>
      </c>
      <c r="C38" s="7" t="s">
        <v>1772</v>
      </c>
      <c r="D38" s="7" t="s">
        <v>1736</v>
      </c>
    </row>
    <row r="39" customFormat="false" ht="60" hidden="false" customHeight="true" outlineLevel="0" collapsed="false">
      <c r="A39" s="6" t="n">
        <v>36</v>
      </c>
      <c r="B39" s="22" t="s">
        <v>1734</v>
      </c>
      <c r="C39" s="16" t="s">
        <v>1773</v>
      </c>
      <c r="D39" s="7" t="s">
        <v>1734</v>
      </c>
    </row>
    <row r="40" customFormat="false" ht="60" hidden="false" customHeight="true" outlineLevel="0" collapsed="false">
      <c r="A40" s="6" t="n">
        <v>37</v>
      </c>
      <c r="B40" s="22" t="s">
        <v>1734</v>
      </c>
      <c r="C40" s="7" t="s">
        <v>1774</v>
      </c>
      <c r="D40" s="7" t="s">
        <v>1736</v>
      </c>
    </row>
    <row r="41" customFormat="false" ht="60" hidden="false" customHeight="true" outlineLevel="0" collapsed="false">
      <c r="A41" s="6" t="n">
        <v>38</v>
      </c>
      <c r="B41" s="22" t="s">
        <v>1775</v>
      </c>
      <c r="C41" s="92" t="s">
        <v>1776</v>
      </c>
      <c r="D41" s="22" t="s">
        <v>1726</v>
      </c>
    </row>
    <row r="42" customFormat="false" ht="60" hidden="false" customHeight="true" outlineLevel="0" collapsed="false">
      <c r="A42" s="6" t="n">
        <v>39</v>
      </c>
      <c r="B42" s="22" t="s">
        <v>1757</v>
      </c>
      <c r="C42" s="7" t="s">
        <v>1777</v>
      </c>
      <c r="D42" s="7" t="s">
        <v>1726</v>
      </c>
    </row>
    <row r="43" customFormat="false" ht="60" hidden="false" customHeight="true" outlineLevel="0" collapsed="false">
      <c r="A43" s="6" t="n">
        <v>40</v>
      </c>
      <c r="B43" s="22" t="s">
        <v>1734</v>
      </c>
      <c r="C43" s="16" t="s">
        <v>1778</v>
      </c>
      <c r="D43" s="7" t="s">
        <v>1736</v>
      </c>
    </row>
    <row r="44" customFormat="false" ht="48" hidden="false" customHeight="true" outlineLevel="0" collapsed="false">
      <c r="A44" s="6" t="n">
        <v>41</v>
      </c>
      <c r="B44" s="22" t="s">
        <v>1779</v>
      </c>
      <c r="C44" s="7" t="s">
        <v>1780</v>
      </c>
      <c r="D44" s="22" t="s">
        <v>1726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2026-09-30T00:27:18Z</dcterms:created>
  <dc:creator>openpyxl</dc:creator>
  <dc:description/>
  <dc:language>en-US</dc:language>
  <cp:lastModifiedBy/>
  <dcterms:modified xsi:type="dcterms:W3CDTF">2026-10-07T23:51:49Z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